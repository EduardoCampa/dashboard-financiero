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dashboard-financiero\"/>
    </mc:Choice>
  </mc:AlternateContent>
  <xr:revisionPtr revIDLastSave="0" documentId="13_ncr:1_{547BEA82-2359-4A35-88AD-EBB5FBBEAAFD}" xr6:coauthVersionLast="47" xr6:coauthVersionMax="47" xr10:uidLastSave="{00000000-0000-0000-0000-000000000000}"/>
  <bookViews>
    <workbookView xWindow="-120" yWindow="-120" windowWidth="29040" windowHeight="15720" xr2:uid="{0CB56A9C-F9B5-408B-AD4B-64194E18ABBA}"/>
  </bookViews>
  <sheets>
    <sheet name="RESULTADOS ACUM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Fill" hidden="1">#REF!</definedName>
    <definedName name="_xlnm._FilterDatabase" localSheetId="0" hidden="1">'RESULTADOS ACUM'!$A$4:$D$320</definedName>
    <definedName name="_FilterDatabase_3">#REF!</definedName>
    <definedName name="_sct01">[1]!Macro11</definedName>
    <definedName name="_sct02">[1]!Macro12</definedName>
    <definedName name="_sct03">[1]!Macro14</definedName>
    <definedName name="_sct04">[1]!Macro15</definedName>
    <definedName name="_sct05">[1]!Macro16</definedName>
    <definedName name="_sct06">[1]!Macro19</definedName>
    <definedName name="_sct07">[1]!Macro2</definedName>
    <definedName name="_sct08">[1]!Macro20</definedName>
    <definedName name="_sct09">[1]!Macro22</definedName>
    <definedName name="_sct10">[1]!Macro3</definedName>
    <definedName name="_sct11">[1]!Macro4</definedName>
    <definedName name="_sct12">[1]!Macro5</definedName>
    <definedName name="_sct13">[1]!Macro6</definedName>
    <definedName name="_sct14">[1]!Macro7</definedName>
    <definedName name="_sct15">[1]!Macro8</definedName>
    <definedName name="_sct16">[1]!Macro9</definedName>
    <definedName name="catagos">#REF!</definedName>
    <definedName name="Comprobantes">'[2]Tabla de Comprobantes'!$A$3:$A$65</definedName>
    <definedName name="Conceptos">#REF!</definedName>
    <definedName name="Días">OFFSET([3]Reportes!$P$6,1,0,COUNTA([3]Reportes!$O$7:$O$107)-COUNTIF([3]Reportes!$O$7:$O$26,"")+1,1)</definedName>
    <definedName name="Empresas">#REF!</definedName>
    <definedName name="Etapa">OFFSET([3]Reportes!$O$6,1,0,COUNTA([3]Reportes!$O$7:$O$107)-COUNTIF([3]Reportes!$O$7:$O$26,"")+1,1)</definedName>
    <definedName name="Macro1">[1]!Macro1</definedName>
    <definedName name="Macro11">[4]!Macro11</definedName>
    <definedName name="Macro12">[4]!Macro12</definedName>
    <definedName name="Macro13">[4]!Macro13</definedName>
    <definedName name="Macro14">[4]!Macro14</definedName>
    <definedName name="Macro15">[4]!Macro15</definedName>
    <definedName name="Macro16">[4]!Macro16</definedName>
    <definedName name="Macro19">[4]!Macro19</definedName>
    <definedName name="Macro2">[4]!Macro2</definedName>
    <definedName name="Macro20">[4]!Macro20</definedName>
    <definedName name="Macro22">[4]!Macro22</definedName>
    <definedName name="Macro24">[1]!Macro24</definedName>
    <definedName name="Macro25">[1]!Macro25</definedName>
    <definedName name="Macro26">[1]!Macro26</definedName>
    <definedName name="Macro27">[1]!Macro27</definedName>
    <definedName name="Macro28">[1]!Macro28</definedName>
    <definedName name="Macro29">[1]!Macro29</definedName>
    <definedName name="Macro3">[4]!Macro3</definedName>
    <definedName name="Macro30">[1]!Macro30</definedName>
    <definedName name="Macro31">[1]!Macro31</definedName>
    <definedName name="Macro32">[1]!Macro32</definedName>
    <definedName name="Macro33">[1]!Macro33</definedName>
    <definedName name="Macro34">[1]!Macro34</definedName>
    <definedName name="Macro36">[1]!Macro36</definedName>
    <definedName name="Macro37">[1]!Macro37</definedName>
    <definedName name="Macro38">[1]!Macro38</definedName>
    <definedName name="Macro39">[1]!Macro39</definedName>
    <definedName name="Macro4">[4]!Macro4</definedName>
    <definedName name="Macro42">[1]!Macro42</definedName>
    <definedName name="Macro43">[1]!Macro43</definedName>
    <definedName name="Macro5">[4]!Macro5</definedName>
    <definedName name="Macro6">[4]!Macro6</definedName>
    <definedName name="macro60">[1]!Macro11</definedName>
    <definedName name="macro61">[1]!Macro12</definedName>
    <definedName name="macro62">[1]!Macro14</definedName>
    <definedName name="macro63">[1]!Macro15</definedName>
    <definedName name="macro64">[1]!Macro16</definedName>
    <definedName name="macro65">[1]!Macro19</definedName>
    <definedName name="macro66">[1]!Macro2</definedName>
    <definedName name="macro67">[1]!Macro20</definedName>
    <definedName name="macro68">[1]!Macro22</definedName>
    <definedName name="macro69">[1]!Macro3</definedName>
    <definedName name="Macro7">[4]!Macro7</definedName>
    <definedName name="macro70">[1]!Macro4</definedName>
    <definedName name="macro71">[1]!Macro5</definedName>
    <definedName name="macro72">[1]!Macro6</definedName>
    <definedName name="macro73">[1]!Macro7</definedName>
    <definedName name="macro79">[1]!Macro8</definedName>
    <definedName name="Macro8">[4]!Macro8</definedName>
    <definedName name="macro80">[1]!Macro9</definedName>
    <definedName name="Macro9">[4]!Macro9</definedName>
    <definedName name="PC">'[2]Tabla de Comprobantes'!$E$3:$E$14</definedName>
    <definedName name="PROYECTO">'[5]OBRAS 2013'!#REF!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7" i="1" l="1"/>
  <c r="C56" i="1"/>
  <c r="C49" i="1"/>
  <c r="C43" i="1"/>
  <c r="C37" i="1"/>
  <c r="C81" i="1"/>
  <c r="C129" i="1" l="1"/>
  <c r="C309" i="1"/>
  <c r="C100" i="1"/>
  <c r="C167" i="1"/>
  <c r="C107" i="1"/>
  <c r="C291" i="1"/>
  <c r="C243" i="1"/>
  <c r="C225" i="1"/>
  <c r="C29" i="1"/>
  <c r="C80" i="1"/>
  <c r="C11" i="1"/>
  <c r="C82" i="1"/>
  <c r="C74" i="1"/>
  <c r="C79" i="1"/>
  <c r="C73" i="1"/>
  <c r="C23" i="1"/>
  <c r="C17" i="1"/>
  <c r="C72" i="1"/>
  <c r="C75" i="1"/>
  <c r="C68" i="1"/>
  <c r="C62" i="1"/>
  <c r="C139" i="1"/>
  <c r="C174" i="1"/>
  <c r="C195" i="1"/>
  <c r="C204" i="1"/>
  <c r="C299" i="1"/>
  <c r="C317" i="1"/>
  <c r="C70" i="1" l="1"/>
  <c r="C301" i="1"/>
  <c r="C206" i="1"/>
  <c r="C31" i="1"/>
  <c r="C84" i="1"/>
  <c r="C77" i="1"/>
  <c r="C86" i="1" l="1"/>
  <c r="C91" i="1" l="1"/>
  <c r="D86" i="1" l="1"/>
  <c r="D307" i="1"/>
  <c r="D306" i="1"/>
  <c r="D288" i="1"/>
  <c r="D274" i="1"/>
  <c r="D285" i="1"/>
  <c r="D278" i="1"/>
  <c r="D277" i="1"/>
  <c r="D272" i="1"/>
  <c r="D275" i="1"/>
  <c r="D264" i="1"/>
  <c r="D262" i="1"/>
  <c r="D260" i="1"/>
  <c r="D251" i="1"/>
  <c r="D248" i="1"/>
  <c r="D246" i="1"/>
  <c r="D239" i="1"/>
  <c r="D232" i="1"/>
  <c r="D220" i="1"/>
  <c r="D223" i="1"/>
  <c r="C208" i="1"/>
  <c r="D181" i="1"/>
  <c r="D184" i="1"/>
  <c r="D161" i="1"/>
  <c r="D165" i="1"/>
  <c r="D159" i="1"/>
  <c r="D171" i="1"/>
  <c r="D150" i="1"/>
  <c r="D156" i="1"/>
  <c r="D145" i="1"/>
  <c r="D143" i="1"/>
  <c r="D142" i="1"/>
  <c r="D136" i="1"/>
  <c r="D118" i="1"/>
  <c r="D116" i="1"/>
  <c r="D117" i="1"/>
  <c r="D111" i="1"/>
  <c r="D122" i="1"/>
  <c r="D120" i="1"/>
  <c r="D110" i="1"/>
  <c r="D67" i="1"/>
  <c r="D94" i="1"/>
  <c r="D88" i="1"/>
  <c r="D61" i="1"/>
  <c r="D91" i="1"/>
  <c r="D41" i="1"/>
  <c r="D66" i="1"/>
  <c r="D60" i="1"/>
  <c r="D55" i="1"/>
  <c r="D10" i="1"/>
  <c r="D20" i="1"/>
  <c r="D7" i="1"/>
  <c r="D89" i="1"/>
  <c r="D104" i="1"/>
  <c r="D113" i="1"/>
  <c r="D9" i="1"/>
  <c r="D8" i="1"/>
  <c r="D81" i="1"/>
  <c r="D21" i="1"/>
  <c r="D49" i="1"/>
  <c r="D36" i="1"/>
  <c r="D46" i="1"/>
  <c r="D64" i="1"/>
  <c r="D114" i="1"/>
  <c r="D47" i="1"/>
  <c r="D33" i="1"/>
  <c r="D16" i="1"/>
  <c r="D40" i="1"/>
  <c r="D39" i="1"/>
  <c r="D35" i="1"/>
  <c r="D65" i="1"/>
  <c r="D34" i="1"/>
  <c r="D15" i="1"/>
  <c r="D126" i="1"/>
  <c r="D13" i="1"/>
  <c r="D43" i="1"/>
  <c r="D53" i="1"/>
  <c r="D48" i="1"/>
  <c r="D25" i="1"/>
  <c r="D28" i="1"/>
  <c r="D100" i="1"/>
  <c r="D107" i="1"/>
  <c r="D19" i="1"/>
  <c r="D45" i="1"/>
  <c r="D27" i="1"/>
  <c r="D52" i="1"/>
  <c r="D97" i="1"/>
  <c r="D56" i="1"/>
  <c r="D54" i="1"/>
  <c r="D95" i="1"/>
  <c r="D14" i="1"/>
  <c r="D58" i="1"/>
  <c r="D96" i="1"/>
  <c r="D98" i="1"/>
  <c r="D26" i="1"/>
  <c r="D22" i="1"/>
  <c r="D42" i="1"/>
  <c r="D37" i="1"/>
  <c r="D59" i="1"/>
  <c r="D103" i="1"/>
  <c r="D105" i="1"/>
  <c r="D121" i="1"/>
  <c r="D125" i="1"/>
  <c r="D127" i="1"/>
  <c r="D158" i="1"/>
  <c r="D164" i="1"/>
  <c r="D192" i="1"/>
  <c r="D213" i="1"/>
  <c r="D216" i="1"/>
  <c r="D119" i="1"/>
  <c r="D134" i="1"/>
  <c r="D144" i="1"/>
  <c r="D154" i="1"/>
  <c r="D149" i="1"/>
  <c r="D148" i="1"/>
  <c r="D155" i="1"/>
  <c r="D152" i="1"/>
  <c r="D124" i="1"/>
  <c r="D133" i="1"/>
  <c r="D153" i="1"/>
  <c r="D132" i="1"/>
  <c r="D123" i="1"/>
  <c r="D151" i="1"/>
  <c r="D157" i="1"/>
  <c r="D163" i="1"/>
  <c r="D172" i="1"/>
  <c r="D178" i="1"/>
  <c r="D201" i="1"/>
  <c r="D129" i="1"/>
  <c r="D135" i="1"/>
  <c r="D146" i="1"/>
  <c r="D162" i="1"/>
  <c r="D177" i="1"/>
  <c r="D225" i="1"/>
  <c r="D214" i="1"/>
  <c r="D215" i="1"/>
  <c r="D112" i="1"/>
  <c r="D115" i="1"/>
  <c r="D147" i="1"/>
  <c r="D137" i="1"/>
  <c r="D167" i="1"/>
  <c r="D179" i="1"/>
  <c r="D200" i="1"/>
  <c r="D222" i="1"/>
  <c r="D230" i="1"/>
  <c r="D241" i="1"/>
  <c r="D247" i="1"/>
  <c r="D268" i="1"/>
  <c r="D312" i="1"/>
  <c r="D284" i="1"/>
  <c r="D281" i="1"/>
  <c r="D295" i="1"/>
  <c r="D170" i="1"/>
  <c r="D186" i="1"/>
  <c r="D238" i="1"/>
  <c r="D236" i="1"/>
  <c r="D219" i="1"/>
  <c r="D257" i="1"/>
  <c r="D291" i="1"/>
  <c r="D266" i="1"/>
  <c r="D269" i="1"/>
  <c r="D282" i="1"/>
  <c r="D187" i="1"/>
  <c r="D199" i="1"/>
  <c r="D235" i="1"/>
  <c r="D270" i="1"/>
  <c r="D185" i="1"/>
  <c r="D183" i="1"/>
  <c r="D217" i="1"/>
  <c r="D229" i="1"/>
  <c r="D237" i="1"/>
  <c r="D250" i="1"/>
  <c r="D253" i="1"/>
  <c r="D279" i="1"/>
  <c r="D273" i="1"/>
  <c r="D289" i="1"/>
  <c r="D294" i="1"/>
  <c r="D191" i="1"/>
  <c r="D202" i="1"/>
  <c r="D211" i="1"/>
  <c r="D218" i="1"/>
  <c r="D243" i="1"/>
  <c r="D233" i="1"/>
  <c r="D309" i="1"/>
  <c r="D188" i="1"/>
  <c r="D228" i="1"/>
  <c r="D254" i="1"/>
  <c r="D255" i="1"/>
  <c r="D271" i="1"/>
  <c r="D283" i="1"/>
  <c r="D297" i="1"/>
  <c r="D267" i="1"/>
  <c r="D287" i="1"/>
  <c r="D182" i="1"/>
  <c r="D193" i="1"/>
  <c r="D190" i="1"/>
  <c r="D180" i="1"/>
  <c r="D231" i="1"/>
  <c r="D240" i="1"/>
  <c r="D261" i="1"/>
  <c r="D276" i="1"/>
  <c r="D286" i="1"/>
  <c r="D314" i="1"/>
  <c r="D315" i="1"/>
  <c r="D160" i="1"/>
  <c r="D198" i="1"/>
  <c r="D189" i="1"/>
  <c r="D212" i="1"/>
  <c r="D221" i="1"/>
  <c r="D234" i="1"/>
  <c r="D252" i="1"/>
  <c r="D265" i="1"/>
  <c r="D249" i="1"/>
  <c r="D263" i="1"/>
  <c r="D280" i="1"/>
  <c r="D313" i="1"/>
  <c r="D296" i="1"/>
  <c r="D23" i="1"/>
  <c r="D29" i="1"/>
  <c r="D62" i="1"/>
  <c r="D299" i="1"/>
  <c r="D174" i="1"/>
  <c r="D82" i="1"/>
  <c r="D17" i="1"/>
  <c r="D139" i="1"/>
  <c r="D79" i="1"/>
  <c r="D74" i="1"/>
  <c r="D80" i="1"/>
  <c r="D11" i="1"/>
  <c r="D70" i="1"/>
  <c r="D195" i="1"/>
  <c r="D75" i="1"/>
  <c r="D73" i="1"/>
  <c r="D317" i="1"/>
  <c r="D204" i="1"/>
  <c r="D68" i="1"/>
  <c r="D72" i="1"/>
  <c r="D77" i="1"/>
  <c r="D301" i="1"/>
  <c r="D206" i="1"/>
  <c r="D31" i="1"/>
  <c r="D84" i="1"/>
  <c r="C303" i="1" l="1"/>
  <c r="D208" i="1"/>
  <c r="C319" i="1" l="1"/>
  <c r="D303" i="1"/>
  <c r="D319" i="1" l="1"/>
</calcChain>
</file>

<file path=xl/sharedStrings.xml><?xml version="1.0" encoding="utf-8"?>
<sst xmlns="http://schemas.openxmlformats.org/spreadsheetml/2006/main" count="466" uniqueCount="341">
  <si>
    <t>EMPRESAS DEL GRUPO SERVYRE</t>
  </si>
  <si>
    <t>CUENTA</t>
  </si>
  <si>
    <t>CONCEPTO</t>
  </si>
  <si>
    <t>%</t>
  </si>
  <si>
    <t>CIVLA</t>
  </si>
  <si>
    <t>410-?????-001-0000</t>
  </si>
  <si>
    <t>Ventas Limpieza</t>
  </si>
  <si>
    <t>410-?????-002-0000</t>
  </si>
  <si>
    <t>Ventas Obra</t>
  </si>
  <si>
    <t>410-?????-003-0000</t>
  </si>
  <si>
    <t>Ventas Suministro</t>
  </si>
  <si>
    <t>410-?????-004-0000</t>
  </si>
  <si>
    <t>Ventas Varias</t>
  </si>
  <si>
    <t>Ventas a Terceros</t>
  </si>
  <si>
    <t/>
  </si>
  <si>
    <t>411-?????-001-0000</t>
  </si>
  <si>
    <t>411-?????-002-0000</t>
  </si>
  <si>
    <t>411-?????-003-0000</t>
  </si>
  <si>
    <t>411-?????-004-0000</t>
  </si>
  <si>
    <t xml:space="preserve">Ventas Intercompañias </t>
  </si>
  <si>
    <t>440-?????-001-0000</t>
  </si>
  <si>
    <t>Ventas PF Limpieza</t>
  </si>
  <si>
    <t>440-?????-002-0000</t>
  </si>
  <si>
    <t>Ventas PF Obra</t>
  </si>
  <si>
    <t>440-?????-003-0000</t>
  </si>
  <si>
    <t>Ventas PF Suministro</t>
  </si>
  <si>
    <t>440-?????-004-0000</t>
  </si>
  <si>
    <t>Ventas PF Varias</t>
  </si>
  <si>
    <t>Ventas PF a Terceros</t>
  </si>
  <si>
    <t>441-?????-001-0000</t>
  </si>
  <si>
    <t>441-?????-002-0000</t>
  </si>
  <si>
    <t>441-?????-003-0000</t>
  </si>
  <si>
    <t>441-?????-004-0000</t>
  </si>
  <si>
    <t>Ventas PF Intercompañias</t>
  </si>
  <si>
    <t xml:space="preserve">Total Ventas </t>
  </si>
  <si>
    <t>420-?????-001-0000</t>
  </si>
  <si>
    <t>Desc Y Dev S/Ventas Limpieza</t>
  </si>
  <si>
    <t>420-?????-002-0000</t>
  </si>
  <si>
    <t>Desc Y Dev S/Ventas Obra</t>
  </si>
  <si>
    <t>420-?????-003-0000</t>
  </si>
  <si>
    <t>Desc Y Dev S/Ventas Suministro</t>
  </si>
  <si>
    <t>420-?????-004-0000</t>
  </si>
  <si>
    <t>Desc Y Dev S/Ventas Varias</t>
  </si>
  <si>
    <t>Descuentos S/Ventas a Terceros</t>
  </si>
  <si>
    <t>421-?????-001-0000</t>
  </si>
  <si>
    <t>421-?????-002-0000</t>
  </si>
  <si>
    <t>421-?????-003-0000</t>
  </si>
  <si>
    <t>421-?????-004-0000</t>
  </si>
  <si>
    <t>Descuentos S/Ventas Intercompañias</t>
  </si>
  <si>
    <t>422-?????-001-0000</t>
  </si>
  <si>
    <t>Penalizaciones y Sanciones/Ventas PF Limpieza</t>
  </si>
  <si>
    <t>422-?????-002-0000</t>
  </si>
  <si>
    <t>Penalizaciones y Sanciones/Ventas PF Obra</t>
  </si>
  <si>
    <t>422-?????-003-0000</t>
  </si>
  <si>
    <t>Penalizaciones y Sanciones/Ventas PF Suministro</t>
  </si>
  <si>
    <t>422-?????-004-0000</t>
  </si>
  <si>
    <t>Penalizaciones y Sanciones/Ventas PF Varias</t>
  </si>
  <si>
    <t>Penalizaciones y Sanciones/Ventas PF a Terceros</t>
  </si>
  <si>
    <t>423-?????-001-0000</t>
  </si>
  <si>
    <t>423-?????-002-0000</t>
  </si>
  <si>
    <t>423-?????-003-0000</t>
  </si>
  <si>
    <t>423-?????-004-0000</t>
  </si>
  <si>
    <t>450-?????-001-0000</t>
  </si>
  <si>
    <t>Desc Y Dev S/Ventas PF Limpieza</t>
  </si>
  <si>
    <t>450-?????-002-0000</t>
  </si>
  <si>
    <t>Desc Y Dev S/Ventas PF Obra</t>
  </si>
  <si>
    <t>450-?????-003-0000</t>
  </si>
  <si>
    <t>Desc Y Dev S/Ventas PF Suministro</t>
  </si>
  <si>
    <t>450-?????-004-0000</t>
  </si>
  <si>
    <t>Desc Y Dev S/Ventas PF Varias</t>
  </si>
  <si>
    <t>Descuentos S/Ventas PF a Terceros</t>
  </si>
  <si>
    <t>451-?????-001-0000</t>
  </si>
  <si>
    <t>451-?????-002-0000</t>
  </si>
  <si>
    <t>451-?????-003-0000</t>
  </si>
  <si>
    <t>451-?????-004-0000</t>
  </si>
  <si>
    <t>Descuentos S/Ventas PF Intercompañias</t>
  </si>
  <si>
    <t xml:space="preserve">Total Descuentos S/Ventas </t>
  </si>
  <si>
    <t>Ventas Netas Limpieza</t>
  </si>
  <si>
    <t>Ventas Netas Obra</t>
  </si>
  <si>
    <t>Ventas Netas Suministro</t>
  </si>
  <si>
    <t>Ventas Netas Varias</t>
  </si>
  <si>
    <t>Total Ventas Netas A Terceros</t>
  </si>
  <si>
    <t>Total Ventas Netas Intercompañias</t>
  </si>
  <si>
    <t>Ventas Netas</t>
  </si>
  <si>
    <t>430-00001-000-0000</t>
  </si>
  <si>
    <t>Otros Ingresos no gravados</t>
  </si>
  <si>
    <t>430-00002-000-0000</t>
  </si>
  <si>
    <t>Otros Ingresos gravados</t>
  </si>
  <si>
    <t>Ventas Netas Totales</t>
  </si>
  <si>
    <t>Costo Directos Planta  (510)</t>
  </si>
  <si>
    <t>510-?????-001-0000</t>
  </si>
  <si>
    <t>Sueldos y Salarios</t>
  </si>
  <si>
    <t>510-?????-002-0000</t>
  </si>
  <si>
    <t>Impuestos Sobre Mano de Obra</t>
  </si>
  <si>
    <t>510-?????-003-0000</t>
  </si>
  <si>
    <t>Prestacion de Servicios Intern</t>
  </si>
  <si>
    <t>510-?????-007-0000</t>
  </si>
  <si>
    <t>Materia Prima</t>
  </si>
  <si>
    <t>Varios</t>
  </si>
  <si>
    <t>510-?????-061-0000</t>
  </si>
  <si>
    <t>Otros Gastos (R.I.)</t>
  </si>
  <si>
    <t>Total Costo Directos Planta</t>
  </si>
  <si>
    <t>Costo Indirecto De Planta  (520)</t>
  </si>
  <si>
    <t>520-?????-001-0000</t>
  </si>
  <si>
    <t>520-?????-002-0000</t>
  </si>
  <si>
    <t>520-?????-003-0000</t>
  </si>
  <si>
    <t>Total Costo Indirecto De Planta  (520)</t>
  </si>
  <si>
    <t>Costo  Directos Obra  (530)</t>
  </si>
  <si>
    <t>530-?????-001-0000</t>
  </si>
  <si>
    <t>530-?????-002-0000</t>
  </si>
  <si>
    <t>530-?????-003-0000</t>
  </si>
  <si>
    <t>530-?????-004-0000</t>
  </si>
  <si>
    <t>Viaticos</t>
  </si>
  <si>
    <t>Renta</t>
  </si>
  <si>
    <t>Mensajeria</t>
  </si>
  <si>
    <t>Mantenimiento</t>
  </si>
  <si>
    <t>Papeleria</t>
  </si>
  <si>
    <t>530-?????-006-0000</t>
  </si>
  <si>
    <t>Materiales Proyectos Nuevos</t>
  </si>
  <si>
    <t>530-?????-009-0000</t>
  </si>
  <si>
    <t>Fletes</t>
  </si>
  <si>
    <t>530-?????-013-0000</t>
  </si>
  <si>
    <t>Servicios Profesionales</t>
  </si>
  <si>
    <t>530-?????-016-0000</t>
  </si>
  <si>
    <t>Fianzas</t>
  </si>
  <si>
    <t>530-?????-017-0000</t>
  </si>
  <si>
    <t>Diseño y Supervision</t>
  </si>
  <si>
    <t>530-?????-018-0000</t>
  </si>
  <si>
    <t>Retenciones</t>
  </si>
  <si>
    <t>530-?????-023-0000</t>
  </si>
  <si>
    <t>Otros Impuestos y Derechos</t>
  </si>
  <si>
    <t>530-?????-031-0000</t>
  </si>
  <si>
    <t>Fletes Internos</t>
  </si>
  <si>
    <t>530-?????-037-0000</t>
  </si>
  <si>
    <t>Materiales de Obras Especiales</t>
  </si>
  <si>
    <t>530-?????-038-0000</t>
  </si>
  <si>
    <t>Materiales diseño y supervisio</t>
  </si>
  <si>
    <t>530-?????-041-0000</t>
  </si>
  <si>
    <t>Renta de Equipo Diseño Supervi</t>
  </si>
  <si>
    <t>530-?????-054-0000</t>
  </si>
  <si>
    <t>Traspaso del Almacen al Costo</t>
  </si>
  <si>
    <t>530-?????-055-0000</t>
  </si>
  <si>
    <t>Costos Estimados</t>
  </si>
  <si>
    <t>530-?????-061-0000</t>
  </si>
  <si>
    <t xml:space="preserve">Total Costo  Directos Obra </t>
  </si>
  <si>
    <t>Costo Directos Obra OL  (531)</t>
  </si>
  <si>
    <t>531-?????-004-0000</t>
  </si>
  <si>
    <t>531-?????-007-0000</t>
  </si>
  <si>
    <t>531-?????-009-0000</t>
  </si>
  <si>
    <t>531-?????-031-0000</t>
  </si>
  <si>
    <t>531-?????-053-0000</t>
  </si>
  <si>
    <t>Otros Costos ( F )</t>
  </si>
  <si>
    <t>531-?????-054-0000</t>
  </si>
  <si>
    <t>Total Costo Directos Obra OL</t>
  </si>
  <si>
    <t>Costo General Planta (550)</t>
  </si>
  <si>
    <t>550-?????-001-0000</t>
  </si>
  <si>
    <t>550-?????-002-0000</t>
  </si>
  <si>
    <t>550-?????-003-0000</t>
  </si>
  <si>
    <t>550-?????-004-0000</t>
  </si>
  <si>
    <t>550-?????-006-0000</t>
  </si>
  <si>
    <t>550-?????-007-0000</t>
  </si>
  <si>
    <t>550-?????-008-0000</t>
  </si>
  <si>
    <t>550-?????-009-0000</t>
  </si>
  <si>
    <t>550-?????-010-0000</t>
  </si>
  <si>
    <t>550-?????-013-0000</t>
  </si>
  <si>
    <t>550-?????-016-0000</t>
  </si>
  <si>
    <t>550-?????-023-0000</t>
  </si>
  <si>
    <t>550-?????-024-0000</t>
  </si>
  <si>
    <t>Equipo de Seguridad e Higiene</t>
  </si>
  <si>
    <t>550-?????-028-0000</t>
  </si>
  <si>
    <t>Refacciones y herramientas men</t>
  </si>
  <si>
    <t>550-?????-029-0000</t>
  </si>
  <si>
    <t>Asimilados a Sueldos</t>
  </si>
  <si>
    <t>550-?????-030-0000</t>
  </si>
  <si>
    <t>550-?????-031-0000</t>
  </si>
  <si>
    <t>550-?????-036-0000</t>
  </si>
  <si>
    <t>Importacion</t>
  </si>
  <si>
    <t>550-?????-050-0000</t>
  </si>
  <si>
    <t>Traspaso del Costo al Almacen</t>
  </si>
  <si>
    <t>550-?????-051-0000</t>
  </si>
  <si>
    <t>Otros costos (D)</t>
  </si>
  <si>
    <t>550-?????-056-0000</t>
  </si>
  <si>
    <t>550-?????-057-0000</t>
  </si>
  <si>
    <t>550-?????-058-0000</t>
  </si>
  <si>
    <t>550-?????-061-0000</t>
  </si>
  <si>
    <t>Total Costo General Planta</t>
  </si>
  <si>
    <t>Costo General Planta (551)</t>
  </si>
  <si>
    <t>551-?????-041-0000</t>
  </si>
  <si>
    <t>551-?????-052-0000</t>
  </si>
  <si>
    <t>Otros Costos E.F.</t>
  </si>
  <si>
    <t>551-?????-053-0000</t>
  </si>
  <si>
    <t>Otros Costos F.</t>
  </si>
  <si>
    <t xml:space="preserve">Total Costo General Planta OL (551) </t>
  </si>
  <si>
    <t>Costo General Obra (560)</t>
  </si>
  <si>
    <t>560-?????-001-0000</t>
  </si>
  <si>
    <t>560-?????-002-0000</t>
  </si>
  <si>
    <t>560-?????-003-0000</t>
  </si>
  <si>
    <t>560-?????-004-0000</t>
  </si>
  <si>
    <t>560-?????-006-0000</t>
  </si>
  <si>
    <t>SE DEBE PRORRATEAR ENTRE LAS OBRAS QUE APLIQUEN</t>
  </si>
  <si>
    <t>560-?????-008-0000</t>
  </si>
  <si>
    <t>560-?????-021-0000</t>
  </si>
  <si>
    <t>Adelantos de Obras Locales</t>
  </si>
  <si>
    <t>560-?????-029-0000</t>
  </si>
  <si>
    <t>560-?????-030-0000</t>
  </si>
  <si>
    <t>560-?????-031-0000</t>
  </si>
  <si>
    <t>560-?????-037-0000</t>
  </si>
  <si>
    <t>560-?????-043-0000</t>
  </si>
  <si>
    <t>Costo por Venta de Terrenos</t>
  </si>
  <si>
    <t>560-?????-051-0000</t>
  </si>
  <si>
    <t>560-?????-054-0000</t>
  </si>
  <si>
    <t>560-?????-061-0000</t>
  </si>
  <si>
    <t>560-?????-064-0000</t>
  </si>
  <si>
    <t>Otros Gastos ( C.F.E.)</t>
  </si>
  <si>
    <t>560-?????-063-0000</t>
  </si>
  <si>
    <t>Otros Gastos ( F.Q.)</t>
  </si>
  <si>
    <t>Total Costo General Obra</t>
  </si>
  <si>
    <t xml:space="preserve"> Costo General Obra OL  (561)</t>
  </si>
  <si>
    <t>561-?????-021-0000</t>
  </si>
  <si>
    <t>561-?????-041-0000</t>
  </si>
  <si>
    <t>561-?????-037-0000</t>
  </si>
  <si>
    <t>561-?????-052-0000</t>
  </si>
  <si>
    <t>561-?????-053-0000</t>
  </si>
  <si>
    <t xml:space="preserve">Total  Costo General Obra OL </t>
  </si>
  <si>
    <t>Total Costo</t>
  </si>
  <si>
    <t>Total Resultado Bruto</t>
  </si>
  <si>
    <t>Gastos De Operación (620)</t>
  </si>
  <si>
    <t>620-?????-001-0000</t>
  </si>
  <si>
    <t>620-?????-002-0000</t>
  </si>
  <si>
    <t>620-?????-003-0000</t>
  </si>
  <si>
    <t>620-?????-004-0000</t>
  </si>
  <si>
    <t>620-?????-005-0000</t>
  </si>
  <si>
    <t>Viaticos Directivos</t>
  </si>
  <si>
    <t>620-?????-008-0000</t>
  </si>
  <si>
    <t>620-?????-010-0000</t>
  </si>
  <si>
    <t>Rentas</t>
  </si>
  <si>
    <t>620-?????-011-0000</t>
  </si>
  <si>
    <t>Seguros</t>
  </si>
  <si>
    <t>620-?????-020-0000</t>
  </si>
  <si>
    <t>Reclutamiento y Capacitacion</t>
  </si>
  <si>
    <t>620-?????-026-0000</t>
  </si>
  <si>
    <t>620-?????-029-0000</t>
  </si>
  <si>
    <t>Asimilados</t>
  </si>
  <si>
    <t>620-?????-030-0000</t>
  </si>
  <si>
    <t>620-?????-061-0000</t>
  </si>
  <si>
    <t>Total Gastos De Operación</t>
  </si>
  <si>
    <t>Gastos De Venta (630)</t>
  </si>
  <si>
    <t>630-?????-001-0000</t>
  </si>
  <si>
    <t>630-?????-002-0000</t>
  </si>
  <si>
    <t>630-?????-003-0000</t>
  </si>
  <si>
    <t>630-?????-004-0000</t>
  </si>
  <si>
    <t>630-?????-005-0000</t>
  </si>
  <si>
    <t>630-?????-008-0000</t>
  </si>
  <si>
    <t>630-?????-010-0000</t>
  </si>
  <si>
    <t>630-?????-011-0000</t>
  </si>
  <si>
    <t>630-?????-013-0000</t>
  </si>
  <si>
    <t>630-?????-026-0000</t>
  </si>
  <si>
    <t>630-?????-028-0000</t>
  </si>
  <si>
    <t>630-?????-029-0000</t>
  </si>
  <si>
    <t>630-?????-030-0000</t>
  </si>
  <si>
    <t>630-?????-061-0000</t>
  </si>
  <si>
    <t>Total Gastos De Venta</t>
  </si>
  <si>
    <t>Gastos De Administracion (640)</t>
  </si>
  <si>
    <t>640-?????-001-0000</t>
  </si>
  <si>
    <t>640-?????-002-0000</t>
  </si>
  <si>
    <t>640-?????-003-0000</t>
  </si>
  <si>
    <t>640-?????-004-0000</t>
  </si>
  <si>
    <t>640-?????-005-0000</t>
  </si>
  <si>
    <t>640-?????-008-0000</t>
  </si>
  <si>
    <t>640-?????-011-0000</t>
  </si>
  <si>
    <t>640-?????-020-0000</t>
  </si>
  <si>
    <t>640-?????-030-0000</t>
  </si>
  <si>
    <t>640-?????-061-0000</t>
  </si>
  <si>
    <t>Total Gastos De Administracion</t>
  </si>
  <si>
    <t>Gastos Generales (650)</t>
  </si>
  <si>
    <t>650-?????-001-0000</t>
  </si>
  <si>
    <t>650-?????-002-0000</t>
  </si>
  <si>
    <t>650-?????-003-0000</t>
  </si>
  <si>
    <t>650-?????-004-0000</t>
  </si>
  <si>
    <t>650-?????-005-0000</t>
  </si>
  <si>
    <t>650-?????-006-0000</t>
  </si>
  <si>
    <t>650-?????-008-0000</t>
  </si>
  <si>
    <t>650-?????-009-0000</t>
  </si>
  <si>
    <t>650-?????-010-0000</t>
  </si>
  <si>
    <t>650-?????-011-0000</t>
  </si>
  <si>
    <t>650-?????-012-0000</t>
  </si>
  <si>
    <t>Servicios Basicos</t>
  </si>
  <si>
    <t>650-?????-013-0000</t>
  </si>
  <si>
    <t>650-?????-015-0000</t>
  </si>
  <si>
    <t>Donativos</t>
  </si>
  <si>
    <t>650-?????-016-0000</t>
  </si>
  <si>
    <t>650-?????-020-0000</t>
  </si>
  <si>
    <t>650-?????-022-0000</t>
  </si>
  <si>
    <t>Recargos</t>
  </si>
  <si>
    <t>650-?????-023-0000</t>
  </si>
  <si>
    <t>650-?????-025-0000</t>
  </si>
  <si>
    <t>No deducibles</t>
  </si>
  <si>
    <t>650-?????-026-0000</t>
  </si>
  <si>
    <t>650-?????-027-0000</t>
  </si>
  <si>
    <t>Promocion y Mercadotecnia</t>
  </si>
  <si>
    <t>650-?????-029-0000</t>
  </si>
  <si>
    <t>650-?????-030-0000</t>
  </si>
  <si>
    <t>650-?????-032-0000</t>
  </si>
  <si>
    <t>650-?????-033-0000</t>
  </si>
  <si>
    <t>Seguridad y Vigilancia</t>
  </si>
  <si>
    <t>650-?????-040-0000</t>
  </si>
  <si>
    <t>Insumos</t>
  </si>
  <si>
    <t>650-?????-043-0000</t>
  </si>
  <si>
    <t>IVA</t>
  </si>
  <si>
    <t>650-?????-046-0000</t>
  </si>
  <si>
    <t>Comisiones SV</t>
  </si>
  <si>
    <t>650-?????-054-0000</t>
  </si>
  <si>
    <t>650-?????-060-0000</t>
  </si>
  <si>
    <t>Otros Costos (R)</t>
  </si>
  <si>
    <t>650-?????-061-0000</t>
  </si>
  <si>
    <t>Total Gastos Generales</t>
  </si>
  <si>
    <t>Gastos Generales Obras Locales (651)</t>
  </si>
  <si>
    <t>651-?????-003-0000</t>
  </si>
  <si>
    <t>651-?????-010-0000</t>
  </si>
  <si>
    <t>651-?????-041-0000</t>
  </si>
  <si>
    <t>651-?????-052-0000</t>
  </si>
  <si>
    <t>Total Gastos Generales Obras Locales</t>
  </si>
  <si>
    <t>Total Gastos</t>
  </si>
  <si>
    <t>Resultado Antes de Depreciacion</t>
  </si>
  <si>
    <t>Depreciaciones Y Amortización</t>
  </si>
  <si>
    <t>660-99999-034-0000</t>
  </si>
  <si>
    <t>Depreciacion</t>
  </si>
  <si>
    <t>660-99999-035-0000</t>
  </si>
  <si>
    <t>Amortizacion</t>
  </si>
  <si>
    <t>Total Depreciaciones Y Amortización</t>
  </si>
  <si>
    <t>Costo Integral De Financiamiento</t>
  </si>
  <si>
    <t>720-00000-000-0000</t>
  </si>
  <si>
    <t>Productos Financieros</t>
  </si>
  <si>
    <t>730-00000-000-0000</t>
  </si>
  <si>
    <t>Ganancia Cambiaria</t>
  </si>
  <si>
    <t>710-00000-000-0000</t>
  </si>
  <si>
    <t>Gastos Financieros</t>
  </si>
  <si>
    <t>740-00000-000-0000</t>
  </si>
  <si>
    <t>Perdida Cambiaria</t>
  </si>
  <si>
    <t>Total Costo Integral de Financiamiento</t>
  </si>
  <si>
    <t>Utilidad/Perdida antes de 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</si>
</sst>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080000"/>
      <name val="Calibri"/>
      <family val="2"/>
      <scheme val="minor"/>
    </font>
    <font>
      <b/>
      <sz val="12"/>
      <color rgb="FF08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80000"/>
      <name val="Calibri"/>
      <family val="2"/>
      <scheme val="minor"/>
    </font>
    <font>
      <b/>
      <sz val="10"/>
      <color rgb="FF08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80000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0" borderId="0"/>
    <xf numFmtId="0" fontId="1" fillId="0" borderId="0"/>
    <xf numFmtId="43" fontId="13" fillId="0" borderId="0" applyFont="0" applyFill="0" applyBorder="0" applyAlignment="0" applyProtection="0"/>
  </cellStyleXfs>
  <cellXfs count="64">
    <xf numFmtId="0" fontId="0" fillId="0" borderId="0" xfId="0"/>
    <xf numFmtId="3" fontId="5" fillId="0" borderId="0" xfId="5" applyNumberFormat="1" applyFont="1" applyAlignment="1">
      <alignment horizontal="left"/>
    </xf>
    <xf numFmtId="3" fontId="6" fillId="0" borderId="0" xfId="5" quotePrefix="1" applyNumberFormat="1" applyFont="1"/>
    <xf numFmtId="3" fontId="8" fillId="0" borderId="0" xfId="0" applyNumberFormat="1" applyFont="1"/>
    <xf numFmtId="3" fontId="5" fillId="0" borderId="0" xfId="5" applyNumberFormat="1" applyFont="1"/>
    <xf numFmtId="3" fontId="4" fillId="0" borderId="0" xfId="5" applyNumberFormat="1" applyFont="1" applyAlignment="1">
      <alignment horizontal="left"/>
    </xf>
    <xf numFmtId="3" fontId="11" fillId="0" borderId="0" xfId="5" applyNumberFormat="1" applyFont="1" applyAlignment="1">
      <alignment horizontal="center"/>
    </xf>
    <xf numFmtId="3" fontId="12" fillId="0" borderId="0" xfId="0" applyNumberFormat="1" applyFont="1"/>
    <xf numFmtId="3" fontId="11" fillId="0" borderId="0" xfId="5" applyNumberFormat="1" applyFont="1" applyAlignment="1">
      <alignment horizontal="center" vertical="center" wrapText="1"/>
    </xf>
    <xf numFmtId="3" fontId="1" fillId="0" borderId="0" xfId="5" applyNumberFormat="1" applyAlignment="1">
      <alignment horizontal="left"/>
    </xf>
    <xf numFmtId="3" fontId="1" fillId="0" borderId="0" xfId="0" applyNumberFormat="1" applyFont="1"/>
    <xf numFmtId="9" fontId="1" fillId="0" borderId="0" xfId="3" applyFont="1" applyFill="1"/>
    <xf numFmtId="3" fontId="3" fillId="0" borderId="0" xfId="5" applyNumberFormat="1" applyFont="1" applyAlignment="1">
      <alignment horizontal="left"/>
    </xf>
    <xf numFmtId="3" fontId="3" fillId="0" borderId="0" xfId="0" applyNumberFormat="1" applyFont="1"/>
    <xf numFmtId="3" fontId="3" fillId="0" borderId="4" xfId="0" applyNumberFormat="1" applyFont="1" applyBorder="1"/>
    <xf numFmtId="3" fontId="1" fillId="0" borderId="0" xfId="2" applyNumberFormat="1" applyFont="1" applyFill="1"/>
    <xf numFmtId="9" fontId="1" fillId="0" borderId="0" xfId="3" applyFont="1"/>
    <xf numFmtId="3" fontId="9" fillId="4" borderId="0" xfId="6" applyNumberFormat="1" applyFont="1" applyFill="1" applyAlignment="1">
      <alignment horizontal="left"/>
    </xf>
    <xf numFmtId="3" fontId="3" fillId="4" borderId="5" xfId="0" applyNumberFormat="1" applyFont="1" applyFill="1" applyBorder="1"/>
    <xf numFmtId="3" fontId="9" fillId="0" borderId="0" xfId="5" applyNumberFormat="1" applyFont="1" applyAlignment="1">
      <alignment horizontal="center"/>
    </xf>
    <xf numFmtId="3" fontId="0" fillId="0" borderId="0" xfId="5" applyNumberFormat="1" applyFont="1" applyAlignment="1">
      <alignment horizontal="left"/>
    </xf>
    <xf numFmtId="3" fontId="1" fillId="0" borderId="6" xfId="0" applyNumberFormat="1" applyFont="1" applyBorder="1"/>
    <xf numFmtId="3" fontId="9" fillId="0" borderId="0" xfId="6" applyNumberFormat="1" applyFont="1" applyAlignment="1">
      <alignment horizontal="left"/>
    </xf>
    <xf numFmtId="3" fontId="3" fillId="0" borderId="5" xfId="0" applyNumberFormat="1" applyFont="1" applyBorder="1"/>
    <xf numFmtId="3" fontId="2" fillId="0" borderId="0" xfId="0" applyNumberFormat="1" applyFont="1"/>
    <xf numFmtId="3" fontId="14" fillId="0" borderId="0" xfId="7" applyNumberFormat="1" applyFont="1" applyFill="1" applyAlignment="1">
      <alignment horizontal="left"/>
    </xf>
    <xf numFmtId="3" fontId="15" fillId="0" borderId="0" xfId="5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0" borderId="0" xfId="5" applyNumberFormat="1"/>
    <xf numFmtId="0" fontId="16" fillId="0" borderId="0" xfId="0" applyFont="1"/>
    <xf numFmtId="164" fontId="3" fillId="0" borderId="0" xfId="1" applyNumberFormat="1" applyFont="1" applyFill="1"/>
    <xf numFmtId="9" fontId="3" fillId="0" borderId="0" xfId="3" applyFont="1" applyFill="1"/>
    <xf numFmtId="43" fontId="3" fillId="0" borderId="0" xfId="1" applyFont="1" applyFill="1"/>
    <xf numFmtId="164" fontId="3" fillId="0" borderId="0" xfId="1" applyNumberFormat="1" applyFont="1"/>
    <xf numFmtId="0" fontId="3" fillId="0" borderId="0" xfId="0" applyFont="1"/>
    <xf numFmtId="0" fontId="18" fillId="0" borderId="0" xfId="0" applyFont="1"/>
    <xf numFmtId="3" fontId="15" fillId="0" borderId="0" xfId="6" applyNumberFormat="1" applyFont="1" applyAlignment="1">
      <alignment horizontal="left"/>
    </xf>
    <xf numFmtId="3" fontId="18" fillId="0" borderId="0" xfId="7" applyNumberFormat="1" applyFont="1" applyFill="1" applyAlignment="1">
      <alignment horizontal="left"/>
    </xf>
    <xf numFmtId="164" fontId="3" fillId="0" borderId="0" xfId="0" applyNumberFormat="1" applyFont="1" applyAlignment="1">
      <alignment horizontal="right"/>
    </xf>
    <xf numFmtId="3" fontId="9" fillId="0" borderId="0" xfId="5" applyNumberFormat="1" applyFont="1" applyAlignment="1">
      <alignment horizontal="left"/>
    </xf>
    <xf numFmtId="3" fontId="3" fillId="0" borderId="0" xfId="5" applyNumberFormat="1" applyFont="1"/>
    <xf numFmtId="9" fontId="3" fillId="0" borderId="0" xfId="3" applyFont="1"/>
    <xf numFmtId="1" fontId="0" fillId="0" borderId="0" xfId="0" applyNumberFormat="1"/>
    <xf numFmtId="164" fontId="1" fillId="0" borderId="0" xfId="5" applyNumberFormat="1" applyAlignment="1">
      <alignment horizontal="left"/>
    </xf>
    <xf numFmtId="164" fontId="7" fillId="4" borderId="0" xfId="6" applyNumberFormat="1" applyFont="1" applyFill="1" applyAlignment="1">
      <alignment horizontal="left"/>
    </xf>
    <xf numFmtId="164" fontId="5" fillId="4" borderId="5" xfId="0" applyNumberFormat="1" applyFont="1" applyFill="1" applyBorder="1"/>
    <xf numFmtId="164" fontId="0" fillId="0" borderId="0" xfId="0" applyNumberFormat="1"/>
    <xf numFmtId="3" fontId="15" fillId="0" borderId="0" xfId="5" applyNumberFormat="1" applyFont="1" applyAlignment="1">
      <alignment horizontal="right"/>
    </xf>
    <xf numFmtId="0" fontId="16" fillId="0" borderId="0" xfId="0" quotePrefix="1" applyFont="1"/>
    <xf numFmtId="3" fontId="3" fillId="0" borderId="0" xfId="0" applyNumberFormat="1" applyFont="1" applyAlignment="1">
      <alignment horizontal="left"/>
    </xf>
    <xf numFmtId="3" fontId="3" fillId="0" borderId="6" xfId="0" applyNumberFormat="1" applyFont="1" applyBorder="1"/>
    <xf numFmtId="3" fontId="17" fillId="0" borderId="0" xfId="7" applyNumberFormat="1" applyFont="1" applyFill="1" applyAlignment="1">
      <alignment horizontal="left"/>
    </xf>
    <xf numFmtId="3" fontId="17" fillId="0" borderId="0" xfId="5" applyNumberFormat="1" applyFont="1" applyAlignment="1">
      <alignment horizontal="left"/>
    </xf>
    <xf numFmtId="3" fontId="17" fillId="0" borderId="0" xfId="0" applyNumberFormat="1" applyFont="1" applyAlignment="1">
      <alignment horizontal="left"/>
    </xf>
    <xf numFmtId="0" fontId="1" fillId="0" borderId="0" xfId="0" applyFont="1"/>
    <xf numFmtId="0" fontId="4" fillId="2" borderId="0" xfId="4"/>
    <xf numFmtId="3" fontId="5" fillId="4" borderId="5" xfId="0" applyNumberFormat="1" applyFont="1" applyFill="1" applyBorder="1"/>
    <xf numFmtId="43" fontId="0" fillId="0" borderId="0" xfId="1" applyFont="1"/>
    <xf numFmtId="43" fontId="0" fillId="5" borderId="0" xfId="1" applyFont="1" applyFill="1"/>
    <xf numFmtId="43" fontId="0" fillId="0" borderId="0" xfId="0" applyNumberFormat="1"/>
    <xf numFmtId="43" fontId="0" fillId="0" borderId="0" xfId="1" applyFont="1" applyFill="1"/>
    <xf numFmtId="3" fontId="10" fillId="3" borderId="2" xfId="5" applyNumberFormat="1" applyFont="1" applyFill="1" applyBorder="1" applyAlignment="1">
      <alignment horizontal="center" vertical="center" wrapText="1"/>
    </xf>
    <xf numFmtId="3" fontId="8" fillId="3" borderId="3" xfId="0" applyNumberFormat="1" applyFont="1" applyFill="1" applyBorder="1" applyAlignment="1">
      <alignment horizontal="center" vertical="center" wrapText="1"/>
    </xf>
    <xf numFmtId="3" fontId="9" fillId="3" borderId="1" xfId="5" applyNumberFormat="1" applyFont="1" applyFill="1" applyBorder="1" applyAlignment="1">
      <alignment horizontal="center" vertical="center" wrapText="1"/>
    </xf>
  </cellXfs>
  <cellStyles count="8">
    <cellStyle name="Énfasis3" xfId="4" builtinId="37"/>
    <cellStyle name="Millares" xfId="1" builtinId="3"/>
    <cellStyle name="Millares [0]" xfId="2" builtinId="6"/>
    <cellStyle name="Millares 2" xfId="7" xr:uid="{B98947AC-AEC4-4CFA-B56F-7AF0AFD243AD}"/>
    <cellStyle name="Normal" xfId="0" builtinId="0"/>
    <cellStyle name="Normal 784" xfId="5" xr:uid="{27637F51-64A0-4E22-A5D5-08F26B5B663B}"/>
    <cellStyle name="Normal 784 2 2 2 2" xfId="6" xr:uid="{175F9546-CE57-43E8-B077-CA53804CDBA0}"/>
    <cellStyle name="Porcentaje" xfId="3" builtinId="5"/>
  </cellStyles>
  <dxfs count="0"/>
  <tableStyles count="1" defaultTableStyle="TableStyleMedium2" defaultPivotStyle="PivotStyleLight16">
    <tableStyle name="Invisible" pivot="0" table="0" count="0" xr9:uid="{1FEC3DD4-97FC-40E1-A74A-F23128B693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BRAM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antiago/Downloads/planilla-de-excel-para-el-aplicativo-de-compras-y-ventas.xlsx" TargetMode="External"/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vyre-my.sharepoint.com/personal/susan_delao_servyre_com/Documents/1.OBRAS/2024/24-048/CONTRATISTA/GESCHAFT/Programa%20de%20actividades%20en%20obra_OBRA%2024-048.xlsx" TargetMode="External"/><Relationship Id="rId1" Type="http://schemas.openxmlformats.org/officeDocument/2006/relationships/externalLinkPath" Target="https://servyre-my.sharepoint.com/personal/susan_delao_servyre_com/Documents/1.OBRAS/2024/24-048/CONTRATISTA/GESCHAFT/Programa%20de%20actividades%20en%20obra_OBRA%2024-04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cmxl_hugo\c\1998COPY\doctos_excel\exceldoc\probramensu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pia%20de%20BASE%20DE%20DATOS%20OBRAS%202015%2023Nov2015%20(00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RAME"/>
      <sheetName val="PROBRAME.XLS"/>
      <sheetName val="Hoja2"/>
      <sheetName val="PROBRAME_XLS"/>
      <sheetName val="NOMENCLATURA"/>
      <sheetName val="INVENTARIO DIARIO SEPT 2019"/>
      <sheetName val="#REF"/>
      <sheetName val="PROBRAME_XLS3"/>
      <sheetName val="PROBRAME_XLS1"/>
      <sheetName val="PROBRAME_XLS2"/>
      <sheetName val="PROBRAME_XLS4"/>
      <sheetName val="PROBRAME_XLS5"/>
      <sheetName val="PROBRAME_XLS6"/>
      <sheetName val="PROBRAME_XLS8"/>
      <sheetName val="PROBRAME_XLS7"/>
      <sheetName val="PROBRAME_XLS9"/>
      <sheetName val="PROBRAME_XLS10"/>
      <sheetName val="PROBRAME_XLS11"/>
      <sheetName val="PROBRAME_XLS12"/>
      <sheetName val="PROBRAME_XLS13"/>
      <sheetName val="PROBRAME_XLS14"/>
      <sheetName val="PROBRAME_XLS15"/>
      <sheetName val="LETRA"/>
      <sheetName val="E-14"/>
    </sheetNames>
    <definedNames>
      <definedName name="Macro1"/>
      <definedName name="Macro11"/>
      <definedName name="Macro12"/>
      <definedName name="Macro14"/>
      <definedName name="Macro15"/>
      <definedName name="Macro16"/>
      <definedName name="Macro19"/>
      <definedName name="Macro2"/>
      <definedName name="Macro20"/>
      <definedName name="Macro22"/>
      <definedName name="Macro24"/>
      <definedName name="Macro25"/>
      <definedName name="Macro26"/>
      <definedName name="Macro27"/>
      <definedName name="Macro28"/>
      <definedName name="Macro29"/>
      <definedName name="Macro3"/>
      <definedName name="Macro30"/>
      <definedName name="Macro31"/>
      <definedName name="Macro32"/>
      <definedName name="Macro33"/>
      <definedName name="Macro34"/>
      <definedName name="Macro36"/>
      <definedName name="Macro37"/>
      <definedName name="Macro38"/>
      <definedName name="Macro39"/>
      <definedName name="Macro4"/>
      <definedName name="Macro42"/>
      <definedName name="Macro43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a de Comprobant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- AYUDA -"/>
      <sheetName val="Proyecto"/>
      <sheetName val="Reportes"/>
    </sheetNames>
    <sheetDataSet>
      <sheetData sheetId="0" refreshError="1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ramensual"/>
      <sheetName val="probramensual.xls"/>
      <sheetName val="F070101 R9"/>
      <sheetName val="FACT."/>
      <sheetName val="E-14"/>
      <sheetName val="E-39"/>
      <sheetName val="E-39 (2)"/>
      <sheetName val="E-39 (3)"/>
      <sheetName val="LIMP Cunetas"/>
      <sheetName val="BACHEO"/>
      <sheetName val="probramensual_xls"/>
      <sheetName val="F070101_R9"/>
      <sheetName val="FACT_"/>
      <sheetName val="E-39_(2)"/>
      <sheetName val="E-39_(3)"/>
      <sheetName val="LIMP_Cunetas"/>
      <sheetName val="probramensual_xls2"/>
      <sheetName val="F070101_R92"/>
      <sheetName val="FACT_2"/>
      <sheetName val="E-39_(2)2"/>
      <sheetName val="E-39_(3)2"/>
      <sheetName val="LIMP_Cunetas2"/>
      <sheetName val="probramensual_xls1"/>
      <sheetName val="F070101_R91"/>
      <sheetName val="FACT_1"/>
      <sheetName val="E-39_(2)1"/>
      <sheetName val="E-39_(3)1"/>
      <sheetName val="LIMP_Cunetas1"/>
      <sheetName val="probramensual_xls4"/>
      <sheetName val="F070101_R94"/>
      <sheetName val="FACT_4"/>
      <sheetName val="E-39_(2)4"/>
      <sheetName val="E-39_(3)4"/>
      <sheetName val="LIMP_Cunetas4"/>
      <sheetName val="probramensual_xls3"/>
      <sheetName val="F070101_R93"/>
      <sheetName val="FACT_3"/>
      <sheetName val="E-39_(2)3"/>
      <sheetName val="E-39_(3)3"/>
      <sheetName val="LIMP_Cunetas3"/>
      <sheetName val="probramensual_xls5"/>
      <sheetName val="F070101_R95"/>
      <sheetName val="FACT_5"/>
      <sheetName val="E-39_(2)5"/>
      <sheetName val="E-39_(3)5"/>
      <sheetName val="LIMP_Cunetas5"/>
      <sheetName val="probramensual_xls6"/>
      <sheetName val="F070101_R96"/>
      <sheetName val="FACT_6"/>
      <sheetName val="E-39_(2)6"/>
      <sheetName val="E-39_(3)6"/>
      <sheetName val="LIMP_Cunetas6"/>
      <sheetName val="probramensual_xls8"/>
      <sheetName val="F070101_R98"/>
      <sheetName val="FACT_8"/>
      <sheetName val="E-39_(2)8"/>
      <sheetName val="E-39_(3)8"/>
      <sheetName val="LIMP_Cunetas8"/>
      <sheetName val="probramensual_xls7"/>
      <sheetName val="F070101_R97"/>
      <sheetName val="FACT_7"/>
      <sheetName val="E-39_(2)7"/>
      <sheetName val="E-39_(3)7"/>
      <sheetName val="LIMP_Cunetas7"/>
      <sheetName val="probramensual_xls9"/>
      <sheetName val="F070101_R99"/>
      <sheetName val="FACT_9"/>
      <sheetName val="E-39_(2)9"/>
      <sheetName val="E-39_(3)9"/>
      <sheetName val="LIMP_Cunetas9"/>
      <sheetName val="probramensual_xls10"/>
      <sheetName val="F070101_R910"/>
      <sheetName val="FACT_10"/>
      <sheetName val="E-39_(2)10"/>
      <sheetName val="E-39_(3)10"/>
      <sheetName val="LIMP_Cunetas10"/>
      <sheetName val="probramensual_xls11"/>
      <sheetName val="F070101_R911"/>
      <sheetName val="FACT_11"/>
      <sheetName val="E-39_(2)11"/>
      <sheetName val="E-39_(3)11"/>
      <sheetName val="LIMP_Cunetas11"/>
      <sheetName val="probramensual_xls12"/>
      <sheetName val="F070101_R912"/>
      <sheetName val="FACT_12"/>
      <sheetName val="E-39_(2)12"/>
      <sheetName val="E-39_(3)12"/>
      <sheetName val="LIMP_Cunetas12"/>
      <sheetName val="probramensual_xls13"/>
      <sheetName val="F070101_R913"/>
      <sheetName val="FACT_13"/>
      <sheetName val="E-39_(2)13"/>
      <sheetName val="E-39_(3)13"/>
      <sheetName val="LIMP_Cunetas13"/>
      <sheetName val="probramensual_xls14"/>
      <sheetName val="F070101_R914"/>
      <sheetName val="FACT_14"/>
      <sheetName val="E-39_(2)14"/>
      <sheetName val="E-39_(3)14"/>
      <sheetName val="LIMP_Cunetas14"/>
      <sheetName val="probramensual_xls15"/>
      <sheetName val="F070101_R915"/>
      <sheetName val="FACT_15"/>
      <sheetName val="E-39_(2)15"/>
      <sheetName val="E-39_(3)15"/>
      <sheetName val="LIMP_Cunetas15"/>
      <sheetName val="\\Dgccmxl_hugo\c\1998COPY\docto"/>
    </sheetNames>
    <definedNames>
      <definedName name="Macro11"/>
      <definedName name="Macro12"/>
      <definedName name="Macro13"/>
      <definedName name="Macro14"/>
      <definedName name="Macro15"/>
      <definedName name="Macro16"/>
      <definedName name="Macro19"/>
      <definedName name="Macro2"/>
      <definedName name="Macro20"/>
      <definedName name="Macro22"/>
      <definedName name="Macro3"/>
      <definedName name="Macro4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S 2013"/>
      <sheetName val="OBRAS 2014"/>
      <sheetName val="OBRAS 2015"/>
      <sheetName val="OBRAS_2013"/>
      <sheetName val="OBRAS_2014"/>
      <sheetName val="OBRAS_2015"/>
      <sheetName val="OBRAS_20131"/>
      <sheetName val="OBRAS_20141"/>
      <sheetName val="OBRAS_20151"/>
      <sheetName val="OBRAS_20132"/>
      <sheetName val="OBRAS_20142"/>
      <sheetName val="OBRAS_20152"/>
      <sheetName val="OBRAS_20133"/>
      <sheetName val="OBRAS_20143"/>
      <sheetName val="OBRAS_2015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1ADD-E8B1-4211-A19A-6DEC3092CD01}">
  <sheetPr codeName="Hoja1">
    <tabColor rgb="FF92D050"/>
  </sheetPr>
  <dimension ref="A1:E328"/>
  <sheetViews>
    <sheetView tabSelected="1" topLeftCell="A3" zoomScaleNormal="100" zoomScaleSheetLayoutView="99" workbookViewId="0">
      <pane xSplit="2" ySplit="3" topLeftCell="C294" activePane="bottomRight" state="frozen"/>
      <selection activeCell="A3" sqref="A3"/>
      <selection pane="topRight" activeCell="G3" sqref="G3"/>
      <selection pane="bottomLeft" activeCell="A6" sqref="A6"/>
      <selection pane="bottomRight" activeCell="A276" sqref="A276:XFD276"/>
    </sheetView>
  </sheetViews>
  <sheetFormatPr baseColWidth="10" defaultColWidth="10.5703125" defaultRowHeight="15" outlineLevelRow="2" x14ac:dyDescent="0.25"/>
  <cols>
    <col min="1" max="1" width="18.7109375" bestFit="1" customWidth="1"/>
    <col min="2" max="2" width="36.5703125" customWidth="1"/>
    <col min="3" max="3" width="16.140625" bestFit="1" customWidth="1"/>
    <col min="4" max="4" width="16.7109375" customWidth="1"/>
  </cols>
  <sheetData>
    <row r="1" spans="1:4" s="4" customFormat="1" ht="17.25" x14ac:dyDescent="0.3">
      <c r="A1" s="1"/>
      <c r="B1" s="2" t="s">
        <v>0</v>
      </c>
      <c r="C1" s="3"/>
      <c r="D1" s="3"/>
    </row>
    <row r="4" spans="1:4" x14ac:dyDescent="0.25">
      <c r="A4" s="63" t="s">
        <v>1</v>
      </c>
      <c r="B4" s="63" t="s">
        <v>2</v>
      </c>
      <c r="C4" s="61" t="s">
        <v>4</v>
      </c>
      <c r="D4" s="62" t="s">
        <v>3</v>
      </c>
    </row>
    <row r="5" spans="1:4" ht="29.25" customHeight="1" x14ac:dyDescent="0.25">
      <c r="A5" s="63"/>
      <c r="B5" s="63"/>
      <c r="C5" s="61"/>
      <c r="D5" s="62"/>
    </row>
    <row r="6" spans="1:4" x14ac:dyDescent="0.25">
      <c r="A6" s="5"/>
      <c r="B6" s="6">
        <v>1</v>
      </c>
      <c r="C6" s="8"/>
      <c r="D6" s="7"/>
    </row>
    <row r="7" spans="1:4" outlineLevel="2" x14ac:dyDescent="0.25">
      <c r="A7" s="9" t="s">
        <v>5</v>
      </c>
      <c r="B7" s="10" t="s">
        <v>6</v>
      </c>
      <c r="C7" s="10"/>
      <c r="D7" s="11" t="e">
        <f>+C7/$C$91</f>
        <v>#DIV/0!</v>
      </c>
    </row>
    <row r="8" spans="1:4" outlineLevel="2" x14ac:dyDescent="0.25">
      <c r="A8" s="9" t="s">
        <v>7</v>
      </c>
      <c r="B8" s="10" t="s">
        <v>8</v>
      </c>
      <c r="C8" s="10"/>
      <c r="D8" s="11" t="e">
        <f>+C8/$C$91</f>
        <v>#DIV/0!</v>
      </c>
    </row>
    <row r="9" spans="1:4" outlineLevel="2" x14ac:dyDescent="0.25">
      <c r="A9" s="9" t="s">
        <v>9</v>
      </c>
      <c r="B9" s="10" t="s">
        <v>10</v>
      </c>
      <c r="C9" s="10"/>
      <c r="D9" s="11" t="e">
        <f>+C9/$C$91</f>
        <v>#DIV/0!</v>
      </c>
    </row>
    <row r="10" spans="1:4" outlineLevel="2" x14ac:dyDescent="0.25">
      <c r="A10" s="9" t="s">
        <v>11</v>
      </c>
      <c r="B10" s="10" t="s">
        <v>12</v>
      </c>
      <c r="C10" s="10"/>
      <c r="D10" s="11" t="e">
        <f>+C10/$C$91</f>
        <v>#DIV/0!</v>
      </c>
    </row>
    <row r="11" spans="1:4" outlineLevel="2" x14ac:dyDescent="0.25">
      <c r="A11" s="12"/>
      <c r="B11" s="13" t="s">
        <v>13</v>
      </c>
      <c r="C11" s="14">
        <f>SUBTOTAL(9,C7:C10)</f>
        <v>0</v>
      </c>
      <c r="D11" s="11" t="e">
        <f>+C11/$C$91</f>
        <v>#DIV/0!</v>
      </c>
    </row>
    <row r="12" spans="1:4" outlineLevel="2" x14ac:dyDescent="0.25">
      <c r="A12" s="9"/>
      <c r="B12" s="10" t="s">
        <v>14</v>
      </c>
      <c r="C12" s="10"/>
      <c r="D12" s="10"/>
    </row>
    <row r="13" spans="1:4" outlineLevel="2" x14ac:dyDescent="0.25">
      <c r="A13" s="9" t="s">
        <v>15</v>
      </c>
      <c r="B13" s="10" t="s">
        <v>6</v>
      </c>
      <c r="C13" s="10"/>
      <c r="D13" s="11" t="e">
        <f>+C13/$C$91</f>
        <v>#DIV/0!</v>
      </c>
    </row>
    <row r="14" spans="1:4" outlineLevel="2" x14ac:dyDescent="0.25">
      <c r="A14" s="9" t="s">
        <v>16</v>
      </c>
      <c r="B14" s="10" t="s">
        <v>8</v>
      </c>
      <c r="C14" s="10"/>
      <c r="D14" s="11" t="e">
        <f>+C14/$C$91</f>
        <v>#DIV/0!</v>
      </c>
    </row>
    <row r="15" spans="1:4" outlineLevel="2" x14ac:dyDescent="0.25">
      <c r="A15" s="9" t="s">
        <v>17</v>
      </c>
      <c r="B15" s="10" t="s">
        <v>10</v>
      </c>
      <c r="C15" s="10"/>
      <c r="D15" s="11" t="e">
        <f>+C15/$C$91</f>
        <v>#DIV/0!</v>
      </c>
    </row>
    <row r="16" spans="1:4" outlineLevel="2" x14ac:dyDescent="0.25">
      <c r="A16" s="9" t="s">
        <v>18</v>
      </c>
      <c r="B16" s="10" t="s">
        <v>12</v>
      </c>
      <c r="C16" s="10"/>
      <c r="D16" s="11" t="e">
        <f>+C16/$C$91</f>
        <v>#DIV/0!</v>
      </c>
    </row>
    <row r="17" spans="1:4" outlineLevel="2" x14ac:dyDescent="0.25">
      <c r="A17" s="12"/>
      <c r="B17" s="13" t="s">
        <v>19</v>
      </c>
      <c r="C17" s="14">
        <f>SUBTOTAL(9,C13:C16)</f>
        <v>0</v>
      </c>
      <c r="D17" s="11" t="e">
        <f>+C17/$C$91</f>
        <v>#DIV/0!</v>
      </c>
    </row>
    <row r="18" spans="1:4" outlineLevel="2" x14ac:dyDescent="0.25">
      <c r="A18" s="5"/>
      <c r="B18" s="6"/>
      <c r="C18" s="8"/>
      <c r="D18" s="15"/>
    </row>
    <row r="19" spans="1:4" outlineLevel="2" x14ac:dyDescent="0.25">
      <c r="A19" s="9" t="s">
        <v>20</v>
      </c>
      <c r="B19" s="10" t="s">
        <v>21</v>
      </c>
      <c r="C19" s="10"/>
      <c r="D19" s="11" t="e">
        <f>+C19/$C$91</f>
        <v>#DIV/0!</v>
      </c>
    </row>
    <row r="20" spans="1:4" outlineLevel="2" x14ac:dyDescent="0.25">
      <c r="A20" s="9" t="s">
        <v>22</v>
      </c>
      <c r="B20" s="10" t="s">
        <v>23</v>
      </c>
      <c r="C20" s="10"/>
      <c r="D20" s="11" t="e">
        <f>+C20/$C$91</f>
        <v>#DIV/0!</v>
      </c>
    </row>
    <row r="21" spans="1:4" outlineLevel="2" x14ac:dyDescent="0.25">
      <c r="A21" s="9" t="s">
        <v>24</v>
      </c>
      <c r="B21" s="10" t="s">
        <v>25</v>
      </c>
      <c r="C21" s="10"/>
      <c r="D21" s="11" t="e">
        <f>+C21/$C$91</f>
        <v>#DIV/0!</v>
      </c>
    </row>
    <row r="22" spans="1:4" outlineLevel="2" x14ac:dyDescent="0.25">
      <c r="A22" s="9" t="s">
        <v>26</v>
      </c>
      <c r="B22" s="10" t="s">
        <v>27</v>
      </c>
      <c r="C22" s="10"/>
      <c r="D22" s="11" t="e">
        <f>+C22/$C$91</f>
        <v>#DIV/0!</v>
      </c>
    </row>
    <row r="23" spans="1:4" outlineLevel="2" x14ac:dyDescent="0.25">
      <c r="A23" s="12"/>
      <c r="B23" s="13" t="s">
        <v>28</v>
      </c>
      <c r="C23" s="14">
        <f>SUBTOTAL(9,C19:C22)</f>
        <v>0</v>
      </c>
      <c r="D23" s="11" t="e">
        <f>+C23/$C$91</f>
        <v>#DIV/0!</v>
      </c>
    </row>
    <row r="24" spans="1:4" outlineLevel="2" x14ac:dyDescent="0.25">
      <c r="A24" s="5"/>
      <c r="B24" s="10"/>
      <c r="C24" s="10"/>
      <c r="D24" s="10"/>
    </row>
    <row r="25" spans="1:4" outlineLevel="2" x14ac:dyDescent="0.25">
      <c r="A25" s="9" t="s">
        <v>29</v>
      </c>
      <c r="B25" s="10" t="s">
        <v>21</v>
      </c>
      <c r="C25" s="10"/>
      <c r="D25" s="11" t="e">
        <f>+C25/$C$91</f>
        <v>#DIV/0!</v>
      </c>
    </row>
    <row r="26" spans="1:4" outlineLevel="2" x14ac:dyDescent="0.25">
      <c r="A26" s="9" t="s">
        <v>30</v>
      </c>
      <c r="B26" s="10" t="s">
        <v>23</v>
      </c>
      <c r="C26" s="10"/>
      <c r="D26" s="11" t="e">
        <f>+C26/$C$91</f>
        <v>#DIV/0!</v>
      </c>
    </row>
    <row r="27" spans="1:4" outlineLevel="2" x14ac:dyDescent="0.25">
      <c r="A27" s="9" t="s">
        <v>31</v>
      </c>
      <c r="B27" s="10" t="s">
        <v>25</v>
      </c>
      <c r="C27" s="10"/>
      <c r="D27" s="11" t="e">
        <f>+C27/$C$91</f>
        <v>#DIV/0!</v>
      </c>
    </row>
    <row r="28" spans="1:4" outlineLevel="2" x14ac:dyDescent="0.25">
      <c r="A28" s="9" t="s">
        <v>32</v>
      </c>
      <c r="B28" s="10" t="s">
        <v>27</v>
      </c>
      <c r="C28" s="10"/>
      <c r="D28" s="11" t="e">
        <f>+C28/$C$91</f>
        <v>#DIV/0!</v>
      </c>
    </row>
    <row r="29" spans="1:4" outlineLevel="2" x14ac:dyDescent="0.25">
      <c r="A29" s="12"/>
      <c r="B29" s="13" t="s">
        <v>33</v>
      </c>
      <c r="C29" s="14">
        <f>SUBTOTAL(9,C25:C28)</f>
        <v>0</v>
      </c>
      <c r="D29" s="16" t="e">
        <f>+C29/$C$91</f>
        <v>#DIV/0!</v>
      </c>
    </row>
    <row r="30" spans="1:4" outlineLevel="2" x14ac:dyDescent="0.25">
      <c r="A30" s="9"/>
      <c r="B30" s="10"/>
      <c r="C30" s="10"/>
      <c r="D30" s="10"/>
    </row>
    <row r="31" spans="1:4" outlineLevel="2" x14ac:dyDescent="0.25">
      <c r="A31" s="9"/>
      <c r="B31" s="17" t="s">
        <v>34</v>
      </c>
      <c r="C31" s="18">
        <f>+C29+C23+C17+C11</f>
        <v>0</v>
      </c>
      <c r="D31" s="16" t="e">
        <f>+C31/$C$91</f>
        <v>#DIV/0!</v>
      </c>
    </row>
    <row r="32" spans="1:4" outlineLevel="2" x14ac:dyDescent="0.25">
      <c r="A32" s="9"/>
      <c r="B32" s="19"/>
      <c r="C32" s="10"/>
      <c r="D32" s="10"/>
    </row>
    <row r="33" spans="1:4" outlineLevel="2" x14ac:dyDescent="0.25">
      <c r="A33" s="9" t="s">
        <v>35</v>
      </c>
      <c r="B33" s="10" t="s">
        <v>36</v>
      </c>
      <c r="C33" s="10"/>
      <c r="D33" s="11" t="e">
        <f>+C33/$C$91</f>
        <v>#DIV/0!</v>
      </c>
    </row>
    <row r="34" spans="1:4" outlineLevel="2" x14ac:dyDescent="0.25">
      <c r="A34" s="9" t="s">
        <v>37</v>
      </c>
      <c r="B34" s="10" t="s">
        <v>38</v>
      </c>
      <c r="C34" s="10"/>
      <c r="D34" s="11" t="e">
        <f>+C34/$C$91</f>
        <v>#DIV/0!</v>
      </c>
    </row>
    <row r="35" spans="1:4" outlineLevel="2" x14ac:dyDescent="0.25">
      <c r="A35" s="9" t="s">
        <v>39</v>
      </c>
      <c r="B35" s="10" t="s">
        <v>40</v>
      </c>
      <c r="C35" s="10"/>
      <c r="D35" s="11" t="e">
        <f>+C35/$C$91</f>
        <v>#DIV/0!</v>
      </c>
    </row>
    <row r="36" spans="1:4" outlineLevel="2" x14ac:dyDescent="0.25">
      <c r="A36" s="9" t="s">
        <v>41</v>
      </c>
      <c r="B36" s="10" t="s">
        <v>42</v>
      </c>
      <c r="C36" s="10"/>
      <c r="D36" s="11" t="e">
        <f>+C36/$C$91</f>
        <v>#DIV/0!</v>
      </c>
    </row>
    <row r="37" spans="1:4" outlineLevel="2" x14ac:dyDescent="0.25">
      <c r="A37" s="12"/>
      <c r="B37" s="13" t="s">
        <v>43</v>
      </c>
      <c r="C37" s="14">
        <f>SUBTOTAL(9,C33:C36)</f>
        <v>0</v>
      </c>
      <c r="D37" s="11" t="e">
        <f>+C37/$C$91</f>
        <v>#DIV/0!</v>
      </c>
    </row>
    <row r="38" spans="1:4" outlineLevel="2" x14ac:dyDescent="0.25">
      <c r="A38" s="9"/>
      <c r="B38" s="10"/>
      <c r="C38" s="10"/>
      <c r="D38" s="10"/>
    </row>
    <row r="39" spans="1:4" outlineLevel="2" x14ac:dyDescent="0.25">
      <c r="A39" s="9" t="s">
        <v>44</v>
      </c>
      <c r="B39" s="10" t="s">
        <v>36</v>
      </c>
      <c r="C39" s="10"/>
      <c r="D39" s="11" t="e">
        <f>+C39/$C$91</f>
        <v>#DIV/0!</v>
      </c>
    </row>
    <row r="40" spans="1:4" outlineLevel="2" x14ac:dyDescent="0.25">
      <c r="A40" s="9" t="s">
        <v>45</v>
      </c>
      <c r="B40" s="10" t="s">
        <v>38</v>
      </c>
      <c r="C40" s="10"/>
      <c r="D40" s="11" t="e">
        <f>+C40/$C$91</f>
        <v>#DIV/0!</v>
      </c>
    </row>
    <row r="41" spans="1:4" outlineLevel="2" x14ac:dyDescent="0.25">
      <c r="A41" s="9" t="s">
        <v>46</v>
      </c>
      <c r="B41" s="10" t="s">
        <v>40</v>
      </c>
      <c r="C41" s="10"/>
      <c r="D41" s="11" t="e">
        <f>+C41/$C$91</f>
        <v>#DIV/0!</v>
      </c>
    </row>
    <row r="42" spans="1:4" outlineLevel="2" x14ac:dyDescent="0.25">
      <c r="A42" s="9" t="s">
        <v>47</v>
      </c>
      <c r="B42" s="10" t="s">
        <v>42</v>
      </c>
      <c r="C42" s="10"/>
      <c r="D42" s="11" t="e">
        <f>+C42/$C$91</f>
        <v>#DIV/0!</v>
      </c>
    </row>
    <row r="43" spans="1:4" outlineLevel="2" x14ac:dyDescent="0.25">
      <c r="A43" s="12"/>
      <c r="B43" s="13" t="s">
        <v>48</v>
      </c>
      <c r="C43" s="14">
        <f>SUBTOTAL(9,C39:C42)</f>
        <v>0</v>
      </c>
      <c r="D43" s="11" t="e">
        <f>+C43/$C$91</f>
        <v>#DIV/0!</v>
      </c>
    </row>
    <row r="44" spans="1:4" outlineLevel="2" x14ac:dyDescent="0.25">
      <c r="A44" s="9"/>
      <c r="B44" s="19"/>
      <c r="C44" s="10"/>
      <c r="D44" s="10"/>
    </row>
    <row r="45" spans="1:4" outlineLevel="2" x14ac:dyDescent="0.25">
      <c r="A45" s="9" t="s">
        <v>49</v>
      </c>
      <c r="B45" s="10" t="s">
        <v>50</v>
      </c>
      <c r="C45" s="10"/>
      <c r="D45" s="11" t="e">
        <f>+C45/$C$91</f>
        <v>#DIV/0!</v>
      </c>
    </row>
    <row r="46" spans="1:4" outlineLevel="2" x14ac:dyDescent="0.25">
      <c r="A46" s="9" t="s">
        <v>51</v>
      </c>
      <c r="B46" s="10" t="s">
        <v>52</v>
      </c>
      <c r="C46" s="10"/>
      <c r="D46" s="11" t="e">
        <f>+C46/$C$91</f>
        <v>#DIV/0!</v>
      </c>
    </row>
    <row r="47" spans="1:4" outlineLevel="2" x14ac:dyDescent="0.25">
      <c r="A47" s="9" t="s">
        <v>53</v>
      </c>
      <c r="B47" s="10" t="s">
        <v>54</v>
      </c>
      <c r="C47" s="10"/>
      <c r="D47" s="11" t="e">
        <f>+C47/$C$91</f>
        <v>#DIV/0!</v>
      </c>
    </row>
    <row r="48" spans="1:4" outlineLevel="2" x14ac:dyDescent="0.25">
      <c r="A48" s="9" t="s">
        <v>55</v>
      </c>
      <c r="B48" s="10" t="s">
        <v>56</v>
      </c>
      <c r="C48" s="10"/>
      <c r="D48" s="11" t="e">
        <f>+C48/$C$91</f>
        <v>#DIV/0!</v>
      </c>
    </row>
    <row r="49" spans="1:4" outlineLevel="2" x14ac:dyDescent="0.25">
      <c r="A49" s="12"/>
      <c r="B49" s="13" t="s">
        <v>57</v>
      </c>
      <c r="C49" s="14">
        <f>SUBTOTAL(9,C45:C48)</f>
        <v>0</v>
      </c>
      <c r="D49" s="11" t="e">
        <f>+C49/$C$91</f>
        <v>#DIV/0!</v>
      </c>
    </row>
    <row r="50" spans="1:4" outlineLevel="2" x14ac:dyDescent="0.25">
      <c r="A50" s="9"/>
      <c r="B50" s="10"/>
      <c r="C50" s="10"/>
      <c r="D50" s="10"/>
    </row>
    <row r="51" spans="1:4" outlineLevel="2" x14ac:dyDescent="0.25">
      <c r="A51" s="9"/>
      <c r="B51" s="19"/>
      <c r="C51" s="10"/>
      <c r="D51" s="10"/>
    </row>
    <row r="52" spans="1:4" outlineLevel="2" x14ac:dyDescent="0.25">
      <c r="A52" s="20" t="s">
        <v>58</v>
      </c>
      <c r="B52" s="10" t="s">
        <v>50</v>
      </c>
      <c r="C52" s="10"/>
      <c r="D52" s="11" t="e">
        <f>+C52/$C$91</f>
        <v>#DIV/0!</v>
      </c>
    </row>
    <row r="53" spans="1:4" outlineLevel="2" x14ac:dyDescent="0.25">
      <c r="A53" s="20" t="s">
        <v>59</v>
      </c>
      <c r="B53" s="10" t="s">
        <v>52</v>
      </c>
      <c r="C53" s="10"/>
      <c r="D53" s="11" t="e">
        <f>+C53/$C$91</f>
        <v>#DIV/0!</v>
      </c>
    </row>
    <row r="54" spans="1:4" outlineLevel="2" x14ac:dyDescent="0.25">
      <c r="A54" s="20" t="s">
        <v>60</v>
      </c>
      <c r="B54" s="10" t="s">
        <v>54</v>
      </c>
      <c r="C54" s="10"/>
      <c r="D54" s="11" t="e">
        <f>+C54/$C$91</f>
        <v>#DIV/0!</v>
      </c>
    </row>
    <row r="55" spans="1:4" outlineLevel="2" x14ac:dyDescent="0.25">
      <c r="A55" s="20" t="s">
        <v>61</v>
      </c>
      <c r="B55" s="10" t="s">
        <v>56</v>
      </c>
      <c r="C55" s="10"/>
      <c r="D55" s="11" t="e">
        <f>+C55/$C$91</f>
        <v>#DIV/0!</v>
      </c>
    </row>
    <row r="56" spans="1:4" outlineLevel="2" x14ac:dyDescent="0.25">
      <c r="A56" s="12"/>
      <c r="B56" s="13" t="s">
        <v>57</v>
      </c>
      <c r="C56" s="14">
        <f>SUBTOTAL(9,C52:C55)</f>
        <v>0</v>
      </c>
      <c r="D56" s="11" t="e">
        <f>+C56/$C$91</f>
        <v>#DIV/0!</v>
      </c>
    </row>
    <row r="57" spans="1:4" outlineLevel="2" x14ac:dyDescent="0.25">
      <c r="A57" s="9"/>
      <c r="B57" s="10"/>
      <c r="C57" s="10"/>
      <c r="D57" s="10"/>
    </row>
    <row r="58" spans="1:4" outlineLevel="2" x14ac:dyDescent="0.25">
      <c r="A58" s="9" t="s">
        <v>62</v>
      </c>
      <c r="B58" s="10" t="s">
        <v>63</v>
      </c>
      <c r="C58" s="10"/>
      <c r="D58" s="11" t="e">
        <f>+C58/$C$91</f>
        <v>#DIV/0!</v>
      </c>
    </row>
    <row r="59" spans="1:4" outlineLevel="2" x14ac:dyDescent="0.25">
      <c r="A59" s="9" t="s">
        <v>64</v>
      </c>
      <c r="B59" s="10" t="s">
        <v>65</v>
      </c>
      <c r="C59" s="10"/>
      <c r="D59" s="11" t="e">
        <f>+C59/$C$91</f>
        <v>#DIV/0!</v>
      </c>
    </row>
    <row r="60" spans="1:4" outlineLevel="2" x14ac:dyDescent="0.25">
      <c r="A60" s="9" t="s">
        <v>66</v>
      </c>
      <c r="B60" s="10" t="s">
        <v>67</v>
      </c>
      <c r="C60" s="10"/>
      <c r="D60" s="11" t="e">
        <f>+C60/$C$91</f>
        <v>#DIV/0!</v>
      </c>
    </row>
    <row r="61" spans="1:4" outlineLevel="2" x14ac:dyDescent="0.25">
      <c r="A61" s="9" t="s">
        <v>68</v>
      </c>
      <c r="B61" s="10" t="s">
        <v>69</v>
      </c>
      <c r="C61" s="10"/>
      <c r="D61" s="11" t="e">
        <f>+C61/$C$91</f>
        <v>#DIV/0!</v>
      </c>
    </row>
    <row r="62" spans="1:4" outlineLevel="2" x14ac:dyDescent="0.25">
      <c r="A62" s="12"/>
      <c r="B62" s="13" t="s">
        <v>70</v>
      </c>
      <c r="C62" s="14">
        <f>SUBTOTAL(9,C58:C61)</f>
        <v>0</v>
      </c>
      <c r="D62" s="11" t="e">
        <f>+C62/$C$91</f>
        <v>#DIV/0!</v>
      </c>
    </row>
    <row r="63" spans="1:4" outlineLevel="2" x14ac:dyDescent="0.25">
      <c r="A63" s="9"/>
      <c r="B63" s="10"/>
      <c r="C63" s="10"/>
      <c r="D63" s="10"/>
    </row>
    <row r="64" spans="1:4" outlineLevel="2" x14ac:dyDescent="0.25">
      <c r="A64" s="9" t="s">
        <v>71</v>
      </c>
      <c r="B64" s="10" t="s">
        <v>63</v>
      </c>
      <c r="C64" s="10"/>
      <c r="D64" s="11" t="e">
        <f>+C64/$C$91</f>
        <v>#DIV/0!</v>
      </c>
    </row>
    <row r="65" spans="1:4" outlineLevel="2" x14ac:dyDescent="0.25">
      <c r="A65" s="9" t="s">
        <v>72</v>
      </c>
      <c r="B65" s="10" t="s">
        <v>65</v>
      </c>
      <c r="C65" s="10"/>
      <c r="D65" s="11" t="e">
        <f>+C65/$C$91</f>
        <v>#DIV/0!</v>
      </c>
    </row>
    <row r="66" spans="1:4" outlineLevel="2" x14ac:dyDescent="0.25">
      <c r="A66" s="9" t="s">
        <v>73</v>
      </c>
      <c r="B66" s="10" t="s">
        <v>67</v>
      </c>
      <c r="C66" s="10"/>
      <c r="D66" s="11" t="e">
        <f>+C66/$C$91</f>
        <v>#DIV/0!</v>
      </c>
    </row>
    <row r="67" spans="1:4" outlineLevel="2" x14ac:dyDescent="0.25">
      <c r="A67" s="9" t="s">
        <v>74</v>
      </c>
      <c r="B67" s="10" t="s">
        <v>69</v>
      </c>
      <c r="C67" s="10"/>
      <c r="D67" s="11" t="e">
        <f>+C67/$C$91</f>
        <v>#DIV/0!</v>
      </c>
    </row>
    <row r="68" spans="1:4" outlineLevel="2" x14ac:dyDescent="0.25">
      <c r="A68" s="12"/>
      <c r="B68" s="13" t="s">
        <v>75</v>
      </c>
      <c r="C68" s="14">
        <f>SUBTOTAL(9,C64:C67)</f>
        <v>0</v>
      </c>
      <c r="D68" s="11" t="e">
        <f>+C68/$C$91</f>
        <v>#DIV/0!</v>
      </c>
    </row>
    <row r="69" spans="1:4" outlineLevel="2" x14ac:dyDescent="0.25">
      <c r="A69" s="9"/>
      <c r="B69" s="10"/>
      <c r="C69" s="10"/>
      <c r="D69" s="10"/>
    </row>
    <row r="70" spans="1:4" outlineLevel="2" x14ac:dyDescent="0.25">
      <c r="A70" s="9"/>
      <c r="B70" s="17" t="s">
        <v>76</v>
      </c>
      <c r="C70" s="18">
        <f>+C37+C43+C62+C68+C49</f>
        <v>0</v>
      </c>
      <c r="D70" s="16" t="e">
        <f>+C70/$C$91</f>
        <v>#DIV/0!</v>
      </c>
    </row>
    <row r="71" spans="1:4" outlineLevel="2" x14ac:dyDescent="0.25">
      <c r="A71" s="9"/>
      <c r="B71" s="19"/>
      <c r="C71" s="10"/>
      <c r="D71" s="10"/>
    </row>
    <row r="72" spans="1:4" outlineLevel="1" x14ac:dyDescent="0.25">
      <c r="A72" s="9"/>
      <c r="B72" s="10" t="s">
        <v>77</v>
      </c>
      <c r="C72" s="10">
        <f>+C7+C19-C33-C58+C45</f>
        <v>0</v>
      </c>
      <c r="D72" s="11" t="e">
        <f>+C72/$C$91</f>
        <v>#DIV/0!</v>
      </c>
    </row>
    <row r="73" spans="1:4" outlineLevel="1" x14ac:dyDescent="0.25">
      <c r="A73" s="9"/>
      <c r="B73" s="10" t="s">
        <v>78</v>
      </c>
      <c r="C73" s="10">
        <f>+C8+C20-C34-C59+C46-C53</f>
        <v>0</v>
      </c>
      <c r="D73" s="11" t="e">
        <f>+C73/$C$91</f>
        <v>#DIV/0!</v>
      </c>
    </row>
    <row r="74" spans="1:4" outlineLevel="1" x14ac:dyDescent="0.25">
      <c r="A74" s="9"/>
      <c r="B74" s="10" t="s">
        <v>79</v>
      </c>
      <c r="C74" s="10">
        <f>+C9+C21-C35-C60+C47</f>
        <v>0</v>
      </c>
      <c r="D74" s="11" t="e">
        <f>+C74/$C$91</f>
        <v>#DIV/0!</v>
      </c>
    </row>
    <row r="75" spans="1:4" outlineLevel="1" x14ac:dyDescent="0.25">
      <c r="A75" s="9"/>
      <c r="B75" s="10" t="s">
        <v>80</v>
      </c>
      <c r="C75" s="10">
        <f>+C10+C22-C36-C61+C48</f>
        <v>0</v>
      </c>
      <c r="D75" s="11" t="e">
        <f>+C75/$C$91</f>
        <v>#DIV/0!</v>
      </c>
    </row>
    <row r="76" spans="1:4" outlineLevel="1" x14ac:dyDescent="0.25">
      <c r="A76" s="9"/>
      <c r="B76" s="10"/>
      <c r="C76" s="21"/>
      <c r="D76" s="10"/>
    </row>
    <row r="77" spans="1:4" outlineLevel="1" x14ac:dyDescent="0.25">
      <c r="A77" s="9"/>
      <c r="B77" s="22" t="s">
        <v>81</v>
      </c>
      <c r="C77" s="23">
        <f>SUBTOTAL(9,C72:C76)</f>
        <v>0</v>
      </c>
      <c r="D77" s="11" t="e">
        <f>+C77/$C$91</f>
        <v>#DIV/0!</v>
      </c>
    </row>
    <row r="78" spans="1:4" outlineLevel="1" x14ac:dyDescent="0.25">
      <c r="A78" s="9"/>
      <c r="B78" s="10"/>
      <c r="C78" s="24"/>
      <c r="D78" s="13"/>
    </row>
    <row r="79" spans="1:4" outlineLevel="1" x14ac:dyDescent="0.25">
      <c r="A79" s="9"/>
      <c r="B79" s="10" t="s">
        <v>77</v>
      </c>
      <c r="C79" s="10">
        <f>+C13+C25-C39-C64</f>
        <v>0</v>
      </c>
      <c r="D79" s="11" t="e">
        <f>+C79/$C$91</f>
        <v>#DIV/0!</v>
      </c>
    </row>
    <row r="80" spans="1:4" outlineLevel="1" x14ac:dyDescent="0.25">
      <c r="A80" s="9"/>
      <c r="B80" s="10" t="s">
        <v>78</v>
      </c>
      <c r="C80" s="10">
        <f>+C14+C26-C40-C65</f>
        <v>0</v>
      </c>
      <c r="D80" s="11" t="e">
        <f>+C80/$C$91</f>
        <v>#DIV/0!</v>
      </c>
    </row>
    <row r="81" spans="1:4" outlineLevel="1" x14ac:dyDescent="0.25">
      <c r="A81" s="9"/>
      <c r="B81" s="10" t="s">
        <v>79</v>
      </c>
      <c r="C81" s="10">
        <f>+C15+C27-C41-C66</f>
        <v>0</v>
      </c>
      <c r="D81" s="11" t="e">
        <f>+C81/$C$91</f>
        <v>#DIV/0!</v>
      </c>
    </row>
    <row r="82" spans="1:4" outlineLevel="1" x14ac:dyDescent="0.25">
      <c r="A82" s="9"/>
      <c r="B82" s="10" t="s">
        <v>80</v>
      </c>
      <c r="C82" s="10">
        <f>+C16+C28-C42-C67</f>
        <v>0</v>
      </c>
      <c r="D82" s="11" t="e">
        <f>+C82/$C$91</f>
        <v>#DIV/0!</v>
      </c>
    </row>
    <row r="83" spans="1:4" outlineLevel="1" x14ac:dyDescent="0.25">
      <c r="A83" s="9"/>
      <c r="B83" s="10"/>
      <c r="C83" s="21"/>
      <c r="D83" s="13"/>
    </row>
    <row r="84" spans="1:4" outlineLevel="1" x14ac:dyDescent="0.25">
      <c r="A84" s="9"/>
      <c r="B84" s="22" t="s">
        <v>82</v>
      </c>
      <c r="C84" s="23">
        <f>SUBTOTAL(9,C79:C82)</f>
        <v>0</v>
      </c>
      <c r="D84" s="16" t="e">
        <f>+C84/$C$91</f>
        <v>#DIV/0!</v>
      </c>
    </row>
    <row r="85" spans="1:4" outlineLevel="1" x14ac:dyDescent="0.25">
      <c r="A85" s="9"/>
      <c r="B85" s="22"/>
      <c r="C85" s="13"/>
      <c r="D85" s="10"/>
    </row>
    <row r="86" spans="1:4" outlineLevel="1" x14ac:dyDescent="0.25">
      <c r="A86" s="9"/>
      <c r="B86" s="17" t="s">
        <v>83</v>
      </c>
      <c r="C86" s="18">
        <f>+C84+C77</f>
        <v>0</v>
      </c>
      <c r="D86" s="16" t="e">
        <f>+C86/$C$91</f>
        <v>#DIV/0!</v>
      </c>
    </row>
    <row r="87" spans="1:4" outlineLevel="1" x14ac:dyDescent="0.25">
      <c r="A87" s="9"/>
      <c r="B87" s="10"/>
      <c r="C87" s="10"/>
      <c r="D87" s="13"/>
    </row>
    <row r="88" spans="1:4" outlineLevel="1" x14ac:dyDescent="0.25">
      <c r="A88" s="25" t="s">
        <v>84</v>
      </c>
      <c r="B88" s="26" t="s">
        <v>85</v>
      </c>
      <c r="C88" s="10"/>
      <c r="D88" s="11" t="e">
        <f>+C88/$C$91</f>
        <v>#DIV/0!</v>
      </c>
    </row>
    <row r="89" spans="1:4" outlineLevel="1" x14ac:dyDescent="0.25">
      <c r="A89" s="25" t="s">
        <v>86</v>
      </c>
      <c r="B89" s="26" t="s">
        <v>87</v>
      </c>
      <c r="C89" s="10"/>
      <c r="D89" s="11" t="e">
        <f t="shared" ref="D89" si="0">+C89/$C$91</f>
        <v>#DIV/0!</v>
      </c>
    </row>
    <row r="90" spans="1:4" outlineLevel="1" x14ac:dyDescent="0.25">
      <c r="A90" s="27"/>
      <c r="B90" s="26"/>
      <c r="C90" s="21"/>
      <c r="D90" s="10"/>
    </row>
    <row r="91" spans="1:4" x14ac:dyDescent="0.25">
      <c r="A91" s="9"/>
      <c r="B91" s="17" t="s">
        <v>88</v>
      </c>
      <c r="C91" s="18">
        <f>+C86+C88+C89</f>
        <v>0</v>
      </c>
      <c r="D91" s="16" t="e">
        <f t="shared" ref="D91" si="1">+C91/$C$91</f>
        <v>#DIV/0!</v>
      </c>
    </row>
    <row r="92" spans="1:4" x14ac:dyDescent="0.25">
      <c r="A92" s="27"/>
      <c r="B92" s="28"/>
      <c r="C92" s="10"/>
      <c r="D92" s="10"/>
    </row>
    <row r="93" spans="1:4" outlineLevel="2" x14ac:dyDescent="0.25">
      <c r="A93" s="27"/>
      <c r="B93" s="22" t="s">
        <v>89</v>
      </c>
      <c r="C93" s="10"/>
      <c r="D93" s="10"/>
    </row>
    <row r="94" spans="1:4" s="34" customFormat="1" outlineLevel="2" x14ac:dyDescent="0.25">
      <c r="A94" s="29" t="s">
        <v>90</v>
      </c>
      <c r="B94" s="29" t="s">
        <v>91</v>
      </c>
      <c r="C94" s="30"/>
      <c r="D94" s="31" t="e">
        <f>+C94/$C$91</f>
        <v>#DIV/0!</v>
      </c>
    </row>
    <row r="95" spans="1:4" s="34" customFormat="1" outlineLevel="2" x14ac:dyDescent="0.25">
      <c r="A95" s="29" t="s">
        <v>92</v>
      </c>
      <c r="B95" s="29" t="s">
        <v>93</v>
      </c>
      <c r="C95" s="13"/>
      <c r="D95" s="31" t="e">
        <f t="shared" ref="D95:D98" si="2">+C95/$C$91</f>
        <v>#DIV/0!</v>
      </c>
    </row>
    <row r="96" spans="1:4" s="34" customFormat="1" outlineLevel="2" x14ac:dyDescent="0.25">
      <c r="A96" s="29" t="s">
        <v>94</v>
      </c>
      <c r="B96" s="29" t="s">
        <v>95</v>
      </c>
      <c r="C96" s="13"/>
      <c r="D96" s="31" t="e">
        <f t="shared" si="2"/>
        <v>#DIV/0!</v>
      </c>
    </row>
    <row r="97" spans="1:4" s="34" customFormat="1" outlineLevel="2" x14ac:dyDescent="0.25">
      <c r="A97" s="34" t="s">
        <v>96</v>
      </c>
      <c r="B97" s="34" t="s">
        <v>97</v>
      </c>
      <c r="C97" s="13"/>
      <c r="D97" s="31" t="e">
        <f t="shared" si="2"/>
        <v>#DIV/0!</v>
      </c>
    </row>
    <row r="98" spans="1:4" s="34" customFormat="1" outlineLevel="2" x14ac:dyDescent="0.25">
      <c r="A98" s="34" t="s">
        <v>99</v>
      </c>
      <c r="B98" s="35" t="s">
        <v>100</v>
      </c>
      <c r="C98" s="13"/>
      <c r="D98" s="31" t="e">
        <f t="shared" si="2"/>
        <v>#DIV/0!</v>
      </c>
    </row>
    <row r="99" spans="1:4" outlineLevel="2" x14ac:dyDescent="0.25">
      <c r="A99" s="27"/>
      <c r="B99" s="36"/>
      <c r="C99" s="21"/>
      <c r="D99" s="13"/>
    </row>
    <row r="100" spans="1:4" outlineLevel="1" x14ac:dyDescent="0.25">
      <c r="A100" s="9"/>
      <c r="B100" s="22" t="s">
        <v>101</v>
      </c>
      <c r="C100" s="13">
        <f>+C94+C95+C96+C97+C98</f>
        <v>0</v>
      </c>
      <c r="D100" s="11" t="e">
        <f>+C100/$C$91</f>
        <v>#DIV/0!</v>
      </c>
    </row>
    <row r="101" spans="1:4" outlineLevel="1" x14ac:dyDescent="0.25">
      <c r="A101" s="37"/>
      <c r="B101" s="13"/>
      <c r="C101" s="13"/>
      <c r="D101" s="10"/>
    </row>
    <row r="102" spans="1:4" outlineLevel="2" x14ac:dyDescent="0.25">
      <c r="A102" s="37"/>
      <c r="B102" s="13" t="s">
        <v>102</v>
      </c>
      <c r="C102" s="13"/>
      <c r="D102" s="10"/>
    </row>
    <row r="103" spans="1:4" s="34" customFormat="1" outlineLevel="2" x14ac:dyDescent="0.25">
      <c r="A103" s="29" t="s">
        <v>103</v>
      </c>
      <c r="B103" s="29" t="s">
        <v>91</v>
      </c>
      <c r="C103" s="30"/>
      <c r="D103" s="31" t="e">
        <f t="shared" ref="D103:D105" si="3">+C103/$C$91</f>
        <v>#DIV/0!</v>
      </c>
    </row>
    <row r="104" spans="1:4" s="34" customFormat="1" outlineLevel="2" x14ac:dyDescent="0.25">
      <c r="A104" s="29" t="s">
        <v>104</v>
      </c>
      <c r="B104" s="29" t="s">
        <v>93</v>
      </c>
      <c r="C104" s="13"/>
      <c r="D104" s="31" t="e">
        <f t="shared" si="3"/>
        <v>#DIV/0!</v>
      </c>
    </row>
    <row r="105" spans="1:4" s="34" customFormat="1" outlineLevel="2" x14ac:dyDescent="0.25">
      <c r="A105" s="29" t="s">
        <v>105</v>
      </c>
      <c r="B105" s="29" t="s">
        <v>95</v>
      </c>
      <c r="C105" s="13"/>
      <c r="D105" s="31" t="e">
        <f t="shared" si="3"/>
        <v>#DIV/0!</v>
      </c>
    </row>
    <row r="106" spans="1:4" outlineLevel="2" x14ac:dyDescent="0.25">
      <c r="A106" s="27"/>
      <c r="B106" s="36"/>
      <c r="C106" s="21"/>
      <c r="D106" s="10"/>
    </row>
    <row r="107" spans="1:4" outlineLevel="1" x14ac:dyDescent="0.25">
      <c r="A107" s="9"/>
      <c r="B107" s="13" t="s">
        <v>106</v>
      </c>
      <c r="C107" s="13">
        <f>+C103+C104+C105</f>
        <v>0</v>
      </c>
      <c r="D107" s="11" t="e">
        <f>+C107/$C$91</f>
        <v>#DIV/0!</v>
      </c>
    </row>
    <row r="108" spans="1:4" outlineLevel="1" x14ac:dyDescent="0.25">
      <c r="A108" s="37"/>
      <c r="B108" s="13"/>
      <c r="C108" s="13"/>
      <c r="D108" s="10"/>
    </row>
    <row r="109" spans="1:4" outlineLevel="2" x14ac:dyDescent="0.25">
      <c r="A109" s="37"/>
      <c r="B109" s="13" t="s">
        <v>107</v>
      </c>
      <c r="C109" s="13"/>
      <c r="D109" s="10"/>
    </row>
    <row r="110" spans="1:4" s="34" customFormat="1" outlineLevel="2" x14ac:dyDescent="0.25">
      <c r="A110" s="29" t="s">
        <v>108</v>
      </c>
      <c r="B110" s="29" t="s">
        <v>91</v>
      </c>
      <c r="C110" s="32"/>
      <c r="D110" s="31" t="e">
        <f t="shared" ref="D110:D127" si="4">+C110/$C$91</f>
        <v>#DIV/0!</v>
      </c>
    </row>
    <row r="111" spans="1:4" s="34" customFormat="1" outlineLevel="2" x14ac:dyDescent="0.25">
      <c r="A111" s="29" t="s">
        <v>109</v>
      </c>
      <c r="B111" s="29" t="s">
        <v>93</v>
      </c>
      <c r="C111" s="32"/>
      <c r="D111" s="31" t="e">
        <f t="shared" si="4"/>
        <v>#DIV/0!</v>
      </c>
    </row>
    <row r="112" spans="1:4" s="34" customFormat="1" outlineLevel="2" x14ac:dyDescent="0.25">
      <c r="A112" s="29" t="s">
        <v>110</v>
      </c>
      <c r="B112" s="29" t="s">
        <v>95</v>
      </c>
      <c r="C112" s="32"/>
      <c r="D112" s="31" t="e">
        <f t="shared" si="4"/>
        <v>#DIV/0!</v>
      </c>
    </row>
    <row r="113" spans="1:4" s="34" customFormat="1" outlineLevel="2" x14ac:dyDescent="0.25">
      <c r="A113" s="34" t="s">
        <v>111</v>
      </c>
      <c r="B113" s="34" t="s">
        <v>112</v>
      </c>
      <c r="C113" s="32"/>
      <c r="D113" s="31" t="e">
        <f t="shared" si="4"/>
        <v>#DIV/0!</v>
      </c>
    </row>
    <row r="114" spans="1:4" outlineLevel="2" x14ac:dyDescent="0.25">
      <c r="A114" s="34" t="s">
        <v>117</v>
      </c>
      <c r="B114" s="34" t="s">
        <v>118</v>
      </c>
      <c r="C114" s="32"/>
      <c r="D114" s="11" t="e">
        <f t="shared" si="4"/>
        <v>#DIV/0!</v>
      </c>
    </row>
    <row r="115" spans="1:4" s="34" customFormat="1" outlineLevel="2" x14ac:dyDescent="0.25">
      <c r="A115" s="34" t="s">
        <v>119</v>
      </c>
      <c r="B115" s="34" t="s">
        <v>120</v>
      </c>
      <c r="C115" s="32"/>
      <c r="D115" s="31" t="e">
        <f t="shared" si="4"/>
        <v>#DIV/0!</v>
      </c>
    </row>
    <row r="116" spans="1:4" s="34" customFormat="1" outlineLevel="2" x14ac:dyDescent="0.25">
      <c r="A116" s="34" t="s">
        <v>121</v>
      </c>
      <c r="B116" s="34" t="s">
        <v>122</v>
      </c>
      <c r="C116" s="32"/>
      <c r="D116" s="31" t="e">
        <f t="shared" si="4"/>
        <v>#DIV/0!</v>
      </c>
    </row>
    <row r="117" spans="1:4" s="34" customFormat="1" outlineLevel="2" x14ac:dyDescent="0.25">
      <c r="A117" s="34" t="s">
        <v>123</v>
      </c>
      <c r="B117" s="34" t="s">
        <v>124</v>
      </c>
      <c r="C117" s="32"/>
      <c r="D117" s="31" t="e">
        <f t="shared" si="4"/>
        <v>#DIV/0!</v>
      </c>
    </row>
    <row r="118" spans="1:4" s="34" customFormat="1" outlineLevel="2" x14ac:dyDescent="0.25">
      <c r="A118" s="34" t="s">
        <v>125</v>
      </c>
      <c r="B118" s="34" t="s">
        <v>126</v>
      </c>
      <c r="C118" s="32"/>
      <c r="D118" s="31" t="e">
        <f t="shared" si="4"/>
        <v>#DIV/0!</v>
      </c>
    </row>
    <row r="119" spans="1:4" s="34" customFormat="1" outlineLevel="2" x14ac:dyDescent="0.25">
      <c r="A119" s="34" t="s">
        <v>127</v>
      </c>
      <c r="B119" s="34" t="s">
        <v>128</v>
      </c>
      <c r="C119" s="32"/>
      <c r="D119" s="31" t="e">
        <f t="shared" si="4"/>
        <v>#DIV/0!</v>
      </c>
    </row>
    <row r="120" spans="1:4" s="34" customFormat="1" outlineLevel="2" x14ac:dyDescent="0.25">
      <c r="A120" s="34" t="s">
        <v>129</v>
      </c>
      <c r="B120" s="34" t="s">
        <v>130</v>
      </c>
      <c r="C120" s="32"/>
      <c r="D120" s="31" t="e">
        <f t="shared" si="4"/>
        <v>#DIV/0!</v>
      </c>
    </row>
    <row r="121" spans="1:4" s="34" customFormat="1" outlineLevel="2" x14ac:dyDescent="0.25">
      <c r="A121" s="34" t="s">
        <v>131</v>
      </c>
      <c r="B121" s="34" t="s">
        <v>132</v>
      </c>
      <c r="C121" s="32"/>
      <c r="D121" s="31" t="e">
        <f t="shared" si="4"/>
        <v>#DIV/0!</v>
      </c>
    </row>
    <row r="122" spans="1:4" s="34" customFormat="1" outlineLevel="2" x14ac:dyDescent="0.25">
      <c r="A122" s="34" t="s">
        <v>133</v>
      </c>
      <c r="B122" s="34" t="s">
        <v>134</v>
      </c>
      <c r="C122" s="32"/>
      <c r="D122" s="31" t="e">
        <f t="shared" si="4"/>
        <v>#DIV/0!</v>
      </c>
    </row>
    <row r="123" spans="1:4" s="34" customFormat="1" outlineLevel="2" x14ac:dyDescent="0.25">
      <c r="A123" s="34" t="s">
        <v>135</v>
      </c>
      <c r="B123" s="34" t="s">
        <v>136</v>
      </c>
      <c r="C123" s="32"/>
      <c r="D123" s="31" t="e">
        <f t="shared" si="4"/>
        <v>#DIV/0!</v>
      </c>
    </row>
    <row r="124" spans="1:4" s="34" customFormat="1" outlineLevel="2" x14ac:dyDescent="0.25">
      <c r="A124" s="34" t="s">
        <v>137</v>
      </c>
      <c r="B124" s="34" t="s">
        <v>138</v>
      </c>
      <c r="C124" s="32"/>
      <c r="D124" s="31" t="e">
        <f t="shared" si="4"/>
        <v>#DIV/0!</v>
      </c>
    </row>
    <row r="125" spans="1:4" s="34" customFormat="1" outlineLevel="2" x14ac:dyDescent="0.25">
      <c r="A125" s="34" t="s">
        <v>139</v>
      </c>
      <c r="B125" s="34" t="s">
        <v>140</v>
      </c>
      <c r="C125" s="32"/>
      <c r="D125" s="31" t="e">
        <f t="shared" si="4"/>
        <v>#DIV/0!</v>
      </c>
    </row>
    <row r="126" spans="1:4" outlineLevel="2" x14ac:dyDescent="0.25">
      <c r="A126" s="34" t="s">
        <v>141</v>
      </c>
      <c r="B126" s="34" t="s">
        <v>142</v>
      </c>
      <c r="C126" s="32"/>
      <c r="D126" s="31" t="e">
        <f t="shared" si="4"/>
        <v>#DIV/0!</v>
      </c>
    </row>
    <row r="127" spans="1:4" outlineLevel="2" collapsed="1" x14ac:dyDescent="0.25">
      <c r="A127" s="34" t="s">
        <v>143</v>
      </c>
      <c r="B127" s="35" t="s">
        <v>100</v>
      </c>
      <c r="C127" s="32"/>
      <c r="D127" s="31" t="e">
        <f t="shared" si="4"/>
        <v>#DIV/0!</v>
      </c>
    </row>
    <row r="128" spans="1:4" outlineLevel="2" x14ac:dyDescent="0.25">
      <c r="A128" s="27"/>
      <c r="B128" s="36"/>
      <c r="C128" s="21"/>
      <c r="D128" s="10"/>
    </row>
    <row r="129" spans="1:4" outlineLevel="1" x14ac:dyDescent="0.25">
      <c r="A129" s="9"/>
      <c r="B129" s="13" t="s">
        <v>144</v>
      </c>
      <c r="C129" s="13">
        <f>+C110+C111+C112+C113+C115+C116+C117+C118+C119+C120+C121+C123+C124+C125+C114+C122+C126+C127</f>
        <v>0</v>
      </c>
      <c r="D129" s="11" t="e">
        <f>+C129/$C$91</f>
        <v>#DIV/0!</v>
      </c>
    </row>
    <row r="130" spans="1:4" outlineLevel="1" x14ac:dyDescent="0.25">
      <c r="A130" s="37"/>
      <c r="B130" s="13"/>
      <c r="C130" s="13"/>
      <c r="D130" s="10"/>
    </row>
    <row r="131" spans="1:4" outlineLevel="2" x14ac:dyDescent="0.25">
      <c r="A131" s="27"/>
      <c r="B131" s="22" t="s">
        <v>145</v>
      </c>
      <c r="C131" s="10"/>
      <c r="D131" s="10"/>
    </row>
    <row r="132" spans="1:4" s="34" customFormat="1" outlineLevel="2" x14ac:dyDescent="0.25">
      <c r="A132" s="34" t="s">
        <v>146</v>
      </c>
      <c r="B132" s="13" t="s">
        <v>112</v>
      </c>
      <c r="C132" s="32"/>
      <c r="D132" s="31" t="e">
        <f t="shared" ref="D132:D137" si="5">+C132/$C$91</f>
        <v>#DIV/0!</v>
      </c>
    </row>
    <row r="133" spans="1:4" s="34" customFormat="1" outlineLevel="2" x14ac:dyDescent="0.25">
      <c r="A133" s="34" t="s">
        <v>147</v>
      </c>
      <c r="B133" s="13" t="s">
        <v>97</v>
      </c>
      <c r="C133" s="13"/>
      <c r="D133" s="31" t="e">
        <f t="shared" si="5"/>
        <v>#DIV/0!</v>
      </c>
    </row>
    <row r="134" spans="1:4" s="34" customFormat="1" outlineLevel="2" x14ac:dyDescent="0.25">
      <c r="A134" s="34" t="s">
        <v>148</v>
      </c>
      <c r="B134" s="13" t="s">
        <v>120</v>
      </c>
      <c r="C134" s="13"/>
      <c r="D134" s="31" t="e">
        <f t="shared" si="5"/>
        <v>#DIV/0!</v>
      </c>
    </row>
    <row r="135" spans="1:4" s="34" customFormat="1" outlineLevel="2" x14ac:dyDescent="0.25">
      <c r="A135" s="34" t="s">
        <v>149</v>
      </c>
      <c r="B135" s="13" t="s">
        <v>132</v>
      </c>
      <c r="C135" s="13"/>
      <c r="D135" s="31" t="e">
        <f t="shared" si="5"/>
        <v>#DIV/0!</v>
      </c>
    </row>
    <row r="136" spans="1:4" outlineLevel="2" x14ac:dyDescent="0.25">
      <c r="A136" s="34" t="s">
        <v>150</v>
      </c>
      <c r="B136" s="13" t="s">
        <v>151</v>
      </c>
      <c r="C136" s="13"/>
      <c r="D136" s="31" t="e">
        <f t="shared" si="5"/>
        <v>#DIV/0!</v>
      </c>
    </row>
    <row r="137" spans="1:4" s="34" customFormat="1" outlineLevel="2" x14ac:dyDescent="0.25">
      <c r="A137" s="34" t="s">
        <v>152</v>
      </c>
      <c r="B137" s="13" t="s">
        <v>140</v>
      </c>
      <c r="C137" s="13"/>
      <c r="D137" s="31" t="e">
        <f t="shared" si="5"/>
        <v>#DIV/0!</v>
      </c>
    </row>
    <row r="138" spans="1:4" outlineLevel="2" x14ac:dyDescent="0.25">
      <c r="A138" s="27"/>
      <c r="B138" s="36"/>
      <c r="C138" s="21"/>
      <c r="D138" s="10"/>
    </row>
    <row r="139" spans="1:4" outlineLevel="1" x14ac:dyDescent="0.25">
      <c r="A139" s="9"/>
      <c r="B139" s="22" t="s">
        <v>153</v>
      </c>
      <c r="C139" s="13">
        <f>+C132+C133+C134+C135+C137+C136</f>
        <v>0</v>
      </c>
      <c r="D139" s="11" t="e">
        <f>+C139/$C$91</f>
        <v>#DIV/0!</v>
      </c>
    </row>
    <row r="140" spans="1:4" outlineLevel="1" x14ac:dyDescent="0.25">
      <c r="A140" s="37"/>
      <c r="B140" s="13"/>
      <c r="C140" s="13"/>
    </row>
    <row r="141" spans="1:4" outlineLevel="2" x14ac:dyDescent="0.25">
      <c r="A141" s="37"/>
      <c r="B141" s="13" t="s">
        <v>154</v>
      </c>
      <c r="C141" s="13"/>
    </row>
    <row r="142" spans="1:4" s="34" customFormat="1" outlineLevel="2" x14ac:dyDescent="0.25">
      <c r="A142" s="29" t="s">
        <v>155</v>
      </c>
      <c r="B142" s="29" t="s">
        <v>91</v>
      </c>
      <c r="C142" s="30"/>
      <c r="D142" s="31" t="e">
        <f t="shared" ref="D142:D159" si="6">+C142/$C$91</f>
        <v>#DIV/0!</v>
      </c>
    </row>
    <row r="143" spans="1:4" s="34" customFormat="1" outlineLevel="2" x14ac:dyDescent="0.25">
      <c r="A143" s="29" t="s">
        <v>156</v>
      </c>
      <c r="B143" s="29" t="s">
        <v>93</v>
      </c>
      <c r="C143" s="30"/>
      <c r="D143" s="31" t="e">
        <f t="shared" si="6"/>
        <v>#DIV/0!</v>
      </c>
    </row>
    <row r="144" spans="1:4" s="34" customFormat="1" outlineLevel="2" x14ac:dyDescent="0.25">
      <c r="A144" s="29" t="s">
        <v>157</v>
      </c>
      <c r="B144" s="29" t="s">
        <v>95</v>
      </c>
      <c r="C144" s="30"/>
      <c r="D144" s="31" t="e">
        <f t="shared" si="6"/>
        <v>#DIV/0!</v>
      </c>
    </row>
    <row r="145" spans="1:4" s="34" customFormat="1" outlineLevel="2" x14ac:dyDescent="0.25">
      <c r="A145" s="34" t="s">
        <v>158</v>
      </c>
      <c r="B145" s="34" t="s">
        <v>112</v>
      </c>
      <c r="C145" s="30"/>
      <c r="D145" s="31" t="e">
        <f t="shared" si="6"/>
        <v>#DIV/0!</v>
      </c>
    </row>
    <row r="146" spans="1:4" outlineLevel="2" x14ac:dyDescent="0.25">
      <c r="A146" s="34" t="s">
        <v>159</v>
      </c>
      <c r="B146" s="34" t="s">
        <v>118</v>
      </c>
      <c r="C146" s="30"/>
      <c r="D146" s="31" t="e">
        <f t="shared" si="6"/>
        <v>#DIV/0!</v>
      </c>
    </row>
    <row r="147" spans="1:4" s="34" customFormat="1" outlineLevel="2" x14ac:dyDescent="0.25">
      <c r="A147" s="34" t="s">
        <v>160</v>
      </c>
      <c r="B147" s="34" t="s">
        <v>97</v>
      </c>
      <c r="C147" s="30"/>
      <c r="D147" s="31" t="e">
        <f t="shared" si="6"/>
        <v>#DIV/0!</v>
      </c>
    </row>
    <row r="148" spans="1:4" s="34" customFormat="1" outlineLevel="2" x14ac:dyDescent="0.25">
      <c r="A148" s="34" t="s">
        <v>161</v>
      </c>
      <c r="B148" s="34" t="s">
        <v>115</v>
      </c>
      <c r="C148" s="30"/>
      <c r="D148" s="31" t="e">
        <f t="shared" si="6"/>
        <v>#DIV/0!</v>
      </c>
    </row>
    <row r="149" spans="1:4" s="34" customFormat="1" outlineLevel="2" x14ac:dyDescent="0.25">
      <c r="A149" s="34" t="s">
        <v>162</v>
      </c>
      <c r="B149" s="34" t="s">
        <v>120</v>
      </c>
      <c r="C149" s="30"/>
      <c r="D149" s="31" t="e">
        <f t="shared" si="6"/>
        <v>#DIV/0!</v>
      </c>
    </row>
    <row r="150" spans="1:4" s="34" customFormat="1" outlineLevel="2" collapsed="1" x14ac:dyDescent="0.25">
      <c r="A150" s="34" t="s">
        <v>163</v>
      </c>
      <c r="B150" s="34" t="s">
        <v>113</v>
      </c>
      <c r="C150" s="30"/>
      <c r="D150" s="31" t="e">
        <f t="shared" si="6"/>
        <v>#DIV/0!</v>
      </c>
    </row>
    <row r="151" spans="1:4" s="34" customFormat="1" outlineLevel="2" x14ac:dyDescent="0.25">
      <c r="A151" s="34" t="s">
        <v>164</v>
      </c>
      <c r="B151" s="34" t="s">
        <v>122</v>
      </c>
      <c r="C151" s="30"/>
      <c r="D151" s="31" t="e">
        <f t="shared" si="6"/>
        <v>#DIV/0!</v>
      </c>
    </row>
    <row r="152" spans="1:4" s="34" customFormat="1" outlineLevel="2" x14ac:dyDescent="0.25">
      <c r="A152" s="34" t="s">
        <v>165</v>
      </c>
      <c r="B152" s="34" t="s">
        <v>124</v>
      </c>
      <c r="C152" s="30"/>
      <c r="D152" s="31" t="e">
        <f t="shared" si="6"/>
        <v>#DIV/0!</v>
      </c>
    </row>
    <row r="153" spans="1:4" s="34" customFormat="1" outlineLevel="2" x14ac:dyDescent="0.25">
      <c r="A153" s="34" t="s">
        <v>166</v>
      </c>
      <c r="B153" s="34" t="s">
        <v>130</v>
      </c>
      <c r="C153" s="30"/>
      <c r="D153" s="31" t="e">
        <f t="shared" si="6"/>
        <v>#DIV/0!</v>
      </c>
    </row>
    <row r="154" spans="1:4" s="34" customFormat="1" outlineLevel="2" x14ac:dyDescent="0.25">
      <c r="A154" s="34" t="s">
        <v>167</v>
      </c>
      <c r="B154" s="34" t="s">
        <v>168</v>
      </c>
      <c r="C154" s="30"/>
      <c r="D154" s="31" t="e">
        <f t="shared" si="6"/>
        <v>#DIV/0!</v>
      </c>
    </row>
    <row r="155" spans="1:4" s="34" customFormat="1" outlineLevel="2" x14ac:dyDescent="0.25">
      <c r="A155" s="34" t="s">
        <v>169</v>
      </c>
      <c r="B155" s="34" t="s">
        <v>170</v>
      </c>
      <c r="C155" s="30"/>
      <c r="D155" s="31" t="e">
        <f t="shared" si="6"/>
        <v>#DIV/0!</v>
      </c>
    </row>
    <row r="156" spans="1:4" s="34" customFormat="1" outlineLevel="2" x14ac:dyDescent="0.25">
      <c r="A156" s="34" t="s">
        <v>171</v>
      </c>
      <c r="B156" s="34" t="s">
        <v>172</v>
      </c>
      <c r="C156" s="30"/>
      <c r="D156" s="31" t="e">
        <f t="shared" si="6"/>
        <v>#DIV/0!</v>
      </c>
    </row>
    <row r="157" spans="1:4" s="34" customFormat="1" outlineLevel="2" x14ac:dyDescent="0.25">
      <c r="A157" s="34" t="s">
        <v>173</v>
      </c>
      <c r="B157" s="34" t="s">
        <v>98</v>
      </c>
      <c r="C157" s="30"/>
      <c r="D157" s="31" t="e">
        <f t="shared" si="6"/>
        <v>#DIV/0!</v>
      </c>
    </row>
    <row r="158" spans="1:4" s="34" customFormat="1" outlineLevel="2" x14ac:dyDescent="0.25">
      <c r="A158" s="34" t="s">
        <v>174</v>
      </c>
      <c r="B158" s="34" t="s">
        <v>132</v>
      </c>
      <c r="C158" s="30"/>
      <c r="D158" s="31" t="e">
        <f t="shared" si="6"/>
        <v>#DIV/0!</v>
      </c>
    </row>
    <row r="159" spans="1:4" s="34" customFormat="1" outlineLevel="2" x14ac:dyDescent="0.25">
      <c r="A159" s="34" t="s">
        <v>175</v>
      </c>
      <c r="B159" s="34" t="s">
        <v>176</v>
      </c>
      <c r="C159" s="30"/>
      <c r="D159" s="31" t="e">
        <f t="shared" si="6"/>
        <v>#DIV/0!</v>
      </c>
    </row>
    <row r="160" spans="1:4" s="34" customFormat="1" outlineLevel="2" x14ac:dyDescent="0.25">
      <c r="A160" s="34" t="s">
        <v>177</v>
      </c>
      <c r="B160" s="34" t="s">
        <v>178</v>
      </c>
      <c r="C160" s="30"/>
      <c r="D160" s="31" t="e">
        <f t="shared" ref="D160:D165" si="7">+C160/$C$91</f>
        <v>#DIV/0!</v>
      </c>
    </row>
    <row r="161" spans="1:4" s="34" customFormat="1" outlineLevel="2" x14ac:dyDescent="0.25">
      <c r="A161" s="34" t="s">
        <v>179</v>
      </c>
      <c r="B161" s="34" t="s">
        <v>180</v>
      </c>
      <c r="C161" s="30"/>
      <c r="D161" s="31" t="e">
        <f t="shared" si="7"/>
        <v>#DIV/0!</v>
      </c>
    </row>
    <row r="162" spans="1:4" s="34" customFormat="1" outlineLevel="2" x14ac:dyDescent="0.25">
      <c r="A162" s="29" t="s">
        <v>181</v>
      </c>
      <c r="B162" s="29" t="s">
        <v>91</v>
      </c>
      <c r="C162" s="30"/>
      <c r="D162" s="31" t="e">
        <f t="shared" si="7"/>
        <v>#DIV/0!</v>
      </c>
    </row>
    <row r="163" spans="1:4" s="34" customFormat="1" outlineLevel="2" x14ac:dyDescent="0.25">
      <c r="A163" s="29" t="s">
        <v>182</v>
      </c>
      <c r="B163" s="29" t="s">
        <v>93</v>
      </c>
      <c r="C163" s="30"/>
      <c r="D163" s="31" t="e">
        <f t="shared" si="7"/>
        <v>#DIV/0!</v>
      </c>
    </row>
    <row r="164" spans="1:4" s="34" customFormat="1" outlineLevel="2" x14ac:dyDescent="0.25">
      <c r="A164" s="29" t="s">
        <v>183</v>
      </c>
      <c r="B164" s="29" t="s">
        <v>95</v>
      </c>
      <c r="C164" s="30"/>
      <c r="D164" s="31" t="e">
        <f t="shared" si="7"/>
        <v>#DIV/0!</v>
      </c>
    </row>
    <row r="165" spans="1:4" s="34" customFormat="1" outlineLevel="2" collapsed="1" x14ac:dyDescent="0.25">
      <c r="A165" s="35" t="s">
        <v>184</v>
      </c>
      <c r="B165" s="35" t="s">
        <v>100</v>
      </c>
      <c r="C165" s="30"/>
      <c r="D165" s="31" t="e">
        <f t="shared" si="7"/>
        <v>#DIV/0!</v>
      </c>
    </row>
    <row r="166" spans="1:4" outlineLevel="2" x14ac:dyDescent="0.25">
      <c r="A166" s="27"/>
      <c r="B166" s="36"/>
      <c r="C166" s="21"/>
    </row>
    <row r="167" spans="1:4" outlineLevel="1" x14ac:dyDescent="0.25">
      <c r="A167" s="9"/>
      <c r="B167" s="13" t="s">
        <v>185</v>
      </c>
      <c r="C167" s="13">
        <f>+C142+C143+C144+C145+C147+C148+C149+C154+C155+C158+C159+C160+C161+C151+C146+C150+C162+C163+C164+C157+C153+C165+C156+C152</f>
        <v>0</v>
      </c>
      <c r="D167" s="11" t="e">
        <f>+C167/$C$91</f>
        <v>#DIV/0!</v>
      </c>
    </row>
    <row r="168" spans="1:4" outlineLevel="1" x14ac:dyDescent="0.25">
      <c r="A168" s="37"/>
      <c r="B168" s="13"/>
      <c r="C168" s="13"/>
    </row>
    <row r="169" spans="1:4" outlineLevel="2" x14ac:dyDescent="0.25">
      <c r="A169" s="27"/>
      <c r="B169" s="13" t="s">
        <v>186</v>
      </c>
      <c r="C169" s="10"/>
    </row>
    <row r="170" spans="1:4" s="34" customFormat="1" outlineLevel="2" x14ac:dyDescent="0.25">
      <c r="A170" s="34" t="s">
        <v>187</v>
      </c>
      <c r="B170" s="13" t="s">
        <v>138</v>
      </c>
      <c r="C170" s="38"/>
      <c r="D170" s="31" t="e">
        <f t="shared" ref="D170:D172" si="8">+C170/$C$91</f>
        <v>#DIV/0!</v>
      </c>
    </row>
    <row r="171" spans="1:4" s="34" customFormat="1" outlineLevel="2" x14ac:dyDescent="0.25">
      <c r="A171" s="34" t="s">
        <v>188</v>
      </c>
      <c r="B171" s="13" t="s">
        <v>189</v>
      </c>
      <c r="C171" s="38"/>
      <c r="D171" s="31" t="e">
        <f t="shared" si="8"/>
        <v>#DIV/0!</v>
      </c>
    </row>
    <row r="172" spans="1:4" s="34" customFormat="1" outlineLevel="2" x14ac:dyDescent="0.25">
      <c r="A172" s="34" t="s">
        <v>190</v>
      </c>
      <c r="B172" s="13" t="s">
        <v>191</v>
      </c>
      <c r="C172" s="38"/>
      <c r="D172" s="31" t="e">
        <f t="shared" si="8"/>
        <v>#DIV/0!</v>
      </c>
    </row>
    <row r="173" spans="1:4" outlineLevel="2" x14ac:dyDescent="0.25">
      <c r="A173" s="27"/>
      <c r="B173" s="36"/>
      <c r="C173" s="21"/>
    </row>
    <row r="174" spans="1:4" outlineLevel="1" x14ac:dyDescent="0.25">
      <c r="A174" s="9"/>
      <c r="B174" s="22" t="s">
        <v>192</v>
      </c>
      <c r="C174" s="13">
        <f>SUBTOTAL(9,C170:C173)</f>
        <v>0</v>
      </c>
      <c r="D174" s="11" t="e">
        <f>+C174/$C$91</f>
        <v>#DIV/0!</v>
      </c>
    </row>
    <row r="175" spans="1:4" outlineLevel="1" x14ac:dyDescent="0.25">
      <c r="A175" s="37"/>
      <c r="B175" s="13"/>
      <c r="C175" s="13"/>
    </row>
    <row r="176" spans="1:4" outlineLevel="2" x14ac:dyDescent="0.25">
      <c r="A176" s="37"/>
      <c r="B176" s="13" t="s">
        <v>193</v>
      </c>
      <c r="C176" s="13"/>
    </row>
    <row r="177" spans="1:5" s="34" customFormat="1" outlineLevel="2" x14ac:dyDescent="0.25">
      <c r="A177" s="29" t="s">
        <v>194</v>
      </c>
      <c r="B177" s="29" t="s">
        <v>91</v>
      </c>
      <c r="C177" s="30"/>
      <c r="D177" s="31" t="e">
        <f t="shared" ref="D177:D193" si="9">+C177/$C$91</f>
        <v>#DIV/0!</v>
      </c>
    </row>
    <row r="178" spans="1:5" s="34" customFormat="1" outlineLevel="2" x14ac:dyDescent="0.25">
      <c r="A178" s="29" t="s">
        <v>195</v>
      </c>
      <c r="B178" s="29" t="s">
        <v>93</v>
      </c>
      <c r="C178" s="13"/>
      <c r="D178" s="31" t="e">
        <f t="shared" si="9"/>
        <v>#DIV/0!</v>
      </c>
    </row>
    <row r="179" spans="1:5" s="34" customFormat="1" outlineLevel="2" x14ac:dyDescent="0.25">
      <c r="A179" s="29" t="s">
        <v>196</v>
      </c>
      <c r="B179" s="29" t="s">
        <v>95</v>
      </c>
      <c r="C179" s="13"/>
      <c r="D179" s="31" t="e">
        <f t="shared" si="9"/>
        <v>#DIV/0!</v>
      </c>
    </row>
    <row r="180" spans="1:5" s="34" customFormat="1" outlineLevel="2" x14ac:dyDescent="0.25">
      <c r="A180" s="34" t="s">
        <v>197</v>
      </c>
      <c r="B180" s="34" t="s">
        <v>112</v>
      </c>
      <c r="C180" s="13"/>
      <c r="D180" s="31" t="e">
        <f t="shared" si="9"/>
        <v>#DIV/0!</v>
      </c>
    </row>
    <row r="181" spans="1:5" s="34" customFormat="1" outlineLevel="2" x14ac:dyDescent="0.25">
      <c r="A181" s="34" t="s">
        <v>198</v>
      </c>
      <c r="B181" s="34" t="s">
        <v>118</v>
      </c>
      <c r="C181" s="13"/>
      <c r="D181" s="31" t="e">
        <f t="shared" si="9"/>
        <v>#DIV/0!</v>
      </c>
      <c r="E181" s="34" t="s">
        <v>199</v>
      </c>
    </row>
    <row r="182" spans="1:5" s="34" customFormat="1" outlineLevel="2" x14ac:dyDescent="0.25">
      <c r="A182" s="34" t="s">
        <v>200</v>
      </c>
      <c r="B182" s="34" t="s">
        <v>115</v>
      </c>
      <c r="C182" s="38"/>
      <c r="D182" s="31" t="e">
        <f t="shared" si="9"/>
        <v>#DIV/0!</v>
      </c>
    </row>
    <row r="183" spans="1:5" s="34" customFormat="1" outlineLevel="2" x14ac:dyDescent="0.25">
      <c r="A183" s="34" t="s">
        <v>201</v>
      </c>
      <c r="B183" s="34" t="s">
        <v>202</v>
      </c>
      <c r="C183" s="38"/>
      <c r="D183" s="31" t="e">
        <f t="shared" si="9"/>
        <v>#DIV/0!</v>
      </c>
    </row>
    <row r="184" spans="1:5" s="34" customFormat="1" outlineLevel="2" x14ac:dyDescent="0.25">
      <c r="A184" s="29" t="s">
        <v>203</v>
      </c>
      <c r="B184" s="29" t="s">
        <v>172</v>
      </c>
      <c r="C184" s="13"/>
      <c r="D184" s="31" t="e">
        <f t="shared" si="9"/>
        <v>#DIV/0!</v>
      </c>
    </row>
    <row r="185" spans="1:5" s="34" customFormat="1" outlineLevel="2" x14ac:dyDescent="0.25">
      <c r="A185" s="34" t="s">
        <v>204</v>
      </c>
      <c r="B185" s="34" t="s">
        <v>98</v>
      </c>
      <c r="C185" s="13"/>
      <c r="D185" s="31" t="e">
        <f t="shared" si="9"/>
        <v>#DIV/0!</v>
      </c>
    </row>
    <row r="186" spans="1:5" s="34" customFormat="1" outlineLevel="2" x14ac:dyDescent="0.25">
      <c r="A186" s="34" t="s">
        <v>205</v>
      </c>
      <c r="B186" s="34" t="s">
        <v>132</v>
      </c>
      <c r="C186" s="13"/>
      <c r="D186" s="31" t="e">
        <f t="shared" si="9"/>
        <v>#DIV/0!</v>
      </c>
    </row>
    <row r="187" spans="1:5" s="34" customFormat="1" outlineLevel="2" x14ac:dyDescent="0.25">
      <c r="A187" s="34" t="s">
        <v>206</v>
      </c>
      <c r="B187" s="34" t="s">
        <v>134</v>
      </c>
      <c r="C187" s="13"/>
      <c r="D187" s="31" t="e">
        <f t="shared" si="9"/>
        <v>#DIV/0!</v>
      </c>
    </row>
    <row r="188" spans="1:5" s="34" customFormat="1" outlineLevel="2" x14ac:dyDescent="0.25">
      <c r="A188" s="34" t="s">
        <v>207</v>
      </c>
      <c r="B188" s="34" t="s">
        <v>208</v>
      </c>
      <c r="C188" s="13"/>
      <c r="D188" s="31" t="e">
        <f t="shared" si="9"/>
        <v>#DIV/0!</v>
      </c>
    </row>
    <row r="189" spans="1:5" s="34" customFormat="1" outlineLevel="2" x14ac:dyDescent="0.25">
      <c r="A189" s="34" t="s">
        <v>209</v>
      </c>
      <c r="B189" s="34" t="s">
        <v>180</v>
      </c>
      <c r="C189" s="13"/>
      <c r="D189" s="31" t="e">
        <f t="shared" si="9"/>
        <v>#DIV/0!</v>
      </c>
    </row>
    <row r="190" spans="1:5" s="34" customFormat="1" outlineLevel="2" x14ac:dyDescent="0.25">
      <c r="A190" s="34" t="s">
        <v>210</v>
      </c>
      <c r="B190" s="34" t="s">
        <v>140</v>
      </c>
      <c r="C190" s="13"/>
      <c r="D190" s="31" t="e">
        <f t="shared" si="9"/>
        <v>#DIV/0!</v>
      </c>
    </row>
    <row r="191" spans="1:5" s="34" customFormat="1" outlineLevel="2" x14ac:dyDescent="0.25">
      <c r="A191" s="35" t="s">
        <v>211</v>
      </c>
      <c r="B191" s="35" t="s">
        <v>100</v>
      </c>
      <c r="C191" s="13"/>
      <c r="D191" s="31" t="e">
        <f t="shared" si="9"/>
        <v>#DIV/0!</v>
      </c>
    </row>
    <row r="192" spans="1:5" s="34" customFormat="1" outlineLevel="2" x14ac:dyDescent="0.25">
      <c r="A192" s="35" t="s">
        <v>212</v>
      </c>
      <c r="B192" s="35" t="s">
        <v>213</v>
      </c>
      <c r="C192" s="13"/>
      <c r="D192" s="31" t="e">
        <f t="shared" si="9"/>
        <v>#DIV/0!</v>
      </c>
    </row>
    <row r="193" spans="1:4" s="34" customFormat="1" outlineLevel="2" x14ac:dyDescent="0.25">
      <c r="A193" s="35" t="s">
        <v>214</v>
      </c>
      <c r="B193" s="35" t="s">
        <v>215</v>
      </c>
      <c r="C193" s="13"/>
      <c r="D193" s="31" t="e">
        <f t="shared" si="9"/>
        <v>#DIV/0!</v>
      </c>
    </row>
    <row r="194" spans="1:4" outlineLevel="2" x14ac:dyDescent="0.25">
      <c r="A194" s="25"/>
      <c r="B194" s="36"/>
      <c r="C194" s="21"/>
    </row>
    <row r="195" spans="1:4" outlineLevel="1" x14ac:dyDescent="0.25">
      <c r="A195" s="9"/>
      <c r="B195" s="13" t="s">
        <v>216</v>
      </c>
      <c r="C195" s="13">
        <f>+C177+C178+C179+C181+C185+C188+C189+C190+C184+C187+C180+C182+C186+C183+C191+C192+C193</f>
        <v>0</v>
      </c>
      <c r="D195" s="11" t="e">
        <f>+C195/$C$91</f>
        <v>#DIV/0!</v>
      </c>
    </row>
    <row r="196" spans="1:4" outlineLevel="1" x14ac:dyDescent="0.25">
      <c r="A196" s="9"/>
      <c r="B196" s="28"/>
      <c r="C196" s="10"/>
    </row>
    <row r="197" spans="1:4" outlineLevel="2" x14ac:dyDescent="0.25">
      <c r="A197" s="27"/>
      <c r="B197" s="22" t="s">
        <v>217</v>
      </c>
      <c r="C197" s="10"/>
    </row>
    <row r="198" spans="1:4" s="34" customFormat="1" outlineLevel="2" x14ac:dyDescent="0.25">
      <c r="A198" s="34" t="s">
        <v>218</v>
      </c>
      <c r="B198" s="13" t="s">
        <v>202</v>
      </c>
      <c r="C198" s="32"/>
      <c r="D198" s="31" t="e">
        <f t="shared" ref="D198:D202" si="10">+C198/$C$91</f>
        <v>#DIV/0!</v>
      </c>
    </row>
    <row r="199" spans="1:4" s="34" customFormat="1" outlineLevel="2" x14ac:dyDescent="0.25">
      <c r="A199" s="34" t="s">
        <v>219</v>
      </c>
      <c r="B199" s="13" t="s">
        <v>138</v>
      </c>
      <c r="C199" s="32"/>
      <c r="D199" s="31" t="e">
        <f t="shared" si="10"/>
        <v>#DIV/0!</v>
      </c>
    </row>
    <row r="200" spans="1:4" s="34" customFormat="1" outlineLevel="2" x14ac:dyDescent="0.25">
      <c r="A200" s="34" t="s">
        <v>220</v>
      </c>
      <c r="B200" s="34" t="s">
        <v>134</v>
      </c>
      <c r="C200" s="32"/>
      <c r="D200" s="31" t="e">
        <f t="shared" si="10"/>
        <v>#DIV/0!</v>
      </c>
    </row>
    <row r="201" spans="1:4" s="34" customFormat="1" outlineLevel="2" x14ac:dyDescent="0.25">
      <c r="A201" s="34" t="s">
        <v>221</v>
      </c>
      <c r="B201" s="13" t="s">
        <v>189</v>
      </c>
      <c r="C201" s="32"/>
      <c r="D201" s="31" t="e">
        <f t="shared" si="10"/>
        <v>#DIV/0!</v>
      </c>
    </row>
    <row r="202" spans="1:4" s="34" customFormat="1" outlineLevel="2" x14ac:dyDescent="0.25">
      <c r="A202" s="34" t="s">
        <v>222</v>
      </c>
      <c r="B202" s="13" t="s">
        <v>151</v>
      </c>
      <c r="C202" s="32"/>
      <c r="D202" s="31" t="e">
        <f t="shared" si="10"/>
        <v>#DIV/0!</v>
      </c>
    </row>
    <row r="203" spans="1:4" outlineLevel="2" x14ac:dyDescent="0.25">
      <c r="A203" s="27"/>
      <c r="B203" s="36"/>
      <c r="C203" s="21"/>
    </row>
    <row r="204" spans="1:4" outlineLevel="1" x14ac:dyDescent="0.25">
      <c r="A204" s="9"/>
      <c r="B204" s="22" t="s">
        <v>223</v>
      </c>
      <c r="C204" s="13">
        <f>SUBTOTAL(9,C198:C203)</f>
        <v>0</v>
      </c>
      <c r="D204" s="11" t="e">
        <f>+C204/$C$91</f>
        <v>#DIV/0!</v>
      </c>
    </row>
    <row r="205" spans="1:4" x14ac:dyDescent="0.25">
      <c r="A205" s="37"/>
      <c r="B205" s="13"/>
      <c r="C205" s="13"/>
    </row>
    <row r="206" spans="1:4" x14ac:dyDescent="0.25">
      <c r="A206" s="9"/>
      <c r="B206" s="17" t="s">
        <v>224</v>
      </c>
      <c r="C206" s="18">
        <f>+C204+C195+C174+C167+C139+C129+C107+C100</f>
        <v>0</v>
      </c>
      <c r="D206" s="16" t="e">
        <f>+C206/$C$91</f>
        <v>#DIV/0!</v>
      </c>
    </row>
    <row r="207" spans="1:4" x14ac:dyDescent="0.25">
      <c r="A207" s="9"/>
      <c r="B207" s="39"/>
      <c r="C207" s="10"/>
    </row>
    <row r="208" spans="1:4" x14ac:dyDescent="0.25">
      <c r="A208" s="9"/>
      <c r="B208" s="17" t="s">
        <v>225</v>
      </c>
      <c r="C208" s="18">
        <f>+C91-C206</f>
        <v>0</v>
      </c>
      <c r="D208" s="16" t="e">
        <f>+C208/$C$91</f>
        <v>#DIV/0!</v>
      </c>
    </row>
    <row r="209" spans="1:4" x14ac:dyDescent="0.25">
      <c r="A209" s="9"/>
      <c r="B209" s="26"/>
      <c r="C209" s="10"/>
    </row>
    <row r="210" spans="1:4" outlineLevel="2" x14ac:dyDescent="0.25">
      <c r="A210" s="9"/>
      <c r="B210" s="40" t="s">
        <v>226</v>
      </c>
      <c r="C210" s="10"/>
    </row>
    <row r="211" spans="1:4" s="34" customFormat="1" outlineLevel="2" x14ac:dyDescent="0.25">
      <c r="A211" s="29" t="s">
        <v>227</v>
      </c>
      <c r="B211" s="29" t="s">
        <v>91</v>
      </c>
      <c r="C211" s="30"/>
      <c r="D211" s="31" t="e">
        <f t="shared" ref="D211:D223" si="11">+C211/$C$91</f>
        <v>#DIV/0!</v>
      </c>
    </row>
    <row r="212" spans="1:4" s="34" customFormat="1" outlineLevel="2" x14ac:dyDescent="0.25">
      <c r="A212" s="29" t="s">
        <v>228</v>
      </c>
      <c r="B212" s="29" t="s">
        <v>93</v>
      </c>
      <c r="C212" s="30"/>
      <c r="D212" s="31" t="e">
        <f t="shared" si="11"/>
        <v>#DIV/0!</v>
      </c>
    </row>
    <row r="213" spans="1:4" s="34" customFormat="1" outlineLevel="2" x14ac:dyDescent="0.25">
      <c r="A213" s="29" t="s">
        <v>229</v>
      </c>
      <c r="B213" s="29" t="s">
        <v>95</v>
      </c>
      <c r="C213" s="30"/>
      <c r="D213" s="31" t="e">
        <f t="shared" si="11"/>
        <v>#DIV/0!</v>
      </c>
    </row>
    <row r="214" spans="1:4" s="34" customFormat="1" outlineLevel="2" x14ac:dyDescent="0.25">
      <c r="A214" s="34" t="s">
        <v>230</v>
      </c>
      <c r="B214" s="34" t="s">
        <v>112</v>
      </c>
      <c r="C214" s="30"/>
      <c r="D214" s="31" t="e">
        <f t="shared" si="11"/>
        <v>#DIV/0!</v>
      </c>
    </row>
    <row r="215" spans="1:4" s="34" customFormat="1" outlineLevel="2" x14ac:dyDescent="0.25">
      <c r="A215" s="34" t="s">
        <v>231</v>
      </c>
      <c r="B215" s="34" t="s">
        <v>232</v>
      </c>
      <c r="C215" s="30"/>
      <c r="D215" s="31" t="e">
        <f t="shared" si="11"/>
        <v>#DIV/0!</v>
      </c>
    </row>
    <row r="216" spans="1:4" s="34" customFormat="1" outlineLevel="2" x14ac:dyDescent="0.25">
      <c r="A216" s="34" t="s">
        <v>233</v>
      </c>
      <c r="B216" s="34" t="s">
        <v>115</v>
      </c>
      <c r="C216" s="30"/>
      <c r="D216" s="31" t="e">
        <f t="shared" si="11"/>
        <v>#DIV/0!</v>
      </c>
    </row>
    <row r="217" spans="1:4" s="34" customFormat="1" outlineLevel="2" x14ac:dyDescent="0.25">
      <c r="A217" s="34" t="s">
        <v>234</v>
      </c>
      <c r="B217" s="34" t="s">
        <v>235</v>
      </c>
      <c r="C217" s="30"/>
      <c r="D217" s="31" t="e">
        <f t="shared" si="11"/>
        <v>#DIV/0!</v>
      </c>
    </row>
    <row r="218" spans="1:4" s="34" customFormat="1" outlineLevel="2" x14ac:dyDescent="0.25">
      <c r="A218" s="34" t="s">
        <v>236</v>
      </c>
      <c r="B218" s="34" t="s">
        <v>237</v>
      </c>
      <c r="C218" s="30"/>
      <c r="D218" s="31" t="e">
        <f t="shared" si="11"/>
        <v>#DIV/0!</v>
      </c>
    </row>
    <row r="219" spans="1:4" s="34" customFormat="1" outlineLevel="2" x14ac:dyDescent="0.25">
      <c r="A219" s="34" t="s">
        <v>238</v>
      </c>
      <c r="B219" s="34" t="s">
        <v>239</v>
      </c>
      <c r="C219" s="30"/>
      <c r="D219" s="31" t="e">
        <f t="shared" si="11"/>
        <v>#DIV/0!</v>
      </c>
    </row>
    <row r="220" spans="1:4" s="34" customFormat="1" outlineLevel="2" x14ac:dyDescent="0.25">
      <c r="A220" s="34" t="s">
        <v>240</v>
      </c>
      <c r="B220" s="34" t="s">
        <v>116</v>
      </c>
      <c r="C220" s="30"/>
      <c r="D220" s="31" t="e">
        <f t="shared" si="11"/>
        <v>#DIV/0!</v>
      </c>
    </row>
    <row r="221" spans="1:4" s="34" customFormat="1" outlineLevel="2" x14ac:dyDescent="0.25">
      <c r="A221" s="34" t="s">
        <v>241</v>
      </c>
      <c r="B221" s="34" t="s">
        <v>242</v>
      </c>
      <c r="C221" s="30"/>
      <c r="D221" s="31" t="e">
        <f t="shared" si="11"/>
        <v>#DIV/0!</v>
      </c>
    </row>
    <row r="222" spans="1:4" s="34" customFormat="1" outlineLevel="2" x14ac:dyDescent="0.25">
      <c r="A222" s="34" t="s">
        <v>243</v>
      </c>
      <c r="B222" s="34" t="s">
        <v>98</v>
      </c>
      <c r="C222" s="30"/>
      <c r="D222" s="31" t="e">
        <f t="shared" si="11"/>
        <v>#DIV/0!</v>
      </c>
    </row>
    <row r="223" spans="1:4" s="34" customFormat="1" outlineLevel="2" x14ac:dyDescent="0.25">
      <c r="A223" s="34" t="s">
        <v>244</v>
      </c>
      <c r="B223" s="35" t="s">
        <v>100</v>
      </c>
      <c r="C223" s="30"/>
      <c r="D223" s="31" t="e">
        <f t="shared" si="11"/>
        <v>#DIV/0!</v>
      </c>
    </row>
    <row r="224" spans="1:4" outlineLevel="2" x14ac:dyDescent="0.25">
      <c r="A224" s="25"/>
      <c r="B224" s="26"/>
      <c r="C224" s="21"/>
    </row>
    <row r="225" spans="1:4" outlineLevel="1" x14ac:dyDescent="0.25">
      <c r="A225" s="9"/>
      <c r="B225" s="39" t="s">
        <v>245</v>
      </c>
      <c r="C225" s="13">
        <f>+C211+C212+C213+C214+C215+C216+C217+C218+C219+C222+C221+C220+C223</f>
        <v>0</v>
      </c>
      <c r="D225" s="11" t="e">
        <f>+C225/$C$91</f>
        <v>#DIV/0!</v>
      </c>
    </row>
    <row r="226" spans="1:4" outlineLevel="1" x14ac:dyDescent="0.25">
      <c r="A226" s="9"/>
      <c r="B226" s="39"/>
      <c r="C226" s="10"/>
    </row>
    <row r="227" spans="1:4" outlineLevel="2" x14ac:dyDescent="0.25">
      <c r="A227" s="9"/>
      <c r="B227" s="40" t="s">
        <v>246</v>
      </c>
      <c r="C227" s="10"/>
    </row>
    <row r="228" spans="1:4" s="34" customFormat="1" outlineLevel="2" x14ac:dyDescent="0.25">
      <c r="A228" s="29" t="s">
        <v>247</v>
      </c>
      <c r="B228" s="29" t="s">
        <v>91</v>
      </c>
      <c r="C228" s="30"/>
      <c r="D228" s="31" t="e">
        <f t="shared" ref="D228:D241" si="12">+C228/$C$91</f>
        <v>#DIV/0!</v>
      </c>
    </row>
    <row r="229" spans="1:4" s="34" customFormat="1" outlineLevel="2" x14ac:dyDescent="0.25">
      <c r="A229" s="29" t="s">
        <v>248</v>
      </c>
      <c r="B229" s="29" t="s">
        <v>93</v>
      </c>
      <c r="C229" s="30"/>
      <c r="D229" s="31" t="e">
        <f t="shared" si="12"/>
        <v>#DIV/0!</v>
      </c>
    </row>
    <row r="230" spans="1:4" s="34" customFormat="1" outlineLevel="2" x14ac:dyDescent="0.25">
      <c r="A230" s="29" t="s">
        <v>249</v>
      </c>
      <c r="B230" s="29" t="s">
        <v>95</v>
      </c>
      <c r="C230" s="30"/>
      <c r="D230" s="31" t="e">
        <f t="shared" si="12"/>
        <v>#DIV/0!</v>
      </c>
    </row>
    <row r="231" spans="1:4" s="34" customFormat="1" outlineLevel="2" x14ac:dyDescent="0.25">
      <c r="A231" s="34" t="s">
        <v>250</v>
      </c>
      <c r="B231" s="34" t="s">
        <v>112</v>
      </c>
      <c r="C231" s="30"/>
      <c r="D231" s="31" t="e">
        <f t="shared" si="12"/>
        <v>#DIV/0!</v>
      </c>
    </row>
    <row r="232" spans="1:4" s="34" customFormat="1" outlineLevel="2" x14ac:dyDescent="0.25">
      <c r="A232" s="34" t="s">
        <v>251</v>
      </c>
      <c r="B232" s="34" t="s">
        <v>232</v>
      </c>
      <c r="C232" s="30"/>
      <c r="D232" s="31" t="e">
        <f t="shared" si="12"/>
        <v>#DIV/0!</v>
      </c>
    </row>
    <row r="233" spans="1:4" s="34" customFormat="1" outlineLevel="2" x14ac:dyDescent="0.25">
      <c r="A233" s="34" t="s">
        <v>252</v>
      </c>
      <c r="B233" s="34" t="s">
        <v>115</v>
      </c>
      <c r="C233" s="30"/>
      <c r="D233" s="31" t="e">
        <f t="shared" si="12"/>
        <v>#DIV/0!</v>
      </c>
    </row>
    <row r="234" spans="1:4" s="34" customFormat="1" outlineLevel="2" x14ac:dyDescent="0.25">
      <c r="A234" s="34" t="s">
        <v>253</v>
      </c>
      <c r="B234" s="34" t="s">
        <v>113</v>
      </c>
      <c r="C234" s="30"/>
      <c r="D234" s="31" t="e">
        <f t="shared" si="12"/>
        <v>#DIV/0!</v>
      </c>
    </row>
    <row r="235" spans="1:4" s="34" customFormat="1" outlineLevel="2" x14ac:dyDescent="0.25">
      <c r="A235" s="29" t="s">
        <v>254</v>
      </c>
      <c r="B235" s="29" t="s">
        <v>237</v>
      </c>
      <c r="C235" s="30"/>
      <c r="D235" s="31" t="e">
        <f t="shared" si="12"/>
        <v>#DIV/0!</v>
      </c>
    </row>
    <row r="236" spans="1:4" s="34" customFormat="1" outlineLevel="2" x14ac:dyDescent="0.25">
      <c r="A236" s="29" t="s">
        <v>255</v>
      </c>
      <c r="B236" s="29" t="s">
        <v>122</v>
      </c>
      <c r="C236" s="30"/>
      <c r="D236" s="31" t="e">
        <f t="shared" si="12"/>
        <v>#DIV/0!</v>
      </c>
    </row>
    <row r="237" spans="1:4" s="34" customFormat="1" outlineLevel="2" x14ac:dyDescent="0.25">
      <c r="A237" s="34" t="s">
        <v>256</v>
      </c>
      <c r="B237" s="34" t="s">
        <v>116</v>
      </c>
      <c r="C237" s="33"/>
      <c r="D237" s="41" t="e">
        <f>+C237/$C$91</f>
        <v>#DIV/0!</v>
      </c>
    </row>
    <row r="238" spans="1:4" s="34" customFormat="1" outlineLevel="2" x14ac:dyDescent="0.25">
      <c r="A238" s="34" t="s">
        <v>257</v>
      </c>
      <c r="B238" s="34" t="s">
        <v>170</v>
      </c>
      <c r="C238" s="33"/>
      <c r="D238" s="41" t="e">
        <f>+C238/$C$91</f>
        <v>#DIV/0!</v>
      </c>
    </row>
    <row r="239" spans="1:4" s="34" customFormat="1" outlineLevel="2" x14ac:dyDescent="0.25">
      <c r="A239" s="34" t="s">
        <v>258</v>
      </c>
      <c r="B239" s="34" t="s">
        <v>172</v>
      </c>
      <c r="C239" s="33"/>
      <c r="D239" s="41" t="e">
        <f>+C239/$C$91</f>
        <v>#DIV/0!</v>
      </c>
    </row>
    <row r="240" spans="1:4" s="34" customFormat="1" outlineLevel="2" x14ac:dyDescent="0.25">
      <c r="A240" s="34" t="s">
        <v>259</v>
      </c>
      <c r="B240" s="34" t="s">
        <v>98</v>
      </c>
      <c r="C240" s="30"/>
      <c r="D240" s="31" t="e">
        <f t="shared" si="12"/>
        <v>#DIV/0!</v>
      </c>
    </row>
    <row r="241" spans="1:4" s="34" customFormat="1" outlineLevel="2" x14ac:dyDescent="0.25">
      <c r="A241" s="34" t="s">
        <v>260</v>
      </c>
      <c r="B241" s="35" t="s">
        <v>100</v>
      </c>
      <c r="C241" s="30"/>
      <c r="D241" s="31" t="e">
        <f t="shared" si="12"/>
        <v>#DIV/0!</v>
      </c>
    </row>
    <row r="242" spans="1:4" outlineLevel="2" x14ac:dyDescent="0.25">
      <c r="A242" s="25"/>
      <c r="B242" s="26"/>
      <c r="C242" s="21"/>
    </row>
    <row r="243" spans="1:4" outlineLevel="1" x14ac:dyDescent="0.25">
      <c r="A243" s="9"/>
      <c r="B243" s="39" t="s">
        <v>261</v>
      </c>
      <c r="C243" s="13">
        <f>+C228+C229+C230+C231+C232+C233+C235+C236+C240+C237+C239+C234+C241+C238</f>
        <v>0</v>
      </c>
      <c r="D243" s="11" t="e">
        <f>+C243/$C$91</f>
        <v>#DIV/0!</v>
      </c>
    </row>
    <row r="244" spans="1:4" outlineLevel="1" x14ac:dyDescent="0.25">
      <c r="A244" s="9"/>
      <c r="B244" s="39"/>
      <c r="C244" s="10"/>
    </row>
    <row r="245" spans="1:4" outlineLevel="2" x14ac:dyDescent="0.25">
      <c r="A245" s="9"/>
      <c r="B245" s="40" t="s">
        <v>262</v>
      </c>
      <c r="C245" s="10"/>
    </row>
    <row r="246" spans="1:4" s="34" customFormat="1" outlineLevel="2" x14ac:dyDescent="0.25">
      <c r="A246" s="29" t="s">
        <v>263</v>
      </c>
      <c r="B246" s="29" t="s">
        <v>91</v>
      </c>
      <c r="C246" s="30"/>
      <c r="D246" s="31" t="e">
        <f t="shared" ref="D246:D255" si="13">+C246/$C$91</f>
        <v>#DIV/0!</v>
      </c>
    </row>
    <row r="247" spans="1:4" s="34" customFormat="1" outlineLevel="2" x14ac:dyDescent="0.25">
      <c r="A247" s="29" t="s">
        <v>264</v>
      </c>
      <c r="B247" s="29" t="s">
        <v>93</v>
      </c>
      <c r="C247" s="30"/>
      <c r="D247" s="31" t="e">
        <f t="shared" si="13"/>
        <v>#DIV/0!</v>
      </c>
    </row>
    <row r="248" spans="1:4" s="34" customFormat="1" outlineLevel="2" x14ac:dyDescent="0.25">
      <c r="A248" s="29" t="s">
        <v>265</v>
      </c>
      <c r="B248" s="29" t="s">
        <v>95</v>
      </c>
      <c r="C248" s="30"/>
      <c r="D248" s="31" t="e">
        <f t="shared" si="13"/>
        <v>#DIV/0!</v>
      </c>
    </row>
    <row r="249" spans="1:4" s="34" customFormat="1" outlineLevel="2" x14ac:dyDescent="0.25">
      <c r="A249" s="34" t="s">
        <v>266</v>
      </c>
      <c r="B249" s="34" t="s">
        <v>112</v>
      </c>
      <c r="C249" s="30"/>
      <c r="D249" s="31" t="e">
        <f t="shared" si="13"/>
        <v>#DIV/0!</v>
      </c>
    </row>
    <row r="250" spans="1:4" s="34" customFormat="1" outlineLevel="2" x14ac:dyDescent="0.25">
      <c r="A250" s="34" t="s">
        <v>267</v>
      </c>
      <c r="B250" s="34" t="s">
        <v>232</v>
      </c>
      <c r="C250" s="30"/>
      <c r="D250" s="31" t="e">
        <f t="shared" si="13"/>
        <v>#DIV/0!</v>
      </c>
    </row>
    <row r="251" spans="1:4" s="34" customFormat="1" outlineLevel="2" x14ac:dyDescent="0.25">
      <c r="A251" s="34" t="s">
        <v>268</v>
      </c>
      <c r="B251" s="34" t="s">
        <v>115</v>
      </c>
      <c r="C251" s="30"/>
      <c r="D251" s="31" t="e">
        <f t="shared" si="13"/>
        <v>#DIV/0!</v>
      </c>
    </row>
    <row r="252" spans="1:4" s="34" customFormat="1" outlineLevel="2" x14ac:dyDescent="0.25">
      <c r="A252" s="34" t="s">
        <v>269</v>
      </c>
      <c r="B252" s="34" t="s">
        <v>237</v>
      </c>
      <c r="C252" s="13"/>
      <c r="D252" s="31" t="e">
        <f t="shared" si="13"/>
        <v>#DIV/0!</v>
      </c>
    </row>
    <row r="253" spans="1:4" s="34" customFormat="1" outlineLevel="2" collapsed="1" x14ac:dyDescent="0.25">
      <c r="A253" s="34" t="s">
        <v>270</v>
      </c>
      <c r="B253" s="34" t="s">
        <v>239</v>
      </c>
      <c r="C253" s="13"/>
      <c r="D253" s="31" t="e">
        <f t="shared" si="13"/>
        <v>#DIV/0!</v>
      </c>
    </row>
    <row r="254" spans="1:4" s="34" customFormat="1" outlineLevel="2" collapsed="1" x14ac:dyDescent="0.25">
      <c r="A254" s="34" t="s">
        <v>271</v>
      </c>
      <c r="B254" s="34" t="s">
        <v>98</v>
      </c>
      <c r="C254" s="13"/>
      <c r="D254" s="31" t="e">
        <f t="shared" si="13"/>
        <v>#DIV/0!</v>
      </c>
    </row>
    <row r="255" spans="1:4" s="34" customFormat="1" outlineLevel="2" collapsed="1" x14ac:dyDescent="0.25">
      <c r="A255" s="34" t="s">
        <v>272</v>
      </c>
      <c r="B255" s="35" t="s">
        <v>100</v>
      </c>
      <c r="C255" s="13"/>
      <c r="D255" s="31" t="e">
        <f t="shared" si="13"/>
        <v>#DIV/0!</v>
      </c>
    </row>
    <row r="256" spans="1:4" outlineLevel="2" x14ac:dyDescent="0.25">
      <c r="A256" s="25"/>
      <c r="B256" s="26"/>
      <c r="C256" s="21"/>
    </row>
    <row r="257" spans="1:4" outlineLevel="1" x14ac:dyDescent="0.25">
      <c r="A257" s="9"/>
      <c r="B257" s="39" t="s">
        <v>273</v>
      </c>
      <c r="C257" s="13">
        <f>+C246+C247+C248+C249+C251+C252+C254+C250+C253+C255</f>
        <v>0</v>
      </c>
      <c r="D257" s="11" t="e">
        <f>+C257/$C$91</f>
        <v>#DIV/0!</v>
      </c>
    </row>
    <row r="258" spans="1:4" outlineLevel="1" x14ac:dyDescent="0.25">
      <c r="A258" s="9"/>
      <c r="B258" s="39"/>
      <c r="C258" s="10"/>
    </row>
    <row r="259" spans="1:4" outlineLevel="2" x14ac:dyDescent="0.25">
      <c r="A259" s="9"/>
      <c r="B259" s="40" t="s">
        <v>274</v>
      </c>
      <c r="C259" s="10"/>
    </row>
    <row r="260" spans="1:4" s="34" customFormat="1" outlineLevel="2" x14ac:dyDescent="0.25">
      <c r="A260" s="29" t="s">
        <v>275</v>
      </c>
      <c r="B260" s="29" t="s">
        <v>91</v>
      </c>
      <c r="C260" s="30"/>
      <c r="D260" s="31" t="e">
        <f t="shared" ref="D260:D285" si="14">+C260/$C$91</f>
        <v>#DIV/0!</v>
      </c>
    </row>
    <row r="261" spans="1:4" s="34" customFormat="1" outlineLevel="2" x14ac:dyDescent="0.25">
      <c r="A261" s="29" t="s">
        <v>276</v>
      </c>
      <c r="B261" s="29" t="s">
        <v>93</v>
      </c>
      <c r="C261" s="30"/>
      <c r="D261" s="31" t="e">
        <f t="shared" si="14"/>
        <v>#DIV/0!</v>
      </c>
    </row>
    <row r="262" spans="1:4" s="34" customFormat="1" outlineLevel="2" x14ac:dyDescent="0.25">
      <c r="A262" s="29" t="s">
        <v>277</v>
      </c>
      <c r="B262" s="29" t="s">
        <v>95</v>
      </c>
      <c r="C262" s="30"/>
      <c r="D262" s="31" t="e">
        <f t="shared" si="14"/>
        <v>#DIV/0!</v>
      </c>
    </row>
    <row r="263" spans="1:4" s="34" customFormat="1" outlineLevel="2" x14ac:dyDescent="0.25">
      <c r="A263" s="34" t="s">
        <v>278</v>
      </c>
      <c r="B263" s="34" t="s">
        <v>112</v>
      </c>
      <c r="C263" s="30"/>
      <c r="D263" s="31" t="e">
        <f t="shared" si="14"/>
        <v>#DIV/0!</v>
      </c>
    </row>
    <row r="264" spans="1:4" s="34" customFormat="1" outlineLevel="2" x14ac:dyDescent="0.25">
      <c r="A264" s="34" t="s">
        <v>279</v>
      </c>
      <c r="B264" s="34" t="s">
        <v>232</v>
      </c>
      <c r="C264" s="30"/>
      <c r="D264" s="31" t="e">
        <f t="shared" si="14"/>
        <v>#DIV/0!</v>
      </c>
    </row>
    <row r="265" spans="1:4" s="34" customFormat="1" outlineLevel="2" x14ac:dyDescent="0.25">
      <c r="A265" s="34" t="s">
        <v>280</v>
      </c>
      <c r="B265" s="34" t="s">
        <v>118</v>
      </c>
      <c r="C265" s="30"/>
      <c r="D265" s="31" t="e">
        <f t="shared" si="14"/>
        <v>#DIV/0!</v>
      </c>
    </row>
    <row r="266" spans="1:4" s="34" customFormat="1" outlineLevel="2" x14ac:dyDescent="0.25">
      <c r="A266" s="34" t="s">
        <v>281</v>
      </c>
      <c r="B266" s="34" t="s">
        <v>115</v>
      </c>
      <c r="C266" s="30"/>
      <c r="D266" s="31" t="e">
        <f t="shared" si="14"/>
        <v>#DIV/0!</v>
      </c>
    </row>
    <row r="267" spans="1:4" s="34" customFormat="1" outlineLevel="2" x14ac:dyDescent="0.25">
      <c r="A267" s="34" t="s">
        <v>282</v>
      </c>
      <c r="B267" s="34" t="s">
        <v>120</v>
      </c>
      <c r="C267" s="30"/>
      <c r="D267" s="31" t="e">
        <f t="shared" si="14"/>
        <v>#DIV/0!</v>
      </c>
    </row>
    <row r="268" spans="1:4" s="34" customFormat="1" outlineLevel="2" x14ac:dyDescent="0.25">
      <c r="A268" s="34" t="s">
        <v>283</v>
      </c>
      <c r="B268" s="34" t="s">
        <v>235</v>
      </c>
      <c r="C268" s="30"/>
      <c r="D268" s="31" t="e">
        <f t="shared" si="14"/>
        <v>#DIV/0!</v>
      </c>
    </row>
    <row r="269" spans="1:4" s="34" customFormat="1" outlineLevel="2" x14ac:dyDescent="0.25">
      <c r="A269" s="29" t="s">
        <v>284</v>
      </c>
      <c r="B269" s="29" t="s">
        <v>237</v>
      </c>
      <c r="C269" s="30"/>
      <c r="D269" s="31" t="e">
        <f t="shared" si="14"/>
        <v>#DIV/0!</v>
      </c>
    </row>
    <row r="270" spans="1:4" s="34" customFormat="1" outlineLevel="2" x14ac:dyDescent="0.25">
      <c r="A270" s="29" t="s">
        <v>285</v>
      </c>
      <c r="B270" s="29" t="s">
        <v>286</v>
      </c>
      <c r="C270" s="30"/>
      <c r="D270" s="31" t="e">
        <f t="shared" si="14"/>
        <v>#DIV/0!</v>
      </c>
    </row>
    <row r="271" spans="1:4" s="34" customFormat="1" outlineLevel="2" x14ac:dyDescent="0.25">
      <c r="A271" s="29" t="s">
        <v>287</v>
      </c>
      <c r="B271" s="29" t="s">
        <v>122</v>
      </c>
      <c r="C271" s="30"/>
      <c r="D271" s="31" t="e">
        <f t="shared" si="14"/>
        <v>#DIV/0!</v>
      </c>
    </row>
    <row r="272" spans="1:4" s="34" customFormat="1" outlineLevel="2" collapsed="1" x14ac:dyDescent="0.25">
      <c r="A272" s="29" t="s">
        <v>288</v>
      </c>
      <c r="B272" s="29" t="s">
        <v>289</v>
      </c>
      <c r="C272" s="30"/>
      <c r="D272" s="31" t="e">
        <f t="shared" si="14"/>
        <v>#DIV/0!</v>
      </c>
    </row>
    <row r="273" spans="1:4" s="34" customFormat="1" outlineLevel="2" collapsed="1" x14ac:dyDescent="0.25">
      <c r="A273" s="29" t="s">
        <v>290</v>
      </c>
      <c r="B273" s="29" t="s">
        <v>124</v>
      </c>
      <c r="C273" s="30"/>
      <c r="D273" s="31" t="e">
        <f t="shared" si="14"/>
        <v>#DIV/0!</v>
      </c>
    </row>
    <row r="274" spans="1:4" s="34" customFormat="1" outlineLevel="2" x14ac:dyDescent="0.25">
      <c r="A274" s="34" t="s">
        <v>291</v>
      </c>
      <c r="B274" s="34" t="s">
        <v>239</v>
      </c>
      <c r="C274" s="30"/>
      <c r="D274" s="31" t="e">
        <f t="shared" si="14"/>
        <v>#DIV/0!</v>
      </c>
    </row>
    <row r="275" spans="1:4" s="34" customFormat="1" outlineLevel="2" x14ac:dyDescent="0.25">
      <c r="A275" s="34" t="s">
        <v>292</v>
      </c>
      <c r="B275" s="34" t="s">
        <v>293</v>
      </c>
      <c r="C275" s="30"/>
      <c r="D275" s="31" t="e">
        <f t="shared" si="14"/>
        <v>#DIV/0!</v>
      </c>
    </row>
    <row r="276" spans="1:4" s="34" customFormat="1" outlineLevel="2" x14ac:dyDescent="0.25">
      <c r="A276" s="29" t="s">
        <v>294</v>
      </c>
      <c r="B276" s="29" t="s">
        <v>130</v>
      </c>
      <c r="C276" s="30"/>
      <c r="D276" s="31" t="e">
        <f t="shared" si="14"/>
        <v>#DIV/0!</v>
      </c>
    </row>
    <row r="277" spans="1:4" s="34" customFormat="1" outlineLevel="2" x14ac:dyDescent="0.25">
      <c r="A277" s="34" t="s">
        <v>295</v>
      </c>
      <c r="B277" s="34" t="s">
        <v>296</v>
      </c>
      <c r="C277" s="30"/>
      <c r="D277" s="31" t="e">
        <f t="shared" si="14"/>
        <v>#DIV/0!</v>
      </c>
    </row>
    <row r="278" spans="1:4" s="34" customFormat="1" outlineLevel="2" x14ac:dyDescent="0.25">
      <c r="A278" s="34" t="s">
        <v>297</v>
      </c>
      <c r="B278" s="34" t="s">
        <v>116</v>
      </c>
      <c r="C278" s="30"/>
      <c r="D278" s="31" t="e">
        <f t="shared" si="14"/>
        <v>#DIV/0!</v>
      </c>
    </row>
    <row r="279" spans="1:4" s="34" customFormat="1" outlineLevel="2" x14ac:dyDescent="0.25">
      <c r="A279" s="34" t="s">
        <v>298</v>
      </c>
      <c r="B279" s="34" t="s">
        <v>299</v>
      </c>
      <c r="C279" s="33"/>
      <c r="D279" s="41" t="e">
        <f>+C279/$C$91</f>
        <v>#DIV/0!</v>
      </c>
    </row>
    <row r="280" spans="1:4" s="34" customFormat="1" outlineLevel="2" x14ac:dyDescent="0.25">
      <c r="A280" s="29" t="s">
        <v>300</v>
      </c>
      <c r="B280" s="29" t="s">
        <v>172</v>
      </c>
      <c r="C280" s="30"/>
      <c r="D280" s="31" t="e">
        <f t="shared" ref="D280" si="15">+C280/$C$91</f>
        <v>#DIV/0!</v>
      </c>
    </row>
    <row r="281" spans="1:4" s="34" customFormat="1" outlineLevel="2" x14ac:dyDescent="0.25">
      <c r="A281" s="34" t="s">
        <v>301</v>
      </c>
      <c r="B281" s="34" t="s">
        <v>98</v>
      </c>
      <c r="C281" s="30"/>
      <c r="D281" s="31" t="e">
        <f t="shared" si="14"/>
        <v>#DIV/0!</v>
      </c>
    </row>
    <row r="282" spans="1:4" s="34" customFormat="1" outlineLevel="2" x14ac:dyDescent="0.25">
      <c r="A282" s="34" t="s">
        <v>302</v>
      </c>
      <c r="B282" s="34" t="s">
        <v>114</v>
      </c>
      <c r="C282" s="30"/>
      <c r="D282" s="31" t="e">
        <f t="shared" si="14"/>
        <v>#DIV/0!</v>
      </c>
    </row>
    <row r="283" spans="1:4" s="34" customFormat="1" outlineLevel="2" x14ac:dyDescent="0.25">
      <c r="A283" s="29" t="s">
        <v>303</v>
      </c>
      <c r="B283" s="29" t="s">
        <v>304</v>
      </c>
      <c r="C283" s="30"/>
      <c r="D283" s="31" t="e">
        <f t="shared" si="14"/>
        <v>#DIV/0!</v>
      </c>
    </row>
    <row r="284" spans="1:4" s="34" customFormat="1" outlineLevel="2" x14ac:dyDescent="0.25">
      <c r="A284" s="34" t="s">
        <v>305</v>
      </c>
      <c r="B284" s="34" t="s">
        <v>306</v>
      </c>
      <c r="C284" s="30"/>
      <c r="D284" s="31" t="e">
        <f t="shared" si="14"/>
        <v>#DIV/0!</v>
      </c>
    </row>
    <row r="285" spans="1:4" s="34" customFormat="1" outlineLevel="2" x14ac:dyDescent="0.25">
      <c r="A285" s="34" t="s">
        <v>307</v>
      </c>
      <c r="B285" s="34" t="s">
        <v>308</v>
      </c>
      <c r="C285" s="30"/>
      <c r="D285" s="31" t="e">
        <f t="shared" si="14"/>
        <v>#DIV/0!</v>
      </c>
    </row>
    <row r="286" spans="1:4" s="34" customFormat="1" outlineLevel="2" x14ac:dyDescent="0.25">
      <c r="A286" s="34" t="s">
        <v>309</v>
      </c>
      <c r="B286" s="34" t="s">
        <v>310</v>
      </c>
      <c r="C286" s="30"/>
      <c r="D286" s="31" t="e">
        <f t="shared" ref="D286:D289" si="16">+C286/$C$91</f>
        <v>#DIV/0!</v>
      </c>
    </row>
    <row r="287" spans="1:4" s="34" customFormat="1" outlineLevel="2" x14ac:dyDescent="0.25">
      <c r="A287" s="34" t="s">
        <v>311</v>
      </c>
      <c r="B287" s="34" t="s">
        <v>140</v>
      </c>
      <c r="C287" s="30"/>
      <c r="D287" s="31" t="e">
        <f t="shared" si="16"/>
        <v>#DIV/0!</v>
      </c>
    </row>
    <row r="288" spans="1:4" s="34" customFormat="1" outlineLevel="2" x14ac:dyDescent="0.25">
      <c r="A288" s="29" t="s">
        <v>312</v>
      </c>
      <c r="B288" s="29" t="s">
        <v>313</v>
      </c>
      <c r="C288" s="30"/>
      <c r="D288" s="31" t="e">
        <f t="shared" si="16"/>
        <v>#DIV/0!</v>
      </c>
    </row>
    <row r="289" spans="1:4" s="34" customFormat="1" outlineLevel="2" x14ac:dyDescent="0.25">
      <c r="A289" s="29" t="s">
        <v>314</v>
      </c>
      <c r="B289" s="35" t="s">
        <v>100</v>
      </c>
      <c r="C289" s="30"/>
      <c r="D289" s="31" t="e">
        <f t="shared" si="16"/>
        <v>#DIV/0!</v>
      </c>
    </row>
    <row r="290" spans="1:4" outlineLevel="2" x14ac:dyDescent="0.25">
      <c r="A290" s="27"/>
      <c r="B290" s="26"/>
      <c r="C290" s="21"/>
    </row>
    <row r="291" spans="1:4" outlineLevel="1" x14ac:dyDescent="0.25">
      <c r="A291" s="9"/>
      <c r="B291" s="39" t="s">
        <v>315</v>
      </c>
      <c r="C291" s="13">
        <f>+C260+C261+C262+C263+C264+C266+C267+C268+C269+C270+C271+C274+C275+C276+C277+C278+C281+C282+C283+C284+C285+C288+C280+C286+C265+C279+C272+C273+C287+C289</f>
        <v>0</v>
      </c>
      <c r="D291" s="11" t="e">
        <f>+C291/$C$91</f>
        <v>#DIV/0!</v>
      </c>
    </row>
    <row r="292" spans="1:4" outlineLevel="1" x14ac:dyDescent="0.25">
      <c r="A292" s="9"/>
      <c r="B292" s="39"/>
      <c r="C292" s="10"/>
    </row>
    <row r="293" spans="1:4" outlineLevel="2" x14ac:dyDescent="0.25">
      <c r="A293" s="9"/>
      <c r="B293" s="40" t="s">
        <v>316</v>
      </c>
      <c r="C293" s="10"/>
    </row>
    <row r="294" spans="1:4" s="34" customFormat="1" outlineLevel="2" x14ac:dyDescent="0.25">
      <c r="A294" s="34" t="s">
        <v>317</v>
      </c>
      <c r="B294" s="34" t="s">
        <v>95</v>
      </c>
      <c r="C294" s="32"/>
      <c r="D294" s="31" t="e">
        <f t="shared" ref="D294:D297" si="17">+C294/$C$91</f>
        <v>#DIV/0!</v>
      </c>
    </row>
    <row r="295" spans="1:4" s="34" customFormat="1" outlineLevel="2" x14ac:dyDescent="0.25">
      <c r="A295" s="29" t="s">
        <v>318</v>
      </c>
      <c r="B295" s="29" t="s">
        <v>235</v>
      </c>
      <c r="C295" s="30"/>
      <c r="D295" s="31" t="e">
        <f t="shared" si="17"/>
        <v>#DIV/0!</v>
      </c>
    </row>
    <row r="296" spans="1:4" s="34" customFormat="1" outlineLevel="2" x14ac:dyDescent="0.25">
      <c r="A296" s="34" t="s">
        <v>319</v>
      </c>
      <c r="B296" s="34" t="s">
        <v>138</v>
      </c>
      <c r="C296" s="13"/>
      <c r="D296" s="31" t="e">
        <f t="shared" si="17"/>
        <v>#DIV/0!</v>
      </c>
    </row>
    <row r="297" spans="1:4" s="34" customFormat="1" outlineLevel="2" collapsed="1" x14ac:dyDescent="0.25">
      <c r="A297" s="34" t="s">
        <v>320</v>
      </c>
      <c r="B297" s="34" t="s">
        <v>189</v>
      </c>
      <c r="C297" s="13"/>
      <c r="D297" s="31" t="e">
        <f t="shared" si="17"/>
        <v>#DIV/0!</v>
      </c>
    </row>
    <row r="298" spans="1:4" outlineLevel="2" x14ac:dyDescent="0.25">
      <c r="A298" s="27"/>
      <c r="B298" s="26"/>
      <c r="C298" s="21"/>
    </row>
    <row r="299" spans="1:4" outlineLevel="1" x14ac:dyDescent="0.25">
      <c r="A299" s="9"/>
      <c r="B299" s="39" t="s">
        <v>321</v>
      </c>
      <c r="C299" s="13">
        <f>+C294+C295+C296+C297</f>
        <v>0</v>
      </c>
      <c r="D299" s="16" t="e">
        <f>+C299/$C$91</f>
        <v>#DIV/0!</v>
      </c>
    </row>
    <row r="300" spans="1:4" outlineLevel="1" x14ac:dyDescent="0.25">
      <c r="A300" s="9"/>
      <c r="B300" s="39"/>
      <c r="C300" s="10"/>
    </row>
    <row r="301" spans="1:4" x14ac:dyDescent="0.25">
      <c r="A301" s="9"/>
      <c r="B301" s="17" t="s">
        <v>322</v>
      </c>
      <c r="C301" s="18">
        <f>+C299+C291+C257+C243+C225</f>
        <v>0</v>
      </c>
      <c r="D301" s="16" t="e">
        <f>+C301/$C$91</f>
        <v>#DIV/0!</v>
      </c>
    </row>
    <row r="302" spans="1:4" x14ac:dyDescent="0.25">
      <c r="A302" s="9"/>
      <c r="B302" s="39"/>
      <c r="C302" s="10"/>
      <c r="D302" s="42"/>
    </row>
    <row r="303" spans="1:4" s="46" customFormat="1" ht="15.75" x14ac:dyDescent="0.25">
      <c r="A303" s="43"/>
      <c r="B303" s="44" t="s">
        <v>323</v>
      </c>
      <c r="C303" s="45">
        <f>+C208-C301</f>
        <v>0</v>
      </c>
      <c r="D303" s="16" t="e">
        <f>+C303/$C$91</f>
        <v>#DIV/0!</v>
      </c>
    </row>
    <row r="304" spans="1:4" x14ac:dyDescent="0.25">
      <c r="A304" s="9"/>
      <c r="B304" s="47"/>
      <c r="C304" s="10"/>
    </row>
    <row r="305" spans="1:4" outlineLevel="1" x14ac:dyDescent="0.25">
      <c r="A305" s="9"/>
      <c r="B305" s="39" t="s">
        <v>324</v>
      </c>
      <c r="C305" s="10"/>
    </row>
    <row r="306" spans="1:4" s="34" customFormat="1" outlineLevel="1" x14ac:dyDescent="0.25">
      <c r="A306" s="48" t="s">
        <v>325</v>
      </c>
      <c r="B306" s="29" t="s">
        <v>326</v>
      </c>
      <c r="C306" s="13"/>
      <c r="D306" s="31" t="e">
        <f t="shared" ref="D306:D307" si="18">+C306/$C$91</f>
        <v>#DIV/0!</v>
      </c>
    </row>
    <row r="307" spans="1:4" s="34" customFormat="1" outlineLevel="1" x14ac:dyDescent="0.25">
      <c r="A307" s="48" t="s">
        <v>327</v>
      </c>
      <c r="B307" s="29" t="s">
        <v>328</v>
      </c>
      <c r="C307" s="13"/>
      <c r="D307" s="31" t="e">
        <f t="shared" si="18"/>
        <v>#DIV/0!</v>
      </c>
    </row>
    <row r="308" spans="1:4" outlineLevel="1" x14ac:dyDescent="0.25">
      <c r="A308" s="49"/>
      <c r="B308" s="39"/>
      <c r="C308" s="50"/>
    </row>
    <row r="309" spans="1:4" x14ac:dyDescent="0.25">
      <c r="A309" s="9"/>
      <c r="B309" s="39" t="s">
        <v>329</v>
      </c>
      <c r="C309" s="13">
        <f>+C306+C307</f>
        <v>0</v>
      </c>
      <c r="D309" s="16" t="e">
        <f>+C309/$C$91</f>
        <v>#DIV/0!</v>
      </c>
    </row>
    <row r="310" spans="1:4" x14ac:dyDescent="0.25">
      <c r="A310" s="9"/>
      <c r="B310" s="39"/>
      <c r="C310" s="10"/>
    </row>
    <row r="311" spans="1:4" outlineLevel="1" x14ac:dyDescent="0.25">
      <c r="A311" s="9"/>
      <c r="B311" s="39" t="s">
        <v>330</v>
      </c>
      <c r="C311" s="10"/>
    </row>
    <row r="312" spans="1:4" outlineLevel="1" x14ac:dyDescent="0.25">
      <c r="A312" s="51" t="s">
        <v>331</v>
      </c>
      <c r="B312" s="52" t="s">
        <v>332</v>
      </c>
      <c r="C312" s="10"/>
      <c r="D312" s="11" t="e">
        <f t="shared" ref="D312:D315" si="19">+C312/$C$91</f>
        <v>#DIV/0!</v>
      </c>
    </row>
    <row r="313" spans="1:4" outlineLevel="1" x14ac:dyDescent="0.25">
      <c r="A313" s="25" t="s">
        <v>333</v>
      </c>
      <c r="B313" s="26" t="s">
        <v>334</v>
      </c>
      <c r="C313" s="10"/>
      <c r="D313" s="11" t="e">
        <f>+C313/$C$91</f>
        <v>#DIV/0!</v>
      </c>
    </row>
    <row r="314" spans="1:4" outlineLevel="1" x14ac:dyDescent="0.25">
      <c r="A314" s="51" t="s">
        <v>335</v>
      </c>
      <c r="B314" s="53" t="s">
        <v>336</v>
      </c>
      <c r="C314" s="10"/>
      <c r="D314" s="11" t="e">
        <f t="shared" si="19"/>
        <v>#DIV/0!</v>
      </c>
    </row>
    <row r="315" spans="1:4" outlineLevel="1" x14ac:dyDescent="0.25">
      <c r="A315" s="25" t="s">
        <v>337</v>
      </c>
      <c r="B315" s="26" t="s">
        <v>338</v>
      </c>
      <c r="C315" s="54"/>
      <c r="D315" s="11" t="e">
        <f t="shared" si="19"/>
        <v>#DIV/0!</v>
      </c>
    </row>
    <row r="316" spans="1:4" outlineLevel="1" x14ac:dyDescent="0.25">
      <c r="C316" s="21"/>
    </row>
    <row r="317" spans="1:4" x14ac:dyDescent="0.25">
      <c r="B317" s="39" t="s">
        <v>339</v>
      </c>
      <c r="C317" s="13">
        <f>+C313+C312-C314-C315</f>
        <v>0</v>
      </c>
      <c r="D317" s="16" t="e">
        <f>+C317/$C$91</f>
        <v>#DIV/0!</v>
      </c>
    </row>
    <row r="318" spans="1:4" x14ac:dyDescent="0.25">
      <c r="C318" s="10"/>
    </row>
    <row r="319" spans="1:4" ht="15.75" x14ac:dyDescent="0.25">
      <c r="B319" s="55" t="s">
        <v>340</v>
      </c>
      <c r="C319" s="56">
        <f>+C303-C309+C317</f>
        <v>0</v>
      </c>
      <c r="D319" s="16" t="e">
        <f>+C319/$C$91</f>
        <v>#DIV/0!</v>
      </c>
    </row>
    <row r="320" spans="1:4" s="57" customFormat="1" x14ac:dyDescent="0.25">
      <c r="C320" s="58"/>
    </row>
    <row r="321" spans="3:3" s="57" customFormat="1" x14ac:dyDescent="0.25"/>
    <row r="322" spans="3:3" s="57" customFormat="1" x14ac:dyDescent="0.25">
      <c r="C322" s="60"/>
    </row>
    <row r="323" spans="3:3" x14ac:dyDescent="0.25">
      <c r="C323" s="60"/>
    </row>
    <row r="324" spans="3:3" x14ac:dyDescent="0.25">
      <c r="C324" s="59"/>
    </row>
    <row r="326" spans="3:3" s="57" customFormat="1" x14ac:dyDescent="0.25"/>
    <row r="328" spans="3:3" x14ac:dyDescent="0.25">
      <c r="C328" s="59"/>
    </row>
  </sheetData>
  <protectedRanges>
    <protectedRange password="C196" sqref="A306:A307" name="Rango1_1"/>
    <protectedRange password="C196" sqref="A312:A315" name="Rango1_1_1"/>
    <protectedRange password="C196" sqref="A256 A242 A290 A224" name="Rango1_3_3"/>
    <protectedRange password="C196" sqref="A254:A255 A294:A297 A211:A223 A228:A241 A246:A252 A260:A289" name="Rango1_1_4_2_3"/>
    <protectedRange password="C196" sqref="B92 B306:B315" name="Rango1_5"/>
    <protectedRange password="C196" sqref="B108 B168 B170:B175 B197:B205 B223 B241 B255 B289 B147:B155 B93:B101 B103:B106 B110:B113 B115:B128 B130:B140 B142:B145 B157:B166 B177:B194" name="Rango1_9_2_1_1"/>
    <protectedRange password="C196" sqref="B107 B102" name="Rango1_3_2_1"/>
    <protectedRange password="C196" sqref="B129 B109" name="Rango1_4_2_1"/>
    <protectedRange password="C196" sqref="B167 B141 B169" name="Rango1_6_2_1"/>
    <protectedRange password="C196" sqref="B195 B176" name="Rango1_7_2_2_1"/>
    <protectedRange password="C196" sqref="B88:B91" name="Rango1_4_1"/>
    <protectedRange password="C196" sqref="B292 B300" name="Rango1_6"/>
    <protectedRange password="C196" sqref="B224:B227 B210 B293:B299 B254 B290:B291 B277:B288 B248:B252 B242:B246 B256:B275" name="Rango1_3_3_1"/>
    <protectedRange password="C196" sqref="B294:B297 B254 B277:B288 B211:B222 B228:B240 B246:B252 B260:B275" name="Rango1_9_2_3"/>
    <protectedRange password="C196" sqref="B276" name="Rango1_9_2_1_2"/>
    <protectedRange password="C196" sqref="B302 B304:B305" name="Rango1_7"/>
    <protectedRange password="C196" sqref="A93 A131 A197 A169" name="Rango1_2_1_1"/>
    <protectedRange password="C196" sqref="A130 A168 A205 A170:A173 A198:A203 A94:A99 A101:A106 A108:A128 A132:A138 A140:A145 A147:A166 A175:A194" name="Rango1_1_4_2_1_1"/>
    <protectedRange password="C196" sqref="C4:C5" name="Rango1_2"/>
    <protectedRange password="C196" sqref="D4:D5" name="Rango1_2_1"/>
    <protectedRange password="C196" sqref="B1:D1" name="Rango1"/>
    <protectedRange password="C196" sqref="A146" name="Rango1_1_4_2_1_1_1"/>
    <protectedRange password="C196" sqref="B114" name="Rango1_9_2_1_1_2"/>
    <protectedRange password="C196" sqref="B317" name="Rango1_5_1"/>
    <protectedRange password="C196" sqref="B156" name="Rango1_9_2_1_1_1"/>
    <protectedRange password="C196" sqref="A253" name="Rango1_1_4_2_3_1"/>
    <protectedRange password="C196" sqref="B253" name="Rango1_3_3_1_1"/>
    <protectedRange password="C196" sqref="B253" name="Rango1_9_2_3_1"/>
  </protectedRanges>
  <autoFilter ref="A4:D320" xr:uid="{CF64E248-18D3-4F8C-A54B-018BF5A81EDD}"/>
  <mergeCells count="4">
    <mergeCell ref="C4:C5"/>
    <mergeCell ref="D4:D5"/>
    <mergeCell ref="A4:A5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 ACUM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Campa Soria</dc:creator>
  <cp:lastModifiedBy>Carlos Eduardo Campa Soria</cp:lastModifiedBy>
  <dcterms:created xsi:type="dcterms:W3CDTF">2026-09-23T23:37:45Z</dcterms:created>
  <dcterms:modified xsi:type="dcterms:W3CDTF">2026-09-24T01:04:07Z</dcterms:modified>
</cp:coreProperties>
</file>