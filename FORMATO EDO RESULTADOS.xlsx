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GitHub\dashboard-financiero\"/>
    </mc:Choice>
  </mc:AlternateContent>
  <xr:revisionPtr revIDLastSave="0" documentId="13_ncr:1_{C5558AE1-67E0-46DE-BDFE-8CB68601C01E}" xr6:coauthVersionLast="47" xr6:coauthVersionMax="47" xr10:uidLastSave="{00000000-0000-0000-0000-000000000000}"/>
  <bookViews>
    <workbookView xWindow="-120" yWindow="-120" windowWidth="29040" windowHeight="15720" xr2:uid="{0CB56A9C-F9B5-408B-AD4B-64194E18ABBA}"/>
  </bookViews>
  <sheets>
    <sheet name="RESULTADOS ACUM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</externalReferences>
  <definedNames>
    <definedName name="_Fill" hidden="1">#REF!</definedName>
    <definedName name="_xlnm._FilterDatabase" localSheetId="0" hidden="1">'RESULTADOS ACUM'!$A$4:$D$638</definedName>
    <definedName name="_FilterDatabase_3">#REF!</definedName>
    <definedName name="_sct01">[1]!Macro11</definedName>
    <definedName name="_sct02">[1]!Macro12</definedName>
    <definedName name="_sct03">[1]!Macro14</definedName>
    <definedName name="_sct04">[1]!Macro15</definedName>
    <definedName name="_sct05">[1]!Macro16</definedName>
    <definedName name="_sct06">[1]!Macro19</definedName>
    <definedName name="_sct07">[1]!Macro2</definedName>
    <definedName name="_sct08">[1]!Macro20</definedName>
    <definedName name="_sct09">[1]!Macro22</definedName>
    <definedName name="_sct10">[1]!Macro3</definedName>
    <definedName name="_sct11">[1]!Macro4</definedName>
    <definedName name="_sct12">[1]!Macro5</definedName>
    <definedName name="_sct13">[1]!Macro6</definedName>
    <definedName name="_sct14">[1]!Macro7</definedName>
    <definedName name="_sct15">[1]!Macro8</definedName>
    <definedName name="_sct16">[1]!Macro9</definedName>
    <definedName name="catagos">#REF!</definedName>
    <definedName name="Comprobantes">'[2]Tabla de Comprobantes'!$A$3:$A$65</definedName>
    <definedName name="Conceptos">#REF!</definedName>
    <definedName name="Días">OFFSET([3]Reportes!$P$6,1,0,COUNTA([3]Reportes!$O$7:$O$107)-COUNTIF([3]Reportes!$O$7:$O$26,"")+1,1)</definedName>
    <definedName name="Empresas">#REF!</definedName>
    <definedName name="Etapa">OFFSET([3]Reportes!$O$6,1,0,COUNTA([3]Reportes!$O$7:$O$107)-COUNTIF([3]Reportes!$O$7:$O$26,"")+1,1)</definedName>
    <definedName name="Macro1">[1]!Macro1</definedName>
    <definedName name="Macro11">[4]!Macro11</definedName>
    <definedName name="Macro12">[4]!Macro12</definedName>
    <definedName name="Macro13">[4]!Macro13</definedName>
    <definedName name="Macro14">[4]!Macro14</definedName>
    <definedName name="Macro15">[4]!Macro15</definedName>
    <definedName name="Macro16">[4]!Macro16</definedName>
    <definedName name="Macro19">[4]!Macro19</definedName>
    <definedName name="Macro2">[4]!Macro2</definedName>
    <definedName name="Macro20">[4]!Macro20</definedName>
    <definedName name="Macro22">[4]!Macro22</definedName>
    <definedName name="Macro24">[1]!Macro24</definedName>
    <definedName name="Macro25">[1]!Macro25</definedName>
    <definedName name="Macro26">[1]!Macro26</definedName>
    <definedName name="Macro27">[1]!Macro27</definedName>
    <definedName name="Macro28">[1]!Macro28</definedName>
    <definedName name="Macro29">[1]!Macro29</definedName>
    <definedName name="Macro3">[4]!Macro3</definedName>
    <definedName name="Macro30">[1]!Macro30</definedName>
    <definedName name="Macro31">[1]!Macro31</definedName>
    <definedName name="Macro32">[1]!Macro32</definedName>
    <definedName name="Macro33">[1]!Macro33</definedName>
    <definedName name="Macro34">[1]!Macro34</definedName>
    <definedName name="Macro36">[1]!Macro36</definedName>
    <definedName name="Macro37">[1]!Macro37</definedName>
    <definedName name="Macro38">[1]!Macro38</definedName>
    <definedName name="Macro39">[1]!Macro39</definedName>
    <definedName name="Macro4">[4]!Macro4</definedName>
    <definedName name="Macro42">[1]!Macro42</definedName>
    <definedName name="Macro43">[1]!Macro43</definedName>
    <definedName name="Macro5">[4]!Macro5</definedName>
    <definedName name="Macro6">[4]!Macro6</definedName>
    <definedName name="macro60">[1]!Macro11</definedName>
    <definedName name="macro61">[1]!Macro12</definedName>
    <definedName name="macro62">[1]!Macro14</definedName>
    <definedName name="macro63">[1]!Macro15</definedName>
    <definedName name="macro64">[1]!Macro16</definedName>
    <definedName name="macro65">[1]!Macro19</definedName>
    <definedName name="macro66">[1]!Macro2</definedName>
    <definedName name="macro67">[1]!Macro20</definedName>
    <definedName name="macro68">[1]!Macro22</definedName>
    <definedName name="macro69">[1]!Macro3</definedName>
    <definedName name="Macro7">[4]!Macro7</definedName>
    <definedName name="macro70">[1]!Macro4</definedName>
    <definedName name="macro71">[1]!Macro5</definedName>
    <definedName name="macro72">[1]!Macro6</definedName>
    <definedName name="macro73">[1]!Macro7</definedName>
    <definedName name="macro79">[1]!Macro8</definedName>
    <definedName name="Macro8">[4]!Macro8</definedName>
    <definedName name="macro80">[1]!Macro9</definedName>
    <definedName name="Macro9">[4]!Macro9</definedName>
    <definedName name="PC">'[2]Tabla de Comprobantes'!$E$3:$E$14</definedName>
    <definedName name="PROYECTO">'[5]OBRAS 2013'!#REF!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625" i="1" l="1"/>
  <c r="C516" i="1"/>
  <c r="C239" i="1"/>
  <c r="C238" i="1"/>
  <c r="C237" i="1"/>
  <c r="C236" i="1"/>
  <c r="C56" i="1"/>
  <c r="C49" i="1"/>
  <c r="C43" i="1"/>
  <c r="C37" i="1"/>
  <c r="C81" i="1"/>
  <c r="C206" i="1" l="1"/>
  <c r="C627" i="1"/>
  <c r="C119" i="1"/>
  <c r="C331" i="1"/>
  <c r="C140" i="1"/>
  <c r="C600" i="1"/>
  <c r="C478" i="1"/>
  <c r="C432" i="1"/>
  <c r="C29" i="1"/>
  <c r="C80" i="1"/>
  <c r="C11" i="1"/>
  <c r="C82" i="1"/>
  <c r="C74" i="1"/>
  <c r="C79" i="1"/>
  <c r="C73" i="1"/>
  <c r="C23" i="1"/>
  <c r="C17" i="1"/>
  <c r="C72" i="1"/>
  <c r="C75" i="1"/>
  <c r="C68" i="1"/>
  <c r="C62" i="1"/>
  <c r="C70" i="1" s="1"/>
  <c r="C241" i="1"/>
  <c r="C338" i="1"/>
  <c r="C375" i="1"/>
  <c r="C384" i="1"/>
  <c r="C609" i="1"/>
  <c r="C635" i="1"/>
  <c r="C611" i="1" l="1"/>
  <c r="C386" i="1"/>
  <c r="C31" i="1"/>
  <c r="C84" i="1"/>
  <c r="C77" i="1"/>
  <c r="C86" i="1" l="1"/>
  <c r="C91" i="1" l="1"/>
  <c r="D86" i="1" s="1"/>
  <c r="D621" i="1" l="1"/>
  <c r="D620" i="1"/>
  <c r="D625" i="1"/>
  <c r="D624" i="1"/>
  <c r="D622" i="1"/>
  <c r="D618" i="1"/>
  <c r="D616" i="1"/>
  <c r="D597" i="1"/>
  <c r="D577" i="1"/>
  <c r="D594" i="1"/>
  <c r="D587" i="1"/>
  <c r="D583" i="1"/>
  <c r="D575" i="1"/>
  <c r="D578" i="1"/>
  <c r="D572" i="1"/>
  <c r="D561" i="1"/>
  <c r="D546" i="1"/>
  <c r="D549" i="1"/>
  <c r="D565" i="1"/>
  <c r="D552" i="1"/>
  <c r="D558" i="1"/>
  <c r="D566" i="1"/>
  <c r="D543" i="1"/>
  <c r="D535" i="1"/>
  <c r="D524" i="1"/>
  <c r="D527" i="1"/>
  <c r="D540" i="1"/>
  <c r="D506" i="1"/>
  <c r="D519" i="1"/>
  <c r="D509" i="1"/>
  <c r="D522" i="1"/>
  <c r="D525" i="1"/>
  <c r="D500" i="1"/>
  <c r="D497" i="1"/>
  <c r="D488" i="1"/>
  <c r="D481" i="1"/>
  <c r="D474" i="1"/>
  <c r="D458" i="1"/>
  <c r="D461" i="1"/>
  <c r="D441" i="1"/>
  <c r="D456" i="1"/>
  <c r="D455" i="1"/>
  <c r="D427" i="1"/>
  <c r="D430" i="1"/>
  <c r="D418" i="1"/>
  <c r="D415" i="1"/>
  <c r="D400" i="1"/>
  <c r="D403" i="1"/>
  <c r="D397" i="1"/>
  <c r="C388" i="1"/>
  <c r="D394" i="1"/>
  <c r="D358" i="1"/>
  <c r="D361" i="1"/>
  <c r="D364" i="1"/>
  <c r="D356" i="1"/>
  <c r="D355" i="1"/>
  <c r="D347" i="1"/>
  <c r="D310" i="1"/>
  <c r="D324" i="1"/>
  <c r="D329" i="1"/>
  <c r="D305" i="1"/>
  <c r="D323" i="1"/>
  <c r="D304" i="1"/>
  <c r="D335" i="1"/>
  <c r="D297" i="1"/>
  <c r="D286" i="1"/>
  <c r="D278" i="1"/>
  <c r="D292" i="1"/>
  <c r="D284" i="1"/>
  <c r="D279" i="1"/>
  <c r="D254" i="1"/>
  <c r="D257" i="1"/>
  <c r="D260" i="1"/>
  <c r="D270" i="1"/>
  <c r="D259" i="1"/>
  <c r="D262" i="1"/>
  <c r="D265" i="1"/>
  <c r="D255" i="1"/>
  <c r="D247" i="1"/>
  <c r="D244" i="1"/>
  <c r="D234" i="1"/>
  <c r="D245" i="1"/>
  <c r="D225" i="1"/>
  <c r="D182" i="1"/>
  <c r="D198" i="1"/>
  <c r="D200" i="1"/>
  <c r="D180" i="1"/>
  <c r="D163" i="1"/>
  <c r="D156" i="1"/>
  <c r="D185" i="1"/>
  <c r="D181" i="1"/>
  <c r="D159" i="1"/>
  <c r="D148" i="1"/>
  <c r="D169" i="1"/>
  <c r="D168" i="1"/>
  <c r="D167" i="1"/>
  <c r="D166" i="1"/>
  <c r="D170" i="1"/>
  <c r="D158" i="1"/>
  <c r="D191" i="1"/>
  <c r="D187" i="1"/>
  <c r="D143" i="1"/>
  <c r="D146" i="1"/>
  <c r="D102" i="1"/>
  <c r="D134" i="1"/>
  <c r="D125" i="1"/>
  <c r="D145" i="1"/>
  <c r="D113" i="1"/>
  <c r="D111" i="1"/>
  <c r="D67" i="1"/>
  <c r="D94" i="1"/>
  <c r="D96" i="1"/>
  <c r="D88" i="1"/>
  <c r="D61" i="1"/>
  <c r="D99" i="1"/>
  <c r="D91" i="1"/>
  <c r="D41" i="1"/>
  <c r="D66" i="1"/>
  <c r="D60" i="1"/>
  <c r="D55" i="1"/>
  <c r="D10" i="1"/>
  <c r="D20" i="1"/>
  <c r="D7" i="1"/>
  <c r="D89" i="1"/>
  <c r="D132" i="1"/>
  <c r="D133" i="1"/>
  <c r="D177" i="1"/>
  <c r="D165" i="1"/>
  <c r="D9" i="1"/>
  <c r="D8" i="1"/>
  <c r="D81" i="1"/>
  <c r="D21" i="1"/>
  <c r="D127" i="1"/>
  <c r="D107" i="1"/>
  <c r="D124" i="1"/>
  <c r="D49" i="1"/>
  <c r="D36" i="1"/>
  <c r="D46" i="1"/>
  <c r="D64" i="1"/>
  <c r="D123" i="1"/>
  <c r="D153" i="1"/>
  <c r="D152" i="1"/>
  <c r="D178" i="1"/>
  <c r="D47" i="1"/>
  <c r="D33" i="1"/>
  <c r="D108" i="1"/>
  <c r="D105" i="1"/>
  <c r="D100" i="1"/>
  <c r="D16" i="1"/>
  <c r="D40" i="1"/>
  <c r="D39" i="1"/>
  <c r="D35" i="1"/>
  <c r="D65" i="1"/>
  <c r="D34" i="1"/>
  <c r="D15" i="1"/>
  <c r="D155" i="1"/>
  <c r="D160" i="1"/>
  <c r="D129" i="1"/>
  <c r="D157" i="1"/>
  <c r="D203" i="1"/>
  <c r="D13" i="1"/>
  <c r="D43" i="1"/>
  <c r="D53" i="1"/>
  <c r="D48" i="1"/>
  <c r="D101" i="1"/>
  <c r="D25" i="1"/>
  <c r="D28" i="1"/>
  <c r="D119" i="1"/>
  <c r="D140" i="1"/>
  <c r="D19" i="1"/>
  <c r="D45" i="1"/>
  <c r="D128" i="1"/>
  <c r="D126" i="1"/>
  <c r="D27" i="1"/>
  <c r="D52" i="1"/>
  <c r="D95" i="1"/>
  <c r="D97" i="1"/>
  <c r="D151" i="1"/>
  <c r="D135" i="1"/>
  <c r="D110" i="1"/>
  <c r="D217" i="1"/>
  <c r="D56" i="1"/>
  <c r="D54" i="1"/>
  <c r="D103" i="1"/>
  <c r="D115" i="1"/>
  <c r="D106" i="1"/>
  <c r="D137" i="1"/>
  <c r="D98" i="1"/>
  <c r="D116" i="1"/>
  <c r="D171" i="1"/>
  <c r="D14" i="1"/>
  <c r="D58" i="1"/>
  <c r="D109" i="1"/>
  <c r="D117" i="1"/>
  <c r="D112" i="1"/>
  <c r="D26" i="1"/>
  <c r="D22" i="1"/>
  <c r="D42" i="1"/>
  <c r="D37" i="1"/>
  <c r="D59" i="1"/>
  <c r="D104" i="1"/>
  <c r="D114" i="1"/>
  <c r="D175" i="1"/>
  <c r="D122" i="1"/>
  <c r="D131" i="1"/>
  <c r="D138" i="1"/>
  <c r="D188" i="1"/>
  <c r="D194" i="1"/>
  <c r="D204" i="1"/>
  <c r="D213" i="1"/>
  <c r="D249" i="1"/>
  <c r="D215" i="1"/>
  <c r="D250" i="1"/>
  <c r="D251" i="1"/>
  <c r="D258" i="1"/>
  <c r="D294" i="1"/>
  <c r="D299" i="1"/>
  <c r="D326" i="1"/>
  <c r="D328" i="1"/>
  <c r="D351" i="1"/>
  <c r="D325" i="1"/>
  <c r="D372" i="1"/>
  <c r="D398" i="1"/>
  <c r="D407" i="1"/>
  <c r="D421" i="1"/>
  <c r="D130" i="1"/>
  <c r="D183" i="1"/>
  <c r="D229" i="1"/>
  <c r="D214" i="1"/>
  <c r="D238" i="1"/>
  <c r="D230" i="1"/>
  <c r="D272" i="1"/>
  <c r="D296" i="1"/>
  <c r="D150" i="1"/>
  <c r="D174" i="1"/>
  <c r="D184" i="1"/>
  <c r="D202" i="1"/>
  <c r="D186" i="1"/>
  <c r="D252" i="1"/>
  <c r="D261" i="1"/>
  <c r="D267" i="1"/>
  <c r="D269" i="1"/>
  <c r="D290" i="1"/>
  <c r="D301" i="1"/>
  <c r="D285" i="1"/>
  <c r="D282" i="1"/>
  <c r="D291" i="1"/>
  <c r="D288" i="1"/>
  <c r="D190" i="1"/>
  <c r="D193" i="1"/>
  <c r="D212" i="1"/>
  <c r="D201" i="1"/>
  <c r="D223" i="1"/>
  <c r="D253" i="1"/>
  <c r="D280" i="1"/>
  <c r="D281" i="1"/>
  <c r="D162" i="1"/>
  <c r="D176" i="1"/>
  <c r="D220" i="1"/>
  <c r="D239" i="1"/>
  <c r="D227" i="1"/>
  <c r="D264" i="1"/>
  <c r="D256" i="1"/>
  <c r="D289" i="1"/>
  <c r="D283" i="1"/>
  <c r="D277" i="1"/>
  <c r="D314" i="1"/>
  <c r="D161" i="1"/>
  <c r="D197" i="1"/>
  <c r="D210" i="1"/>
  <c r="D222" i="1"/>
  <c r="D266" i="1"/>
  <c r="D298" i="1"/>
  <c r="D136" i="1"/>
  <c r="D173" i="1"/>
  <c r="D199" i="1"/>
  <c r="D195" i="1"/>
  <c r="D232" i="1"/>
  <c r="D216" i="1"/>
  <c r="D248" i="1"/>
  <c r="D316" i="1"/>
  <c r="D295" i="1"/>
  <c r="D209" i="1"/>
  <c r="D211" i="1"/>
  <c r="D219" i="1"/>
  <c r="D271" i="1"/>
  <c r="D273" i="1"/>
  <c r="D192" i="1"/>
  <c r="D218" i="1"/>
  <c r="D226" i="1"/>
  <c r="D221" i="1"/>
  <c r="D263" i="1"/>
  <c r="D287" i="1"/>
  <c r="D293" i="1"/>
  <c r="D307" i="1"/>
  <c r="D321" i="1"/>
  <c r="D345" i="1"/>
  <c r="D322" i="1"/>
  <c r="D318" i="1"/>
  <c r="D336" i="1"/>
  <c r="D353" i="1"/>
  <c r="D381" i="1"/>
  <c r="D172" i="1"/>
  <c r="D206" i="1"/>
  <c r="D154" i="1"/>
  <c r="D236" i="1"/>
  <c r="D231" i="1"/>
  <c r="D246" i="1"/>
  <c r="D224" i="1"/>
  <c r="D274" i="1"/>
  <c r="D311" i="1"/>
  <c r="D319" i="1"/>
  <c r="D343" i="1"/>
  <c r="D348" i="1"/>
  <c r="D341" i="1"/>
  <c r="D432" i="1"/>
  <c r="D408" i="1"/>
  <c r="D399" i="1"/>
  <c r="D419" i="1"/>
  <c r="D164" i="1"/>
  <c r="D149" i="1"/>
  <c r="D144" i="1"/>
  <c r="D189" i="1"/>
  <c r="D179" i="1"/>
  <c r="D228" i="1"/>
  <c r="D196" i="1"/>
  <c r="D237" i="1"/>
  <c r="D233" i="1"/>
  <c r="D268" i="1"/>
  <c r="D275" i="1"/>
  <c r="D300" i="1"/>
  <c r="D147" i="1"/>
  <c r="D235" i="1"/>
  <c r="D331" i="1"/>
  <c r="D276" i="1"/>
  <c r="D342" i="1"/>
  <c r="D359" i="1"/>
  <c r="D393" i="1"/>
  <c r="D406" i="1"/>
  <c r="D395" i="1"/>
  <c r="D349" i="1"/>
  <c r="D380" i="1"/>
  <c r="D402" i="1"/>
  <c r="D414" i="1"/>
  <c r="D429" i="1"/>
  <c r="D450" i="1"/>
  <c r="D445" i="1"/>
  <c r="D476" i="1"/>
  <c r="D491" i="1"/>
  <c r="D501" i="1"/>
  <c r="D533" i="1"/>
  <c r="D528" i="1"/>
  <c r="D563" i="1"/>
  <c r="D569" i="1"/>
  <c r="D630" i="1"/>
  <c r="D579" i="1"/>
  <c r="D593" i="1"/>
  <c r="D590" i="1"/>
  <c r="D604" i="1"/>
  <c r="D334" i="1"/>
  <c r="D366" i="1"/>
  <c r="D405" i="1"/>
  <c r="D416" i="1"/>
  <c r="D396" i="1"/>
  <c r="D473" i="1"/>
  <c r="D471" i="1"/>
  <c r="D454" i="1"/>
  <c r="D463" i="1"/>
  <c r="D531" i="1"/>
  <c r="D530" i="1"/>
  <c r="D537" i="1"/>
  <c r="D544" i="1"/>
  <c r="D560" i="1"/>
  <c r="D317" i="1"/>
  <c r="D410" i="1"/>
  <c r="D426" i="1"/>
  <c r="D440" i="1"/>
  <c r="D465" i="1"/>
  <c r="D485" i="1"/>
  <c r="D516" i="1"/>
  <c r="D496" i="1"/>
  <c r="D504" i="1"/>
  <c r="D521" i="1"/>
  <c r="D600" i="1"/>
  <c r="D557" i="1"/>
  <c r="D312" i="1"/>
  <c r="D350" i="1"/>
  <c r="D346" i="1"/>
  <c r="D357" i="1"/>
  <c r="D411" i="1"/>
  <c r="D443" i="1"/>
  <c r="D452" i="1"/>
  <c r="D449" i="1"/>
  <c r="D436" i="1"/>
  <c r="D459" i="1"/>
  <c r="D483" i="1"/>
  <c r="D490" i="1"/>
  <c r="D538" i="1"/>
  <c r="D567" i="1"/>
  <c r="D591" i="1"/>
  <c r="D303" i="1"/>
  <c r="D302" i="1"/>
  <c r="D367" i="1"/>
  <c r="D354" i="1"/>
  <c r="D379" i="1"/>
  <c r="D439" i="1"/>
  <c r="D470" i="1"/>
  <c r="D466" i="1"/>
  <c r="D489" i="1"/>
  <c r="D564" i="1"/>
  <c r="D585" i="1"/>
  <c r="D581" i="1"/>
  <c r="D617" i="1"/>
  <c r="D619" i="1"/>
  <c r="D306" i="1"/>
  <c r="D413" i="1"/>
  <c r="D438" i="1"/>
  <c r="D453" i="1"/>
  <c r="D464" i="1"/>
  <c r="D448" i="1"/>
  <c r="D534" i="1"/>
  <c r="D532" i="1"/>
  <c r="D541" i="1"/>
  <c r="D551" i="1"/>
  <c r="D568" i="1"/>
  <c r="D580" i="1"/>
  <c r="D365" i="1"/>
  <c r="D363" i="1"/>
  <c r="D420" i="1"/>
  <c r="D423" i="1"/>
  <c r="D444" i="1"/>
  <c r="D468" i="1"/>
  <c r="D472" i="1"/>
  <c r="D486" i="1"/>
  <c r="D484" i="1"/>
  <c r="D508" i="1"/>
  <c r="D503" i="1"/>
  <c r="D520" i="1"/>
  <c r="D512" i="1"/>
  <c r="D539" i="1"/>
  <c r="D553" i="1"/>
  <c r="D588" i="1"/>
  <c r="D576" i="1"/>
  <c r="D598" i="1"/>
  <c r="D603" i="1"/>
  <c r="D313" i="1"/>
  <c r="D315" i="1"/>
  <c r="D327" i="1"/>
  <c r="D344" i="1"/>
  <c r="D371" i="1"/>
  <c r="D382" i="1"/>
  <c r="D391" i="1"/>
  <c r="D404" i="1"/>
  <c r="D417" i="1"/>
  <c r="D425" i="1"/>
  <c r="D478" i="1"/>
  <c r="D467" i="1"/>
  <c r="D482" i="1"/>
  <c r="D510" i="1"/>
  <c r="D526" i="1"/>
  <c r="D555" i="1"/>
  <c r="D571" i="1"/>
  <c r="D586" i="1"/>
  <c r="D627" i="1"/>
  <c r="D320" i="1"/>
  <c r="D308" i="1"/>
  <c r="D368" i="1"/>
  <c r="D447" i="1"/>
  <c r="D435" i="1"/>
  <c r="D487" i="1"/>
  <c r="D513" i="1"/>
  <c r="D523" i="1"/>
  <c r="D502" i="1"/>
  <c r="D514" i="1"/>
  <c r="D542" i="1"/>
  <c r="D550" i="1"/>
  <c r="D547" i="1"/>
  <c r="D570" i="1"/>
  <c r="D584" i="1"/>
  <c r="D574" i="1"/>
  <c r="D592" i="1"/>
  <c r="D607" i="1"/>
  <c r="D562" i="1"/>
  <c r="D596" i="1"/>
  <c r="D362" i="1"/>
  <c r="D373" i="1"/>
  <c r="D352" i="1"/>
  <c r="D370" i="1"/>
  <c r="D360" i="1"/>
  <c r="D446" i="1"/>
  <c r="D451" i="1"/>
  <c r="D475" i="1"/>
  <c r="D493" i="1"/>
  <c r="D548" i="1"/>
  <c r="D529" i="1"/>
  <c r="D582" i="1"/>
  <c r="D595" i="1"/>
  <c r="D632" i="1"/>
  <c r="D559" i="1"/>
  <c r="D605" i="1"/>
  <c r="D633" i="1"/>
  <c r="D309" i="1"/>
  <c r="D378" i="1"/>
  <c r="D369" i="1"/>
  <c r="D392" i="1"/>
  <c r="D401" i="1"/>
  <c r="D428" i="1"/>
  <c r="D424" i="1"/>
  <c r="D437" i="1"/>
  <c r="D442" i="1"/>
  <c r="D469" i="1"/>
  <c r="D457" i="1"/>
  <c r="D495" i="1"/>
  <c r="D499" i="1"/>
  <c r="D511" i="1"/>
  <c r="D556" i="1"/>
  <c r="D412" i="1"/>
  <c r="D409" i="1"/>
  <c r="D422" i="1"/>
  <c r="D462" i="1"/>
  <c r="D494" i="1"/>
  <c r="D460" i="1"/>
  <c r="D492" i="1"/>
  <c r="D498" i="1"/>
  <c r="D507" i="1"/>
  <c r="D505" i="1"/>
  <c r="D536" i="1"/>
  <c r="D545" i="1"/>
  <c r="D573" i="1"/>
  <c r="D554" i="1"/>
  <c r="D589" i="1"/>
  <c r="D631" i="1"/>
  <c r="D623" i="1"/>
  <c r="D606" i="1"/>
  <c r="D23" i="1"/>
  <c r="D29" i="1"/>
  <c r="D62" i="1"/>
  <c r="D609" i="1"/>
  <c r="D338" i="1"/>
  <c r="D82" i="1"/>
  <c r="D17" i="1"/>
  <c r="D241" i="1"/>
  <c r="D79" i="1"/>
  <c r="D74" i="1"/>
  <c r="D80" i="1"/>
  <c r="D11" i="1"/>
  <c r="D70" i="1"/>
  <c r="D375" i="1"/>
  <c r="D75" i="1"/>
  <c r="D73" i="1"/>
  <c r="D635" i="1"/>
  <c r="D384" i="1"/>
  <c r="D68" i="1"/>
  <c r="D72" i="1"/>
  <c r="D77" i="1"/>
  <c r="D611" i="1"/>
  <c r="D386" i="1"/>
  <c r="D31" i="1"/>
  <c r="D84" i="1"/>
  <c r="C613" i="1" l="1"/>
  <c r="D388" i="1"/>
  <c r="C637" i="1" l="1"/>
  <c r="D613" i="1"/>
  <c r="D637" i="1" l="1"/>
</calcChain>
</file>

<file path=xl/sharedStrings.xml><?xml version="1.0" encoding="utf-8"?>
<sst xmlns="http://schemas.openxmlformats.org/spreadsheetml/2006/main" count="1102" uniqueCount="721">
  <si>
    <t>EMPRESAS DEL GRUPO SERVYRE</t>
  </si>
  <si>
    <t>CUENTA</t>
  </si>
  <si>
    <t>CONCEPTO</t>
  </si>
  <si>
    <t>%</t>
  </si>
  <si>
    <t>CIVLA</t>
  </si>
  <si>
    <t>410-?????-001-0000</t>
  </si>
  <si>
    <t>Ventas Limpieza</t>
  </si>
  <si>
    <t>410-?????-002-0000</t>
  </si>
  <si>
    <t>Ventas Obra</t>
  </si>
  <si>
    <t>410-?????-003-0000</t>
  </si>
  <si>
    <t>Ventas Suministro</t>
  </si>
  <si>
    <t>410-?????-004-0000</t>
  </si>
  <si>
    <t>Ventas Varias</t>
  </si>
  <si>
    <t>Ventas a Terceros</t>
  </si>
  <si>
    <t/>
  </si>
  <si>
    <t>411-?????-001-0000</t>
  </si>
  <si>
    <t>411-?????-002-0000</t>
  </si>
  <si>
    <t>411-?????-003-0000</t>
  </si>
  <si>
    <t>411-?????-004-0000</t>
  </si>
  <si>
    <t xml:space="preserve">Ventas Intercompañias </t>
  </si>
  <si>
    <t>440-?????-001-0000</t>
  </si>
  <si>
    <t>Ventas PF Limpieza</t>
  </si>
  <si>
    <t>440-?????-002-0000</t>
  </si>
  <si>
    <t>Ventas PF Obra</t>
  </si>
  <si>
    <t>440-?????-003-0000</t>
  </si>
  <si>
    <t>Ventas PF Suministro</t>
  </si>
  <si>
    <t>440-?????-004-0000</t>
  </si>
  <si>
    <t>Ventas PF Varias</t>
  </si>
  <si>
    <t>Ventas PF a Terceros</t>
  </si>
  <si>
    <t>441-?????-001-0000</t>
  </si>
  <si>
    <t>441-?????-002-0000</t>
  </si>
  <si>
    <t>441-?????-003-0000</t>
  </si>
  <si>
    <t>441-?????-004-0000</t>
  </si>
  <si>
    <t>Ventas PF Intercompañias</t>
  </si>
  <si>
    <t xml:space="preserve">Total Ventas </t>
  </si>
  <si>
    <t>420-?????-001-0000</t>
  </si>
  <si>
    <t>Desc Y Dev S/Ventas Limpieza</t>
  </si>
  <si>
    <t>420-?????-002-0000</t>
  </si>
  <si>
    <t>Desc Y Dev S/Ventas Obra</t>
  </si>
  <si>
    <t>420-?????-003-0000</t>
  </si>
  <si>
    <t>Desc Y Dev S/Ventas Suministro</t>
  </si>
  <si>
    <t>420-?????-004-0000</t>
  </si>
  <si>
    <t>Desc Y Dev S/Ventas Varias</t>
  </si>
  <si>
    <t>Descuentos S/Ventas a Terceros</t>
  </si>
  <si>
    <t>421-?????-001-0000</t>
  </si>
  <si>
    <t>421-?????-002-0000</t>
  </si>
  <si>
    <t>421-?????-003-0000</t>
  </si>
  <si>
    <t>421-?????-004-0000</t>
  </si>
  <si>
    <t>Descuentos S/Ventas Intercompañias</t>
  </si>
  <si>
    <t>422-?????-001-0000</t>
  </si>
  <si>
    <t>Penalizaciones y Sanciones/Ventas PF Limpieza</t>
  </si>
  <si>
    <t>422-?????-002-0000</t>
  </si>
  <si>
    <t>Penalizaciones y Sanciones/Ventas PF Obra</t>
  </si>
  <si>
    <t>422-?????-003-0000</t>
  </si>
  <si>
    <t>Penalizaciones y Sanciones/Ventas PF Suministro</t>
  </si>
  <si>
    <t>422-?????-004-0000</t>
  </si>
  <si>
    <t>Penalizaciones y Sanciones/Ventas PF Varias</t>
  </si>
  <si>
    <t>Penalizaciones y Sanciones/Ventas PF a Terceros</t>
  </si>
  <si>
    <t>423-?????-001-0000</t>
  </si>
  <si>
    <t>423-?????-002-0000</t>
  </si>
  <si>
    <t>423-?????-003-0000</t>
  </si>
  <si>
    <t>423-?????-004-0000</t>
  </si>
  <si>
    <t>450-?????-001-0000</t>
  </si>
  <si>
    <t>Desc Y Dev S/Ventas PF Limpieza</t>
  </si>
  <si>
    <t>450-?????-002-0000</t>
  </si>
  <si>
    <t>Desc Y Dev S/Ventas PF Obra</t>
  </si>
  <si>
    <t>450-?????-003-0000</t>
  </si>
  <si>
    <t>Desc Y Dev S/Ventas PF Suministro</t>
  </si>
  <si>
    <t>450-?????-004-0000</t>
  </si>
  <si>
    <t>Desc Y Dev S/Ventas PF Varias</t>
  </si>
  <si>
    <t>Descuentos S/Ventas PF a Terceros</t>
  </si>
  <si>
    <t>451-?????-001-0000</t>
  </si>
  <si>
    <t>451-?????-002-0000</t>
  </si>
  <si>
    <t>451-?????-003-0000</t>
  </si>
  <si>
    <t>451-?????-004-0000</t>
  </si>
  <si>
    <t>Descuentos S/Ventas PF Intercompañias</t>
  </si>
  <si>
    <t xml:space="preserve">Total Descuentos S/Ventas </t>
  </si>
  <si>
    <t>Ventas Netas Limpieza</t>
  </si>
  <si>
    <t>Ventas Netas Obra</t>
  </si>
  <si>
    <t>Ventas Netas Suministro</t>
  </si>
  <si>
    <t>Ventas Netas Varias</t>
  </si>
  <si>
    <t>Total Ventas Netas A Terceros</t>
  </si>
  <si>
    <t>Total Ventas Netas Intercompañias</t>
  </si>
  <si>
    <t>Ventas Netas</t>
  </si>
  <si>
    <t>430-00001-000-0000</t>
  </si>
  <si>
    <t>Otros Ingresos no gravados</t>
  </si>
  <si>
    <t>430-00002-000-0000</t>
  </si>
  <si>
    <t>Otros Ingresos gravados</t>
  </si>
  <si>
    <t>Ventas Netas Totales</t>
  </si>
  <si>
    <t>Costo Directos Planta  (510)</t>
  </si>
  <si>
    <t>510-?????-001-0000</t>
  </si>
  <si>
    <t>Sueldos y Salarios</t>
  </si>
  <si>
    <t>510-?????-001-0001</t>
  </si>
  <si>
    <t>Sueldo</t>
  </si>
  <si>
    <t>510-?????-001-0002</t>
  </si>
  <si>
    <t>Despensa</t>
  </si>
  <si>
    <t>510-?????-001-0004</t>
  </si>
  <si>
    <t>Compensacion</t>
  </si>
  <si>
    <t>510-?????-001-0005</t>
  </si>
  <si>
    <t>Premio Asistencia</t>
  </si>
  <si>
    <t>510-?????-001-0006</t>
  </si>
  <si>
    <t>Premio Puntualidad</t>
  </si>
  <si>
    <t>510-?????-001-0009</t>
  </si>
  <si>
    <t>Vacaciones</t>
  </si>
  <si>
    <t>510-?????-001-0010</t>
  </si>
  <si>
    <t>Prima Vacacional</t>
  </si>
  <si>
    <t>510-?????-001-0011</t>
  </si>
  <si>
    <t>Aguinaldo</t>
  </si>
  <si>
    <t>510-?????-002-0000</t>
  </si>
  <si>
    <t>Impuestos Sobre Mano de Obra</t>
  </si>
  <si>
    <t>510-?????-002-0001</t>
  </si>
  <si>
    <t>Cuotas Imss</t>
  </si>
  <si>
    <t>510-?????-002-0002</t>
  </si>
  <si>
    <t>2% Retiro</t>
  </si>
  <si>
    <t>510-?????-002-0003</t>
  </si>
  <si>
    <t>5% Infonavit</t>
  </si>
  <si>
    <t>510-?????-002-0004</t>
  </si>
  <si>
    <t>3% S/Nomina</t>
  </si>
  <si>
    <t>510-?????-002-0009</t>
  </si>
  <si>
    <t>Otros</t>
  </si>
  <si>
    <t>510-?????-003-0000</t>
  </si>
  <si>
    <t>Prestacion de Servicios Intern</t>
  </si>
  <si>
    <t>510-?????-007-0000</t>
  </si>
  <si>
    <t>Materia Prima</t>
  </si>
  <si>
    <t>510-?????-007-0010</t>
  </si>
  <si>
    <t>Acero</t>
  </si>
  <si>
    <t>510-?????-007-0020</t>
  </si>
  <si>
    <t>Pintura</t>
  </si>
  <si>
    <t>510-?????-007-0030</t>
  </si>
  <si>
    <t>Reflejante</t>
  </si>
  <si>
    <t>510-?????-007-0050</t>
  </si>
  <si>
    <t>Ptst Producto Terminado S/Tran</t>
  </si>
  <si>
    <t>510-?????-007-0060</t>
  </si>
  <si>
    <t>Complementos</t>
  </si>
  <si>
    <t>510-?????-007-0070</t>
  </si>
  <si>
    <t>Varios</t>
  </si>
  <si>
    <t>510-?????-061-0000</t>
  </si>
  <si>
    <t>Otros Gastos (R.I.)</t>
  </si>
  <si>
    <t>Total Costo Directos Planta</t>
  </si>
  <si>
    <t>Costo Indirecto De Planta  (520)</t>
  </si>
  <si>
    <t>520-?????-001-0000</t>
  </si>
  <si>
    <t>520-?????-001-0001</t>
  </si>
  <si>
    <t>520-?????-001-0002</t>
  </si>
  <si>
    <t>520-?????-001-0004</t>
  </si>
  <si>
    <t>520-?????-001-0005</t>
  </si>
  <si>
    <t>520-?????-001-0006</t>
  </si>
  <si>
    <t>520-?????-001-0008</t>
  </si>
  <si>
    <t>Gratificacion Extraordinaria</t>
  </si>
  <si>
    <t>520-?????-001-0009</t>
  </si>
  <si>
    <t>520-?????-001-0010</t>
  </si>
  <si>
    <t>520-?????-001-0011</t>
  </si>
  <si>
    <t>520-?????-002-0000</t>
  </si>
  <si>
    <t>520-?????-002-0001</t>
  </si>
  <si>
    <t>520-?????-002-0002</t>
  </si>
  <si>
    <t>520-?????-002-0003</t>
  </si>
  <si>
    <t>520-?????-002-0004</t>
  </si>
  <si>
    <t>520-?????-002-0009</t>
  </si>
  <si>
    <t>520-?????-003-0000</t>
  </si>
  <si>
    <t>Total Costo Indirecto De Planta  (520)</t>
  </si>
  <si>
    <t>Costo  Directos Obra  (530)</t>
  </si>
  <si>
    <t>530-?????-001-0000</t>
  </si>
  <si>
    <t>530-?????-001-0001</t>
  </si>
  <si>
    <t>530-?????-001-0002</t>
  </si>
  <si>
    <t>530-?????-001-0004</t>
  </si>
  <si>
    <t>530-?????-001-0005</t>
  </si>
  <si>
    <t>530-?????-001-0006</t>
  </si>
  <si>
    <t>530-?????-001-0009</t>
  </si>
  <si>
    <t>530-?????-001-0010</t>
  </si>
  <si>
    <t>530-?????-001-0011</t>
  </si>
  <si>
    <t>530-?????-001-0051</t>
  </si>
  <si>
    <t>530-?????-001-0052</t>
  </si>
  <si>
    <t>530-?????-001-0053</t>
  </si>
  <si>
    <t>Horas Extras</t>
  </si>
  <si>
    <t>530-?????-001-0055</t>
  </si>
  <si>
    <t>530-?????-001-0056</t>
  </si>
  <si>
    <t>530-?????-001-0067</t>
  </si>
  <si>
    <t>Otros Ingresos por Descuento</t>
  </si>
  <si>
    <t>530-?????-002-0000</t>
  </si>
  <si>
    <t>530-?????-002-0001</t>
  </si>
  <si>
    <t>530-?????-002-0002</t>
  </si>
  <si>
    <t>530-?????-002-0003</t>
  </si>
  <si>
    <t>530-?????-002-0004</t>
  </si>
  <si>
    <t>530-?????-002-0009</t>
  </si>
  <si>
    <t>530-?????-003-0000</t>
  </si>
  <si>
    <t>530-?????-004-0000</t>
  </si>
  <si>
    <t>Viaticos</t>
  </si>
  <si>
    <t>530-?????-004-0001</t>
  </si>
  <si>
    <t>Alimentos</t>
  </si>
  <si>
    <t>530-?????-004-0002</t>
  </si>
  <si>
    <t>Combustibles</t>
  </si>
  <si>
    <t>530-?????-004-0003</t>
  </si>
  <si>
    <t>Hospedaje</t>
  </si>
  <si>
    <t>530-?????-004-0004</t>
  </si>
  <si>
    <t>Pasajes</t>
  </si>
  <si>
    <t>530-?????-004-0005</t>
  </si>
  <si>
    <t>Casetas</t>
  </si>
  <si>
    <t>530-?????-004-0006</t>
  </si>
  <si>
    <t>Herramientas</t>
  </si>
  <si>
    <t>530-?????-004-0007</t>
  </si>
  <si>
    <t>Renta</t>
  </si>
  <si>
    <t>530-?????-004-0009</t>
  </si>
  <si>
    <t>Materiales</t>
  </si>
  <si>
    <t>530-?????-004-0010</t>
  </si>
  <si>
    <t>Mensajeria</t>
  </si>
  <si>
    <t>530-?????-004-0011</t>
  </si>
  <si>
    <t>Mantenimiento</t>
  </si>
  <si>
    <t>530-?????-004-0013</t>
  </si>
  <si>
    <t>530-?????-004-0014</t>
  </si>
  <si>
    <t>Papeleria</t>
  </si>
  <si>
    <t>530-?????-006-0000</t>
  </si>
  <si>
    <t>Materiales Proyectos Nuevos</t>
  </si>
  <si>
    <t>530-?????-009-0000</t>
  </si>
  <si>
    <t>Fletes</t>
  </si>
  <si>
    <t>530-?????-013-0000</t>
  </si>
  <si>
    <t>Servicios Profesionales</t>
  </si>
  <si>
    <t>530-?????-016-0000</t>
  </si>
  <si>
    <t>Fianzas</t>
  </si>
  <si>
    <t>530-?????-017-0000</t>
  </si>
  <si>
    <t>Diseño y Supervision</t>
  </si>
  <si>
    <t>530-?????-018-0000</t>
  </si>
  <si>
    <t>Retenciones</t>
  </si>
  <si>
    <t>530-?????-018-0001</t>
  </si>
  <si>
    <t>Sct</t>
  </si>
  <si>
    <t>530-?????-018-0002</t>
  </si>
  <si>
    <t>Capufe</t>
  </si>
  <si>
    <t>530-?????-018-0003</t>
  </si>
  <si>
    <t>RM Carretero</t>
  </si>
  <si>
    <t>530-?????-023-0000</t>
  </si>
  <si>
    <t>Otros Impuestos y Derechos</t>
  </si>
  <si>
    <t>530-?????-031-0000</t>
  </si>
  <si>
    <t>Fletes Internos</t>
  </si>
  <si>
    <t>530-?????-031-0002</t>
  </si>
  <si>
    <t>530-?????-031-0005</t>
  </si>
  <si>
    <t>530-?????-037-0000</t>
  </si>
  <si>
    <t>Materiales de Obras Especiales</t>
  </si>
  <si>
    <t>530-?????-038-0000</t>
  </si>
  <si>
    <t>Materiales diseño y supervisio</t>
  </si>
  <si>
    <t>530-?????-041-0000</t>
  </si>
  <si>
    <t>Renta de Equipo Diseño Supervi</t>
  </si>
  <si>
    <t>530-?????-054-0000</t>
  </si>
  <si>
    <t>Traspaso del Almacen al Costo</t>
  </si>
  <si>
    <t>530-?????-054-0004</t>
  </si>
  <si>
    <t>Materiales Diseno y supervisio</t>
  </si>
  <si>
    <t>530-?????-054-0005</t>
  </si>
  <si>
    <t>Renta de Equipo</t>
  </si>
  <si>
    <t>530-?????-054-0006</t>
  </si>
  <si>
    <t>530-?????-054-0007</t>
  </si>
  <si>
    <t>530-?????-054-0008</t>
  </si>
  <si>
    <t>530-?????-054-0009</t>
  </si>
  <si>
    <t>530-?????-054-0010</t>
  </si>
  <si>
    <t>Impuesto sobre Mano de Obra</t>
  </si>
  <si>
    <t>530-?????-054-0011</t>
  </si>
  <si>
    <t>530-?????-055-0000</t>
  </si>
  <si>
    <t>Costos Estimados</t>
  </si>
  <si>
    <t>530-?????-061-0000</t>
  </si>
  <si>
    <t xml:space="preserve">Total Costo  Directos Obra </t>
  </si>
  <si>
    <t>Costo Directos Obra OL  (531)</t>
  </si>
  <si>
    <t>531-?????-004-0000</t>
  </si>
  <si>
    <t>531-?????-004-0001</t>
  </si>
  <si>
    <t>531-?????-004-0002</t>
  </si>
  <si>
    <t>531-?????-004-0003</t>
  </si>
  <si>
    <t>531-?????-004-0004</t>
  </si>
  <si>
    <t>531-?????-004-0005</t>
  </si>
  <si>
    <t>531-?????-004-0006</t>
  </si>
  <si>
    <t>HerramientaS</t>
  </si>
  <si>
    <t>531-?????-004-0007</t>
  </si>
  <si>
    <t>531-?????-004-0008</t>
  </si>
  <si>
    <t>Comisiones Bancarias</t>
  </si>
  <si>
    <t>531-?????-004-0009</t>
  </si>
  <si>
    <t>531-?????-004-0010</t>
  </si>
  <si>
    <t>531-?????-004-0011</t>
  </si>
  <si>
    <t>531-?????-004-0013</t>
  </si>
  <si>
    <t>531-?????-004-0014</t>
  </si>
  <si>
    <t>531-?????-007-0000</t>
  </si>
  <si>
    <t>531-?????-007-0010</t>
  </si>
  <si>
    <t>531-?????-007-0020</t>
  </si>
  <si>
    <t>531-?????-007-0030</t>
  </si>
  <si>
    <t>531-?????-007-0050</t>
  </si>
  <si>
    <t>531-?????-007-0060</t>
  </si>
  <si>
    <t>531-?????-007-0070</t>
  </si>
  <si>
    <t>531-?????-009-0000</t>
  </si>
  <si>
    <t>531-?????-031-0000</t>
  </si>
  <si>
    <t>531-?????-031-0002</t>
  </si>
  <si>
    <t>531-?????-031-0005</t>
  </si>
  <si>
    <t>531-?????-053-0000</t>
  </si>
  <si>
    <t>Otros Costos ( F )</t>
  </si>
  <si>
    <t>531-?????-054-0000</t>
  </si>
  <si>
    <t>531-?????-054-0001</t>
  </si>
  <si>
    <t>531-?????-054-0002</t>
  </si>
  <si>
    <t>531-?????-054-0003</t>
  </si>
  <si>
    <t>531-?????-054-0004</t>
  </si>
  <si>
    <t>Materiales Diseño y supervisi</t>
  </si>
  <si>
    <t>Total Costo Directos Obra OL</t>
  </si>
  <si>
    <t>Costo General Planta (550)</t>
  </si>
  <si>
    <t>550-?????-001-0000</t>
  </si>
  <si>
    <t>550-?????-001-0001</t>
  </si>
  <si>
    <t>550-?????-001-0002</t>
  </si>
  <si>
    <t>550-?????-001-0004</t>
  </si>
  <si>
    <t>550-?????-001-0005</t>
  </si>
  <si>
    <t>550-?????-001-0006</t>
  </si>
  <si>
    <t>550-?????-001-0008</t>
  </si>
  <si>
    <t>550-?????-001-0009</t>
  </si>
  <si>
    <t>550-?????-001-0010</t>
  </si>
  <si>
    <t>550-?????-001-0011</t>
  </si>
  <si>
    <t>550-?????-001-0017</t>
  </si>
  <si>
    <t>Otros Ingresos por Descuentos</t>
  </si>
  <si>
    <t>550-?????-002-0000</t>
  </si>
  <si>
    <t>550-?????-002-0001</t>
  </si>
  <si>
    <t>550-?????-002-0002</t>
  </si>
  <si>
    <t>550-?????-002-0003</t>
  </si>
  <si>
    <t>550-?????-002-0004</t>
  </si>
  <si>
    <t>550-?????-002-0009</t>
  </si>
  <si>
    <t>550-?????-003-0000</t>
  </si>
  <si>
    <t>550-?????-004-0000</t>
  </si>
  <si>
    <t>550-?????-004-0001</t>
  </si>
  <si>
    <t>550-?????-004-0002</t>
  </si>
  <si>
    <t>550-?????-004-0003</t>
  </si>
  <si>
    <t>550-?????-004-0004</t>
  </si>
  <si>
    <t>550-?????-004-0005</t>
  </si>
  <si>
    <t>550-?????-004-0006</t>
  </si>
  <si>
    <t>550-?????-004-0007</t>
  </si>
  <si>
    <t>550-?????-004-0009</t>
  </si>
  <si>
    <t>550-?????-004-0011</t>
  </si>
  <si>
    <t>550-?????-004-0013</t>
  </si>
  <si>
    <t>550-?????-004-0014</t>
  </si>
  <si>
    <t>550-?????-006-0000</t>
  </si>
  <si>
    <t>550-?????-007-0000</t>
  </si>
  <si>
    <t>550-?????-007-0010</t>
  </si>
  <si>
    <t>550-?????-007-0020</t>
  </si>
  <si>
    <t>550-?????-007-0030</t>
  </si>
  <si>
    <t>550-?????-007-0050</t>
  </si>
  <si>
    <t>550-?????-007-0060</t>
  </si>
  <si>
    <t>550-?????-007-0070</t>
  </si>
  <si>
    <t>550-?????-008-0000</t>
  </si>
  <si>
    <t>550-?????-008-0003</t>
  </si>
  <si>
    <t>Vehicular</t>
  </si>
  <si>
    <t>550-?????-008-0004</t>
  </si>
  <si>
    <t>Maquinaria y Equipo</t>
  </si>
  <si>
    <t>550-?????-009-0000</t>
  </si>
  <si>
    <t>550-?????-010-0000</t>
  </si>
  <si>
    <t>550-?????-013-0000</t>
  </si>
  <si>
    <t>550-?????-016-0000</t>
  </si>
  <si>
    <t>550-?????-023-0000</t>
  </si>
  <si>
    <t>550-?????-024-0000</t>
  </si>
  <si>
    <t>Equipo de Seguridad e Higiene</t>
  </si>
  <si>
    <t>550-?????-028-0000</t>
  </si>
  <si>
    <t>Refacciones y herramientas men</t>
  </si>
  <si>
    <t>550-?????-029-0000</t>
  </si>
  <si>
    <t>Asimilados a Sueldos</t>
  </si>
  <si>
    <t>550-?????-030-0000</t>
  </si>
  <si>
    <t>550-?????-031-0000</t>
  </si>
  <si>
    <t>550-?????-031-0001</t>
  </si>
  <si>
    <t>550-?????-031-0002</t>
  </si>
  <si>
    <t>550-?????-031-0003</t>
  </si>
  <si>
    <t>550-?????-031-0004</t>
  </si>
  <si>
    <t>550-?????-031-0005</t>
  </si>
  <si>
    <t>550-?????-031-0007</t>
  </si>
  <si>
    <t>550-?????-031-0011</t>
  </si>
  <si>
    <t>550-?????-031-0013</t>
  </si>
  <si>
    <t>550-?????-031-0014</t>
  </si>
  <si>
    <t>550-?????-036-0000</t>
  </si>
  <si>
    <t>Importacion</t>
  </si>
  <si>
    <t>550-?????-036-0001</t>
  </si>
  <si>
    <t>PRV</t>
  </si>
  <si>
    <t>550-?????-036-0002</t>
  </si>
  <si>
    <t>DTA</t>
  </si>
  <si>
    <t>550-?????-036-0003</t>
  </si>
  <si>
    <t>IGI</t>
  </si>
  <si>
    <t>550-?????-036-0004</t>
  </si>
  <si>
    <t>550-?????-050-0000</t>
  </si>
  <si>
    <t>Traspaso del Costo al Almacen</t>
  </si>
  <si>
    <t>550-?????-051-0000</t>
  </si>
  <si>
    <t>Otros costos (D)</t>
  </si>
  <si>
    <t>550-?????-056-0000</t>
  </si>
  <si>
    <t>550-?????-056-0001</t>
  </si>
  <si>
    <t>550-?????-056-0002</t>
  </si>
  <si>
    <t>550-?????-056-0004</t>
  </si>
  <si>
    <t>550-?????-056-0005</t>
  </si>
  <si>
    <t>550-?????-056-0006</t>
  </si>
  <si>
    <t>550-?????-056-0008</t>
  </si>
  <si>
    <t>550-?????-056-0009</t>
  </si>
  <si>
    <t>550-?????-056-0010</t>
  </si>
  <si>
    <t>550-?????-056-0011</t>
  </si>
  <si>
    <t>550-?????-056-0017</t>
  </si>
  <si>
    <t>550-?????-057-0000</t>
  </si>
  <si>
    <t>550-?????-057-0001</t>
  </si>
  <si>
    <t>550-?????-057-0002</t>
  </si>
  <si>
    <t>550-?????-057-0003</t>
  </si>
  <si>
    <t>550-?????-057-0004</t>
  </si>
  <si>
    <t>550-?????-057-0009</t>
  </si>
  <si>
    <t>550-?????-058-0000</t>
  </si>
  <si>
    <t>550-?????-061-0000</t>
  </si>
  <si>
    <t>Total Costo General Planta</t>
  </si>
  <si>
    <t>Costo General Planta (551)</t>
  </si>
  <si>
    <t>551-?????-041-0000</t>
  </si>
  <si>
    <t>551-?????-052-0000</t>
  </si>
  <si>
    <t>Otros Costos E.F.</t>
  </si>
  <si>
    <t>551-?????-053-0000</t>
  </si>
  <si>
    <t>Otros Costos F.</t>
  </si>
  <si>
    <t xml:space="preserve">Total Costo General Planta OL (551) </t>
  </si>
  <si>
    <t>Costo General Obra (560)</t>
  </si>
  <si>
    <t>560-?????-001-0000</t>
  </si>
  <si>
    <t>560-?????-001-0001</t>
  </si>
  <si>
    <t>560-?????-001-0002</t>
  </si>
  <si>
    <t>560-?????-001-0003</t>
  </si>
  <si>
    <t>560-?????-001-0004</t>
  </si>
  <si>
    <t>560-?????-001-0005</t>
  </si>
  <si>
    <t>560-?????-001-0006</t>
  </si>
  <si>
    <t>560-?????-001-0008</t>
  </si>
  <si>
    <t>560-?????-001-0009</t>
  </si>
  <si>
    <t>560-?????-001-0010</t>
  </si>
  <si>
    <t>560-?????-001-0011</t>
  </si>
  <si>
    <t>560-?????-001-0017</t>
  </si>
  <si>
    <t>560-?????-002-0000</t>
  </si>
  <si>
    <t>560-?????-002-0001</t>
  </si>
  <si>
    <t>560-?????-002-0002</t>
  </si>
  <si>
    <t>560-?????-002-0003</t>
  </si>
  <si>
    <t>560-?????-002-0004</t>
  </si>
  <si>
    <t>560-?????-002-0009</t>
  </si>
  <si>
    <t>560-?????-003-0000</t>
  </si>
  <si>
    <t>560-?????-004-0000</t>
  </si>
  <si>
    <t>560-?????-006-0000</t>
  </si>
  <si>
    <t>SE DEBE PRORRATEAR ENTRE LAS OBRAS QUE APLIQUEN</t>
  </si>
  <si>
    <t>560-?????-008-0000</t>
  </si>
  <si>
    <t>560-?????-021-0000</t>
  </si>
  <si>
    <t>Adelantos de Obras Locales</t>
  </si>
  <si>
    <t>560-?????-029-0000</t>
  </si>
  <si>
    <t>560-?????-030-0000</t>
  </si>
  <si>
    <t>560-?????-031-0000</t>
  </si>
  <si>
    <t>560-?????-037-0000</t>
  </si>
  <si>
    <t>560-?????-043-0000</t>
  </si>
  <si>
    <t>Costo por Venta de Terrenos</t>
  </si>
  <si>
    <t>560-?????-051-0000</t>
  </si>
  <si>
    <t>560-?????-054-0000</t>
  </si>
  <si>
    <t>560-?????-061-0000</t>
  </si>
  <si>
    <t>560-?????-064-0000</t>
  </si>
  <si>
    <t>Otros Gastos ( C.F.E.)</t>
  </si>
  <si>
    <t>560-?????-063-0000</t>
  </si>
  <si>
    <t>Otros Gastos ( F.Q.)</t>
  </si>
  <si>
    <t>Total Costo General Obra</t>
  </si>
  <si>
    <t xml:space="preserve"> Costo General Obra OL  (561)</t>
  </si>
  <si>
    <t>561-?????-021-0000</t>
  </si>
  <si>
    <t>561-?????-041-0000</t>
  </si>
  <si>
    <t>561-?????-037-0000</t>
  </si>
  <si>
    <t>561-?????-052-0000</t>
  </si>
  <si>
    <t>561-?????-053-0000</t>
  </si>
  <si>
    <t xml:space="preserve">Total  Costo General Obra OL </t>
  </si>
  <si>
    <t>Total Costo</t>
  </si>
  <si>
    <t>Total Resultado Bruto</t>
  </si>
  <si>
    <t>Gastos De Operación (620)</t>
  </si>
  <si>
    <t>620-?????-001-0000</t>
  </si>
  <si>
    <t>620-?????-001-0001</t>
  </si>
  <si>
    <t>620-?????-001-0002</t>
  </si>
  <si>
    <t>620-?????-001-0004</t>
  </si>
  <si>
    <t>620-?????-001-0005</t>
  </si>
  <si>
    <t>620-?????-001-0006</t>
  </si>
  <si>
    <t>620-?????-001-0008</t>
  </si>
  <si>
    <t>620-?????-001-0009</t>
  </si>
  <si>
    <t>620-?????-001-0010</t>
  </si>
  <si>
    <t>620-?????-001-0011</t>
  </si>
  <si>
    <t>620-?????-002-0000</t>
  </si>
  <si>
    <t>620-?????-002-0001</t>
  </si>
  <si>
    <t>620-?????-002-0002</t>
  </si>
  <si>
    <t>620-?????-002-0003</t>
  </si>
  <si>
    <t>620-?????-002-0004</t>
  </si>
  <si>
    <t>620-?????-002-0009</t>
  </si>
  <si>
    <t>620-?????-003-0000</t>
  </si>
  <si>
    <t>620-?????-004-0000</t>
  </si>
  <si>
    <t>620-?????-004-0001</t>
  </si>
  <si>
    <t>620-?????-004-0002</t>
  </si>
  <si>
    <t>620-?????-004-0004</t>
  </si>
  <si>
    <t>620-?????-004-0005</t>
  </si>
  <si>
    <t>620-?????-004-0007</t>
  </si>
  <si>
    <t>620-?????-004-0009</t>
  </si>
  <si>
    <t>620-?????-004-0010</t>
  </si>
  <si>
    <t>620-?????-004-0011</t>
  </si>
  <si>
    <t>620-?????-004-0013</t>
  </si>
  <si>
    <t>620-?????-004-0014</t>
  </si>
  <si>
    <t>620-?????-005-0000</t>
  </si>
  <si>
    <t>Viaticos Directivos</t>
  </si>
  <si>
    <t>620-?????-005-0002</t>
  </si>
  <si>
    <t>620-?????-008-0000</t>
  </si>
  <si>
    <t>620-?????-008-0003</t>
  </si>
  <si>
    <t>620-?????-010-0000</t>
  </si>
  <si>
    <t>Rentas</t>
  </si>
  <si>
    <t>620-?????-010-0001</t>
  </si>
  <si>
    <t>Oficinas</t>
  </si>
  <si>
    <t>620-?????-011-0000</t>
  </si>
  <si>
    <t>Seguros</t>
  </si>
  <si>
    <t>620-?????-020-0000</t>
  </si>
  <si>
    <t>Reclutamiento y Capacitacion</t>
  </si>
  <si>
    <t>620-?????-026-0000</t>
  </si>
  <si>
    <t>620-?????-029-0000</t>
  </si>
  <si>
    <t>Asimilados</t>
  </si>
  <si>
    <t>620-?????-030-0000</t>
  </si>
  <si>
    <t>620-?????-061-0000</t>
  </si>
  <si>
    <t>Total Gastos De Operación</t>
  </si>
  <si>
    <t>Gastos De Venta (630)</t>
  </si>
  <si>
    <t>630-?????-001-0000</t>
  </si>
  <si>
    <t>630-?????-001-0001</t>
  </si>
  <si>
    <t>630-?????-001-0002</t>
  </si>
  <si>
    <t>630-?????-001-0004</t>
  </si>
  <si>
    <t>630-?????-001-0005</t>
  </si>
  <si>
    <t>630-?????-001-0006</t>
  </si>
  <si>
    <t>630-?????-001-0009</t>
  </si>
  <si>
    <t>630-?????-001-0010</t>
  </si>
  <si>
    <t>630-?????-001-0011</t>
  </si>
  <si>
    <t>630-?????-002-0000</t>
  </si>
  <si>
    <t>630-?????-002-0001</t>
  </si>
  <si>
    <t>630-?????-002-0002</t>
  </si>
  <si>
    <t>630-?????-002-0003</t>
  </si>
  <si>
    <t>630-?????-002-0004</t>
  </si>
  <si>
    <t>630-?????-002-0009</t>
  </si>
  <si>
    <t>630-?????-003-0000</t>
  </si>
  <si>
    <t>630-?????-004-0000</t>
  </si>
  <si>
    <t>630-?????-004-0001</t>
  </si>
  <si>
    <t>630-?????-004-0002</t>
  </si>
  <si>
    <t>630-?????-004-0003</t>
  </si>
  <si>
    <t>630-?????-004-0004</t>
  </si>
  <si>
    <t>630-?????-004-0005</t>
  </si>
  <si>
    <t>630-?????-004-0009</t>
  </si>
  <si>
    <t>630-?????-004-0011</t>
  </si>
  <si>
    <t>630-?????-004-0013</t>
  </si>
  <si>
    <t>630-?????-004-0014</t>
  </si>
  <si>
    <t>630-?????-005-0000</t>
  </si>
  <si>
    <t>630-?????-005-0001</t>
  </si>
  <si>
    <t>630-?????-005-0002</t>
  </si>
  <si>
    <t>630-?????-005-0004</t>
  </si>
  <si>
    <t>630-?????-005-0005</t>
  </si>
  <si>
    <t>630-?????-005-0013</t>
  </si>
  <si>
    <t>630-?????-008-0000</t>
  </si>
  <si>
    <t>630-?????-008-0003</t>
  </si>
  <si>
    <t>630-?????-010-0000</t>
  </si>
  <si>
    <t>630-?????-011-0000</t>
  </si>
  <si>
    <t>630-?????-013-0000</t>
  </si>
  <si>
    <t>630-?????-026-0000</t>
  </si>
  <si>
    <t>630-?????-028-0000</t>
  </si>
  <si>
    <t>630-?????-029-0000</t>
  </si>
  <si>
    <t>630-?????-030-0000</t>
  </si>
  <si>
    <t>630-?????-061-0000</t>
  </si>
  <si>
    <t>Total Gastos De Venta</t>
  </si>
  <si>
    <t>Gastos De Administracion (640)</t>
  </si>
  <si>
    <t>640-?????-001-0000</t>
  </si>
  <si>
    <t>640-?????-001-0001</t>
  </si>
  <si>
    <t>640-?????-001-0002</t>
  </si>
  <si>
    <t>640-?????-001-0004</t>
  </si>
  <si>
    <t>640-?????-001-0005</t>
  </si>
  <si>
    <t>640-?????-001-0006</t>
  </si>
  <si>
    <t>640-?????-001-0008</t>
  </si>
  <si>
    <t>640-?????-001-0009</t>
  </si>
  <si>
    <t>640-?????-001-0010</t>
  </si>
  <si>
    <t>640-?????-001-0011</t>
  </si>
  <si>
    <t>640-?????-002-0000</t>
  </si>
  <si>
    <t>640-?????-002-0001</t>
  </si>
  <si>
    <t>640-?????-002-0002</t>
  </si>
  <si>
    <t>640-?????-002-0003</t>
  </si>
  <si>
    <t>640-?????-002-0004</t>
  </si>
  <si>
    <t>640-?????-002-0009</t>
  </si>
  <si>
    <t>640-?????-003-0000</t>
  </si>
  <si>
    <t>640-?????-004-0000</t>
  </si>
  <si>
    <t>640-?????-004-0001</t>
  </si>
  <si>
    <t>640-?????-004-0002</t>
  </si>
  <si>
    <t>640-?????-004-0003</t>
  </si>
  <si>
    <t>640-?????-004-0004</t>
  </si>
  <si>
    <t>640-?????-004-0005</t>
  </si>
  <si>
    <t>640-?????-004-0006</t>
  </si>
  <si>
    <t>HERRAMIENTAS</t>
  </si>
  <si>
    <t>640-?????-004-0009</t>
  </si>
  <si>
    <t>640-?????-004-0010</t>
  </si>
  <si>
    <t>640-?????-004-0013</t>
  </si>
  <si>
    <t>640-?????-005-0000</t>
  </si>
  <si>
    <t>640-?????-008-0000</t>
  </si>
  <si>
    <t>640-?????-008-0003</t>
  </si>
  <si>
    <t>640-?????-011-0000</t>
  </si>
  <si>
    <t>640-?????-020-0000</t>
  </si>
  <si>
    <t>640-?????-030-0000</t>
  </si>
  <si>
    <t>640-?????-061-0000</t>
  </si>
  <si>
    <t>Total Gastos De Administracion</t>
  </si>
  <si>
    <t>Gastos Generales (650)</t>
  </si>
  <si>
    <t>650-?????-001-0000</t>
  </si>
  <si>
    <t>650-?????-001-0001</t>
  </si>
  <si>
    <t>650-?????-001-0002</t>
  </si>
  <si>
    <t>650-?????-001-0004</t>
  </si>
  <si>
    <t>650-?????-001-0005</t>
  </si>
  <si>
    <t>650-?????-001-0006</t>
  </si>
  <si>
    <t>650-?????-001-0008</t>
  </si>
  <si>
    <t>650-?????-001-0009</t>
  </si>
  <si>
    <t>650-?????-001-0010</t>
  </si>
  <si>
    <t>650-?????-001-0011</t>
  </si>
  <si>
    <t>650-?????-002-0000</t>
  </si>
  <si>
    <t>650-?????-002-0001</t>
  </si>
  <si>
    <t>650-?????-002-0002</t>
  </si>
  <si>
    <t>650-?????-002-0003</t>
  </si>
  <si>
    <t>650-?????-002-0004</t>
  </si>
  <si>
    <t>650-?????-002-0009</t>
  </si>
  <si>
    <t>650-?????-003-0000</t>
  </si>
  <si>
    <t>650-?????-004-0000</t>
  </si>
  <si>
    <t>650-?????-004-0001</t>
  </si>
  <si>
    <t>650-?????-004-0002</t>
  </si>
  <si>
    <t>650-?????-004-0003</t>
  </si>
  <si>
    <t>650-?????-004-0004</t>
  </si>
  <si>
    <t>650-?????-004-0005</t>
  </si>
  <si>
    <t>650-?????-004-0007</t>
  </si>
  <si>
    <t>650-?????-004-0008</t>
  </si>
  <si>
    <t>Comisiones</t>
  </si>
  <si>
    <t>650-?????-004-0009</t>
  </si>
  <si>
    <t>650-?????-004-0010</t>
  </si>
  <si>
    <t>650-?????-004-0011</t>
  </si>
  <si>
    <t>650-?????-004-0013</t>
  </si>
  <si>
    <t>650-?????-004-0014</t>
  </si>
  <si>
    <t>650-?????-005-0000</t>
  </si>
  <si>
    <t>650-?????-005-0001</t>
  </si>
  <si>
    <t>650-?????-005-0002</t>
  </si>
  <si>
    <t>650-?????-005-0003</t>
  </si>
  <si>
    <t>650-?????-005-0004</t>
  </si>
  <si>
    <t>650-?????-005-0005</t>
  </si>
  <si>
    <t>650-?????-005-0013</t>
  </si>
  <si>
    <t>650-?????-006-0000</t>
  </si>
  <si>
    <t>650-?????-008-0000</t>
  </si>
  <si>
    <t>650-?????-008-0001</t>
  </si>
  <si>
    <t>Instalaciones</t>
  </si>
  <si>
    <t>650-?????-008-0002</t>
  </si>
  <si>
    <t>Equipo de Computo</t>
  </si>
  <si>
    <t>650-?????-008-0003</t>
  </si>
  <si>
    <t>650-?????-008-0004</t>
  </si>
  <si>
    <t>650-?????-009-0000</t>
  </si>
  <si>
    <t>650-?????-010-0000</t>
  </si>
  <si>
    <t>650-?????-010-0001</t>
  </si>
  <si>
    <t>650-?????-010-0002</t>
  </si>
  <si>
    <t>Vehiculos</t>
  </si>
  <si>
    <t>650-?????-010-0004</t>
  </si>
  <si>
    <t>Software</t>
  </si>
  <si>
    <t>650-?????-011-0000</t>
  </si>
  <si>
    <t>650-?????-012-0000</t>
  </si>
  <si>
    <t>Servicios Basicos</t>
  </si>
  <si>
    <t>650-?????-012-0001</t>
  </si>
  <si>
    <t>Telefonia</t>
  </si>
  <si>
    <t>650-?????-012-0002</t>
  </si>
  <si>
    <t>Energia Electrica</t>
  </si>
  <si>
    <t>650-?????-012-0003</t>
  </si>
  <si>
    <t>Agua</t>
  </si>
  <si>
    <t>650-?????-012-0004</t>
  </si>
  <si>
    <t>Impuesto Predial</t>
  </si>
  <si>
    <t>650-?????-012-0005</t>
  </si>
  <si>
    <t>Control de plagas</t>
  </si>
  <si>
    <t>650-?????-013-0000</t>
  </si>
  <si>
    <t>650-?????-015-0000</t>
  </si>
  <si>
    <t>Donativos</t>
  </si>
  <si>
    <t>650-?????-016-0000</t>
  </si>
  <si>
    <t>650-?????-020-0000</t>
  </si>
  <si>
    <t>650-?????-022-0000</t>
  </si>
  <si>
    <t>Recargos</t>
  </si>
  <si>
    <t>650-?????-022-0001</t>
  </si>
  <si>
    <t>Multas</t>
  </si>
  <si>
    <t>650-?????-022-0002</t>
  </si>
  <si>
    <t>650-?????-022-0003</t>
  </si>
  <si>
    <t>Actualizaciones</t>
  </si>
  <si>
    <t>650-?????-023-0000</t>
  </si>
  <si>
    <t>650-?????-025-0000</t>
  </si>
  <si>
    <t>No deducibles</t>
  </si>
  <si>
    <t>650-?????-025-0001</t>
  </si>
  <si>
    <t>650-?????-025-0003</t>
  </si>
  <si>
    <t>650-?????-025-0004</t>
  </si>
  <si>
    <t>650-?????-026-0000</t>
  </si>
  <si>
    <t>650-?????-027-0000</t>
  </si>
  <si>
    <t>Promocion y Mercadotecnia</t>
  </si>
  <si>
    <t>650-?????-029-0000</t>
  </si>
  <si>
    <t>650-?????-030-0000</t>
  </si>
  <si>
    <t>650-?????-032-0000</t>
  </si>
  <si>
    <t>650-?????-033-0000</t>
  </si>
  <si>
    <t>Seguridad y Vigilancia</t>
  </si>
  <si>
    <t>650-?????-040-0000</t>
  </si>
  <si>
    <t>Insumos</t>
  </si>
  <si>
    <t>650-?????-043-0000</t>
  </si>
  <si>
    <t>IVA</t>
  </si>
  <si>
    <t>650-?????-046-0000</t>
  </si>
  <si>
    <t>Comisiones SV</t>
  </si>
  <si>
    <t>650-?????-054-0000</t>
  </si>
  <si>
    <t>650-?????-060-0000</t>
  </si>
  <si>
    <t>Otros Costos (R)</t>
  </si>
  <si>
    <t>650-?????-061-0000</t>
  </si>
  <si>
    <t>Total Gastos Generales</t>
  </si>
  <si>
    <t>Gastos Generales Obras Locales (651)</t>
  </si>
  <si>
    <t>651-?????-003-0000</t>
  </si>
  <si>
    <t>651-?????-010-0000</t>
  </si>
  <si>
    <t>651-?????-010-0001</t>
  </si>
  <si>
    <t>651-?????-041-0000</t>
  </si>
  <si>
    <t>651-?????-052-0000</t>
  </si>
  <si>
    <t>Total Gastos Generales Obras Locales</t>
  </si>
  <si>
    <t>Total Gastos</t>
  </si>
  <si>
    <t>Resultado Antes de Depreciacion</t>
  </si>
  <si>
    <t>Depreciaciones Y Amortización</t>
  </si>
  <si>
    <t>660-99999-034-0000</t>
  </si>
  <si>
    <t>Depreciacion</t>
  </si>
  <si>
    <t>660-99999-034-0001</t>
  </si>
  <si>
    <t>Mobiliario y Equipo de Oficina</t>
  </si>
  <si>
    <t>660-99999-034-0002</t>
  </si>
  <si>
    <t>Equipo de Transporte</t>
  </si>
  <si>
    <t>660-99999-034-0003</t>
  </si>
  <si>
    <t>660-99999-034-0004</t>
  </si>
  <si>
    <t>660-99999-034-0005</t>
  </si>
  <si>
    <t>Diseño de Moldes</t>
  </si>
  <si>
    <t>660-99999-034-0006</t>
  </si>
  <si>
    <t>660-99999-034-0008</t>
  </si>
  <si>
    <t>Construccion</t>
  </si>
  <si>
    <t>660-99999-035-0000</t>
  </si>
  <si>
    <t>Amortizacion</t>
  </si>
  <si>
    <t>660-99999-035-0001</t>
  </si>
  <si>
    <t>Gastos de Instalacion</t>
  </si>
  <si>
    <t>Total Depreciaciones Y Amortización</t>
  </si>
  <si>
    <t>Costo Integral De Financiamiento</t>
  </si>
  <si>
    <t>720-00000-000-0000</t>
  </si>
  <si>
    <t>Productos Financieros</t>
  </si>
  <si>
    <t>730-00000-000-0000</t>
  </si>
  <si>
    <t>Ganancia Cambiaria</t>
  </si>
  <si>
    <t>710-00000-000-0000</t>
  </si>
  <si>
    <t>Gastos Financieros</t>
  </si>
  <si>
    <t>740-00000-000-0000</t>
  </si>
  <si>
    <t>Perdida Cambiaria</t>
  </si>
  <si>
    <t>Total Costo Integral de Financiamiento</t>
  </si>
  <si>
    <t>Utilidad/Perdida antes de Impuestos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</si>
</sst>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1" formatCode="_-* #,##0_-;\-* #,##0_-;_-* &quot;-&quot;_-;_-@_-"/>
    <numFmt numFmtId="43" formatCode="_-* #,##0.00_-;\-* #,##0.00_-;_-* &quot;-&quot;??_-;_-@_-"/>
    <numFmt numFmtId="164" formatCode="_-* #,##0_-;\-* #,##0_-;_-* &quot;-&quot;??_-;_-@_-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3"/>
      <color rgb="FF080000"/>
      <name val="Calibri"/>
      <family val="2"/>
      <scheme val="minor"/>
    </font>
    <font>
      <b/>
      <sz val="12"/>
      <color rgb="FF08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rgb="FF080000"/>
      <name val="Calibri"/>
      <family val="2"/>
      <scheme val="minor"/>
    </font>
    <font>
      <b/>
      <sz val="10"/>
      <color rgb="FF08000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rgb="FF080000"/>
      <name val="Calibri"/>
      <family val="2"/>
      <scheme val="minor"/>
    </font>
    <font>
      <b/>
      <sz val="11"/>
      <color theme="4" tint="0.39997558519241921"/>
      <name val="Calibri"/>
      <family val="2"/>
      <scheme val="minor"/>
    </font>
    <font>
      <sz val="11"/>
      <color theme="4" tint="0.39997558519241921"/>
      <name val="Calibri"/>
      <family val="2"/>
      <scheme val="minor"/>
    </font>
    <font>
      <b/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8">
    <xf numFmtId="0" fontId="0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2" borderId="0" applyNumberFormat="0" applyBorder="0" applyAlignment="0" applyProtection="0"/>
    <xf numFmtId="0" fontId="1" fillId="0" borderId="0"/>
    <xf numFmtId="0" fontId="1" fillId="0" borderId="0"/>
    <xf numFmtId="43" fontId="13" fillId="0" borderId="0" applyFont="0" applyFill="0" applyBorder="0" applyAlignment="0" applyProtection="0"/>
  </cellStyleXfs>
  <cellXfs count="69">
    <xf numFmtId="0" fontId="0" fillId="0" borderId="0" xfId="0"/>
    <xf numFmtId="3" fontId="5" fillId="0" borderId="0" xfId="5" applyNumberFormat="1" applyFont="1" applyAlignment="1">
      <alignment horizontal="left"/>
    </xf>
    <xf numFmtId="3" fontId="6" fillId="0" borderId="0" xfId="5" quotePrefix="1" applyNumberFormat="1" applyFont="1"/>
    <xf numFmtId="3" fontId="8" fillId="0" borderId="0" xfId="0" applyNumberFormat="1" applyFont="1"/>
    <xf numFmtId="3" fontId="5" fillId="0" borderId="0" xfId="5" applyNumberFormat="1" applyFont="1"/>
    <xf numFmtId="3" fontId="4" fillId="0" borderId="0" xfId="5" applyNumberFormat="1" applyFont="1" applyAlignment="1">
      <alignment horizontal="left"/>
    </xf>
    <xf numFmtId="3" fontId="11" fillId="0" borderId="0" xfId="5" applyNumberFormat="1" applyFont="1" applyAlignment="1">
      <alignment horizontal="center"/>
    </xf>
    <xf numFmtId="3" fontId="12" fillId="0" borderId="0" xfId="0" applyNumberFormat="1" applyFont="1"/>
    <xf numFmtId="3" fontId="11" fillId="0" borderId="0" xfId="5" applyNumberFormat="1" applyFont="1" applyAlignment="1">
      <alignment horizontal="center" vertical="center" wrapText="1"/>
    </xf>
    <xf numFmtId="3" fontId="1" fillId="0" borderId="0" xfId="5" applyNumberFormat="1" applyAlignment="1">
      <alignment horizontal="left"/>
    </xf>
    <xf numFmtId="3" fontId="1" fillId="0" borderId="0" xfId="0" applyNumberFormat="1" applyFont="1"/>
    <xf numFmtId="9" fontId="1" fillId="0" borderId="0" xfId="3" applyFont="1" applyFill="1"/>
    <xf numFmtId="3" fontId="3" fillId="0" borderId="0" xfId="5" applyNumberFormat="1" applyFont="1" applyAlignment="1">
      <alignment horizontal="left"/>
    </xf>
    <xf numFmtId="3" fontId="3" fillId="0" borderId="0" xfId="0" applyNumberFormat="1" applyFont="1"/>
    <xf numFmtId="3" fontId="3" fillId="0" borderId="4" xfId="0" applyNumberFormat="1" applyFont="1" applyBorder="1"/>
    <xf numFmtId="3" fontId="1" fillId="0" borderId="0" xfId="2" applyNumberFormat="1" applyFont="1" applyFill="1"/>
    <xf numFmtId="9" fontId="1" fillId="0" borderId="0" xfId="3" applyFont="1"/>
    <xf numFmtId="3" fontId="9" fillId="5" borderId="0" xfId="6" applyNumberFormat="1" applyFont="1" applyFill="1" applyAlignment="1">
      <alignment horizontal="left"/>
    </xf>
    <xf numFmtId="3" fontId="3" fillId="5" borderId="5" xfId="0" applyNumberFormat="1" applyFont="1" applyFill="1" applyBorder="1"/>
    <xf numFmtId="3" fontId="9" fillId="0" borderId="0" xfId="5" applyNumberFormat="1" applyFont="1" applyAlignment="1">
      <alignment horizontal="center"/>
    </xf>
    <xf numFmtId="3" fontId="0" fillId="0" borderId="0" xfId="5" applyNumberFormat="1" applyFont="1" applyAlignment="1">
      <alignment horizontal="left"/>
    </xf>
    <xf numFmtId="3" fontId="1" fillId="0" borderId="6" xfId="0" applyNumberFormat="1" applyFont="1" applyBorder="1"/>
    <xf numFmtId="3" fontId="9" fillId="0" borderId="0" xfId="6" applyNumberFormat="1" applyFont="1" applyAlignment="1">
      <alignment horizontal="left"/>
    </xf>
    <xf numFmtId="3" fontId="3" fillId="0" borderId="5" xfId="0" applyNumberFormat="1" applyFont="1" applyBorder="1"/>
    <xf numFmtId="3" fontId="2" fillId="0" borderId="0" xfId="0" applyNumberFormat="1" applyFont="1"/>
    <xf numFmtId="3" fontId="14" fillId="0" borderId="0" xfId="7" applyNumberFormat="1" applyFont="1" applyFill="1" applyAlignment="1">
      <alignment horizontal="left"/>
    </xf>
    <xf numFmtId="3" fontId="15" fillId="0" borderId="0" xfId="5" applyNumberFormat="1" applyFont="1" applyAlignment="1">
      <alignment horizontal="left"/>
    </xf>
    <xf numFmtId="3" fontId="1" fillId="0" borderId="0" xfId="0" applyNumberFormat="1" applyFont="1" applyAlignment="1">
      <alignment horizontal="left"/>
    </xf>
    <xf numFmtId="3" fontId="1" fillId="0" borderId="0" xfId="5" applyNumberFormat="1"/>
    <xf numFmtId="0" fontId="16" fillId="0" borderId="0" xfId="0" applyFont="1"/>
    <xf numFmtId="164" fontId="3" fillId="0" borderId="0" xfId="1" applyNumberFormat="1" applyFont="1" applyFill="1"/>
    <xf numFmtId="9" fontId="3" fillId="0" borderId="0" xfId="3" applyFont="1" applyFill="1"/>
    <xf numFmtId="43" fontId="3" fillId="0" borderId="0" xfId="1" applyFont="1" applyFill="1"/>
    <xf numFmtId="164" fontId="3" fillId="0" borderId="0" xfId="1" applyNumberFormat="1" applyFont="1"/>
    <xf numFmtId="0" fontId="3" fillId="0" borderId="0" xfId="0" applyFont="1"/>
    <xf numFmtId="0" fontId="17" fillId="0" borderId="0" xfId="0" applyFont="1"/>
    <xf numFmtId="43" fontId="1" fillId="0" borderId="0" xfId="1" applyFont="1" applyFill="1"/>
    <xf numFmtId="0" fontId="18" fillId="0" borderId="0" xfId="0" applyFont="1"/>
    <xf numFmtId="3" fontId="15" fillId="0" borderId="0" xfId="6" applyNumberFormat="1" applyFont="1" applyAlignment="1">
      <alignment horizontal="left"/>
    </xf>
    <xf numFmtId="3" fontId="18" fillId="0" borderId="0" xfId="7" applyNumberFormat="1" applyFont="1" applyFill="1" applyAlignment="1">
      <alignment horizontal="left"/>
    </xf>
    <xf numFmtId="0" fontId="0" fillId="4" borderId="0" xfId="0" applyFill="1"/>
    <xf numFmtId="164" fontId="3" fillId="0" borderId="0" xfId="0" applyNumberFormat="1" applyFont="1" applyAlignment="1">
      <alignment horizontal="right"/>
    </xf>
    <xf numFmtId="3" fontId="9" fillId="0" borderId="0" xfId="5" applyNumberFormat="1" applyFont="1" applyAlignment="1">
      <alignment horizontal="left"/>
    </xf>
    <xf numFmtId="3" fontId="3" fillId="0" borderId="0" xfId="5" applyNumberFormat="1" applyFont="1"/>
    <xf numFmtId="9" fontId="3" fillId="0" borderId="0" xfId="3" applyFont="1"/>
    <xf numFmtId="1" fontId="0" fillId="0" borderId="0" xfId="0" applyNumberFormat="1"/>
    <xf numFmtId="164" fontId="1" fillId="0" borderId="0" xfId="5" applyNumberFormat="1" applyAlignment="1">
      <alignment horizontal="left"/>
    </xf>
    <xf numFmtId="164" fontId="7" fillId="5" borderId="0" xfId="6" applyNumberFormat="1" applyFont="1" applyFill="1" applyAlignment="1">
      <alignment horizontal="left"/>
    </xf>
    <xf numFmtId="164" fontId="5" fillId="5" borderId="5" xfId="0" applyNumberFormat="1" applyFont="1" applyFill="1" applyBorder="1"/>
    <xf numFmtId="164" fontId="0" fillId="0" borderId="0" xfId="0" applyNumberFormat="1"/>
    <xf numFmtId="3" fontId="15" fillId="0" borderId="0" xfId="5" applyNumberFormat="1" applyFont="1" applyAlignment="1">
      <alignment horizontal="right"/>
    </xf>
    <xf numFmtId="0" fontId="16" fillId="0" borderId="0" xfId="0" quotePrefix="1" applyFont="1"/>
    <xf numFmtId="0" fontId="17" fillId="0" borderId="0" xfId="0" quotePrefix="1" applyFont="1"/>
    <xf numFmtId="0" fontId="0" fillId="0" borderId="0" xfId="0" quotePrefix="1"/>
    <xf numFmtId="3" fontId="3" fillId="0" borderId="0" xfId="0" applyNumberFormat="1" applyFont="1" applyAlignment="1">
      <alignment horizontal="left"/>
    </xf>
    <xf numFmtId="3" fontId="3" fillId="0" borderId="6" xfId="0" applyNumberFormat="1" applyFont="1" applyBorder="1"/>
    <xf numFmtId="3" fontId="17" fillId="0" borderId="0" xfId="7" applyNumberFormat="1" applyFont="1" applyFill="1" applyAlignment="1">
      <alignment horizontal="left"/>
    </xf>
    <xf numFmtId="3" fontId="17" fillId="0" borderId="0" xfId="5" applyNumberFormat="1" applyFont="1" applyAlignment="1">
      <alignment horizontal="left"/>
    </xf>
    <xf numFmtId="3" fontId="17" fillId="0" borderId="0" xfId="0" applyNumberFormat="1" applyFont="1" applyAlignment="1">
      <alignment horizontal="left"/>
    </xf>
    <xf numFmtId="0" fontId="1" fillId="0" borderId="0" xfId="0" applyFont="1"/>
    <xf numFmtId="0" fontId="4" fillId="2" borderId="0" xfId="4"/>
    <xf numFmtId="3" fontId="5" fillId="5" borderId="5" xfId="0" applyNumberFormat="1" applyFont="1" applyFill="1" applyBorder="1"/>
    <xf numFmtId="43" fontId="0" fillId="0" borderId="0" xfId="1" applyFont="1"/>
    <xf numFmtId="43" fontId="0" fillId="6" borderId="0" xfId="1" applyFont="1" applyFill="1"/>
    <xf numFmtId="43" fontId="0" fillId="0" borderId="0" xfId="0" applyNumberFormat="1"/>
    <xf numFmtId="43" fontId="0" fillId="0" borderId="0" xfId="1" applyFont="1" applyFill="1"/>
    <xf numFmtId="3" fontId="10" fillId="3" borderId="2" xfId="5" applyNumberFormat="1" applyFont="1" applyFill="1" applyBorder="1" applyAlignment="1">
      <alignment horizontal="center" vertical="center" wrapText="1"/>
    </xf>
    <xf numFmtId="3" fontId="8" fillId="3" borderId="3" xfId="0" applyNumberFormat="1" applyFont="1" applyFill="1" applyBorder="1" applyAlignment="1">
      <alignment horizontal="center" vertical="center" wrapText="1"/>
    </xf>
    <xf numFmtId="3" fontId="9" fillId="3" borderId="1" xfId="5" applyNumberFormat="1" applyFont="1" applyFill="1" applyBorder="1" applyAlignment="1">
      <alignment horizontal="center" vertical="center" wrapText="1"/>
    </xf>
  </cellXfs>
  <cellStyles count="8">
    <cellStyle name="Énfasis3" xfId="4" builtinId="37"/>
    <cellStyle name="Millares" xfId="1" builtinId="3"/>
    <cellStyle name="Millares [0]" xfId="2" builtinId="6"/>
    <cellStyle name="Millares 2" xfId="7" xr:uid="{B98947AC-AEC4-4CFA-B56F-7AF0AFD243AD}"/>
    <cellStyle name="Normal" xfId="0" builtinId="0"/>
    <cellStyle name="Normal 784" xfId="5" xr:uid="{27637F51-64A0-4E22-A5D5-08F26B5B663B}"/>
    <cellStyle name="Normal 784 2 2 2 2" xfId="6" xr:uid="{175F9546-CE57-43E8-B077-CA53804CDBA0}"/>
    <cellStyle name="Porcentaje" xfId="3" builtinId="5"/>
  </cellStyles>
  <dxfs count="0"/>
  <tableStyles count="1" defaultTableStyle="TableStyleMedium2" defaultPivotStyle="PivotStyleLight16">
    <tableStyle name="Invisible" pivot="0" table="0" count="0" xr9:uid="{1FEC3DD4-97FC-40E1-A74A-F23128B693A6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4.xml"/><Relationship Id="rId10" Type="http://schemas.openxmlformats.org/officeDocument/2006/relationships/sharedStrings" Target="sharedStrings.xml"/><Relationship Id="rId4" Type="http://schemas.openxmlformats.org/officeDocument/2006/relationships/externalLink" Target="externalLinks/externalLink3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PROBRAME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santiago/Downloads/planilla-de-excel-para-el-aplicativo-de-compras-y-ventas.xlsx" TargetMode="External"/><Relationship Id="rId1" Type="http://schemas.openxmlformats.org/officeDocument/2006/relationships/externalLinkPath" Target="/Users/santiago/Downloads/planilla-de-excel-para-el-aplicativo-de-compras-y-venta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ervyre-my.sharepoint.com/personal/susan_delao_servyre_com/Documents/1.OBRAS/2024/24-048/CONTRATISTA/GESCHAFT/Programa%20de%20actividades%20en%20obra_OBRA%2024-048.xlsx" TargetMode="External"/><Relationship Id="rId1" Type="http://schemas.openxmlformats.org/officeDocument/2006/relationships/externalLinkPath" Target="https://servyre-my.sharepoint.com/personal/susan_delao_servyre_com/Documents/1.OBRAS/2024/24-048/CONTRATISTA/GESCHAFT/Programa%20de%20actividades%20en%20obra_OBRA%2024-048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gccmxl_hugo\c\1998COPY\doctos_excel\exceldoc\probramensual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Copia%20de%20BASE%20DE%20DATOS%20OBRAS%202015%2023Nov2015%20(002).xls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ervyre.sharepoint.com/sites/SERVYREFINANZAS/Documentos%20compartidos/GONZALO/FINANCIEROS/2026/08/08%20ESTADO%20DE%20RESULTADOS%202026.xlsm" TargetMode="External"/><Relationship Id="rId1" Type="http://schemas.openxmlformats.org/officeDocument/2006/relationships/externalLinkPath" Target="https://servyre.sharepoint.com/sites/SERVYREFINANZAS/Documentos%20compartidos/GONZALO/FINANCIEROS/2026/08/08%20ESTADO%20DE%20RESULTADOS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BRAME"/>
      <sheetName val="PROBRAME.XLS"/>
      <sheetName val="Hoja2"/>
      <sheetName val="PROBRAME_XLS"/>
      <sheetName val="NOMENCLATURA"/>
      <sheetName val="INVENTARIO DIARIO SEPT 2019"/>
      <sheetName val="#REF"/>
      <sheetName val="PROBRAME_XLS3"/>
      <sheetName val="PROBRAME_XLS1"/>
      <sheetName val="PROBRAME_XLS2"/>
      <sheetName val="PROBRAME_XLS4"/>
      <sheetName val="PROBRAME_XLS5"/>
      <sheetName val="PROBRAME_XLS6"/>
      <sheetName val="PROBRAME_XLS8"/>
      <sheetName val="PROBRAME_XLS7"/>
      <sheetName val="PROBRAME_XLS9"/>
      <sheetName val="PROBRAME_XLS10"/>
      <sheetName val="PROBRAME_XLS11"/>
      <sheetName val="PROBRAME_XLS12"/>
      <sheetName val="PROBRAME_XLS13"/>
      <sheetName val="PROBRAME_XLS14"/>
      <sheetName val="PROBRAME_XLS15"/>
      <sheetName val="LETRA"/>
      <sheetName val="E-14"/>
    </sheetNames>
    <definedNames>
      <definedName name="Macro1"/>
      <definedName name="Macro11"/>
      <definedName name="Macro12"/>
      <definedName name="Macro14"/>
      <definedName name="Macro15"/>
      <definedName name="Macro16"/>
      <definedName name="Macro19"/>
      <definedName name="Macro2"/>
      <definedName name="Macro20"/>
      <definedName name="Macro22"/>
      <definedName name="Macro24"/>
      <definedName name="Macro25"/>
      <definedName name="Macro26"/>
      <definedName name="Macro27"/>
      <definedName name="Macro28"/>
      <definedName name="Macro29"/>
      <definedName name="Macro3"/>
      <definedName name="Macro30"/>
      <definedName name="Macro31"/>
      <definedName name="Macro32"/>
      <definedName name="Macro33"/>
      <definedName name="Macro34"/>
      <definedName name="Macro36"/>
      <definedName name="Macro37"/>
      <definedName name="Macro38"/>
      <definedName name="Macro39"/>
      <definedName name="Macro4"/>
      <definedName name="Macro42"/>
      <definedName name="Macro43"/>
      <definedName name="Macro5"/>
      <definedName name="Macro6"/>
      <definedName name="Macro7"/>
      <definedName name="Macro8"/>
      <definedName name="Macro9"/>
    </definedNames>
    <sheetDataSet>
      <sheetData sheetId="0" refreshError="1"/>
      <sheetData sheetId="1" refreshError="1"/>
      <sheetData sheetId="2" refreshError="1"/>
      <sheetData sheetId="3"/>
      <sheetData sheetId="4"/>
      <sheetData sheetId="5"/>
      <sheetData sheetId="6" refreshError="1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Tabla de Comprobantes"/>
    </sheetNames>
    <sheetDataSet>
      <sheetData sheetId="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- AYUDA -"/>
      <sheetName val="Proyecto"/>
      <sheetName val="Reportes"/>
    </sheetNames>
    <sheetDataSet>
      <sheetData sheetId="0" refreshError="1"/>
      <sheetData sheetId="1"/>
      <sheetData sheetId="2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bramensual"/>
      <sheetName val="probramensual.xls"/>
      <sheetName val="F070101 R9"/>
      <sheetName val="FACT."/>
      <sheetName val="E-14"/>
      <sheetName val="E-39"/>
      <sheetName val="E-39 (2)"/>
      <sheetName val="E-39 (3)"/>
      <sheetName val="LIMP Cunetas"/>
      <sheetName val="BACHEO"/>
      <sheetName val="probramensual_xls"/>
      <sheetName val="F070101_R9"/>
      <sheetName val="FACT_"/>
      <sheetName val="E-39_(2)"/>
      <sheetName val="E-39_(3)"/>
      <sheetName val="LIMP_Cunetas"/>
      <sheetName val="probramensual_xls2"/>
      <sheetName val="F070101_R92"/>
      <sheetName val="FACT_2"/>
      <sheetName val="E-39_(2)2"/>
      <sheetName val="E-39_(3)2"/>
      <sheetName val="LIMP_Cunetas2"/>
      <sheetName val="probramensual_xls1"/>
      <sheetName val="F070101_R91"/>
      <sheetName val="FACT_1"/>
      <sheetName val="E-39_(2)1"/>
      <sheetName val="E-39_(3)1"/>
      <sheetName val="LIMP_Cunetas1"/>
      <sheetName val="probramensual_xls4"/>
      <sheetName val="F070101_R94"/>
      <sheetName val="FACT_4"/>
      <sheetName val="E-39_(2)4"/>
      <sheetName val="E-39_(3)4"/>
      <sheetName val="LIMP_Cunetas4"/>
      <sheetName val="probramensual_xls3"/>
      <sheetName val="F070101_R93"/>
      <sheetName val="FACT_3"/>
      <sheetName val="E-39_(2)3"/>
      <sheetName val="E-39_(3)3"/>
      <sheetName val="LIMP_Cunetas3"/>
      <sheetName val="probramensual_xls5"/>
      <sheetName val="F070101_R95"/>
      <sheetName val="FACT_5"/>
      <sheetName val="E-39_(2)5"/>
      <sheetName val="E-39_(3)5"/>
      <sheetName val="LIMP_Cunetas5"/>
      <sheetName val="probramensual_xls6"/>
      <sheetName val="F070101_R96"/>
      <sheetName val="FACT_6"/>
      <sheetName val="E-39_(2)6"/>
      <sheetName val="E-39_(3)6"/>
      <sheetName val="LIMP_Cunetas6"/>
      <sheetName val="probramensual_xls8"/>
      <sheetName val="F070101_R98"/>
      <sheetName val="FACT_8"/>
      <sheetName val="E-39_(2)8"/>
      <sheetName val="E-39_(3)8"/>
      <sheetName val="LIMP_Cunetas8"/>
      <sheetName val="probramensual_xls7"/>
      <sheetName val="F070101_R97"/>
      <sheetName val="FACT_7"/>
      <sheetName val="E-39_(2)7"/>
      <sheetName val="E-39_(3)7"/>
      <sheetName val="LIMP_Cunetas7"/>
      <sheetName val="probramensual_xls9"/>
      <sheetName val="F070101_R99"/>
      <sheetName val="FACT_9"/>
      <sheetName val="E-39_(2)9"/>
      <sheetName val="E-39_(3)9"/>
      <sheetName val="LIMP_Cunetas9"/>
      <sheetName val="probramensual_xls10"/>
      <sheetName val="F070101_R910"/>
      <sheetName val="FACT_10"/>
      <sheetName val="E-39_(2)10"/>
      <sheetName val="E-39_(3)10"/>
      <sheetName val="LIMP_Cunetas10"/>
      <sheetName val="probramensual_xls11"/>
      <sheetName val="F070101_R911"/>
      <sheetName val="FACT_11"/>
      <sheetName val="E-39_(2)11"/>
      <sheetName val="E-39_(3)11"/>
      <sheetName val="LIMP_Cunetas11"/>
      <sheetName val="probramensual_xls12"/>
      <sheetName val="F070101_R912"/>
      <sheetName val="FACT_12"/>
      <sheetName val="E-39_(2)12"/>
      <sheetName val="E-39_(3)12"/>
      <sheetName val="LIMP_Cunetas12"/>
      <sheetName val="probramensual_xls13"/>
      <sheetName val="F070101_R913"/>
      <sheetName val="FACT_13"/>
      <sheetName val="E-39_(2)13"/>
      <sheetName val="E-39_(3)13"/>
      <sheetName val="LIMP_Cunetas13"/>
      <sheetName val="probramensual_xls14"/>
      <sheetName val="F070101_R914"/>
      <sheetName val="FACT_14"/>
      <sheetName val="E-39_(2)14"/>
      <sheetName val="E-39_(3)14"/>
      <sheetName val="LIMP_Cunetas14"/>
      <sheetName val="probramensual_xls15"/>
      <sheetName val="F070101_R915"/>
      <sheetName val="FACT_15"/>
      <sheetName val="E-39_(2)15"/>
      <sheetName val="E-39_(3)15"/>
      <sheetName val="LIMP_Cunetas15"/>
      <sheetName val="\\Dgccmxl_hugo\c\1998COPY\docto"/>
    </sheetNames>
    <definedNames>
      <definedName name="Macro11"/>
      <definedName name="Macro12"/>
      <definedName name="Macro13"/>
      <definedName name="Macro14"/>
      <definedName name="Macro15"/>
      <definedName name="Macro16"/>
      <definedName name="Macro19"/>
      <definedName name="Macro2"/>
      <definedName name="Macro20"/>
      <definedName name="Macro22"/>
      <definedName name="Macro3"/>
      <definedName name="Macro4"/>
      <definedName name="Macro5"/>
      <definedName name="Macro6"/>
      <definedName name="Macro7"/>
      <definedName name="Macro8"/>
      <definedName name="Macro9"/>
    </defined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BRAS 2013"/>
      <sheetName val="OBRAS 2014"/>
      <sheetName val="OBRAS 2015"/>
      <sheetName val="OBRAS_2013"/>
      <sheetName val="OBRAS_2014"/>
      <sheetName val="OBRAS_2015"/>
      <sheetName val="OBRAS_20131"/>
      <sheetName val="OBRAS_20141"/>
      <sheetName val="OBRAS_20151"/>
      <sheetName val="OBRAS_20132"/>
      <sheetName val="OBRAS_20142"/>
      <sheetName val="OBRAS_20152"/>
      <sheetName val="OBRAS_20133"/>
      <sheetName val="OBRAS_20143"/>
      <sheetName val="OBRAS_2015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MEN"/>
      <sheetName val="RESULTADOS MES"/>
      <sheetName val="RESULTADOS ACUM"/>
      <sheetName val="RESULTADOS S INTER"/>
      <sheetName val="POSICION FINANCIERA"/>
      <sheetName val="CRITERIOS POSICION FINANCIERA"/>
      <sheetName val="BALANZAS"/>
      <sheetName val="NO DEDUC 650"/>
      <sheetName val="MATERIA PRIMA 550"/>
      <sheetName val="ASIMILADOS 650"/>
      <sheetName val="VIATICOS 560"/>
      <sheetName val="OTROS COSTOS (D) 550"/>
      <sheetName val="MATERIALES OE 561"/>
      <sheetName val="MATERIALES OE 560"/>
      <sheetName val="MATERIALES Y PROYECTO 560"/>
      <sheetName val="RENTAS 651"/>
      <sheetName val="OTROS COSTOS (F) 561"/>
      <sheetName val="MAT OBRAS ESP 560"/>
      <sheetName val="VIATICOS 530"/>
      <sheetName val="OTROS COSTOS 650"/>
      <sheetName val="INSUMOS 650"/>
      <sheetName val="SEGURIDAD 650"/>
      <sheetName val="VARIOS 650"/>
      <sheetName val="PAPELERIA 650"/>
      <sheetName val="OTROS IMPUESTOS 650"/>
      <sheetName val="SERVICIOS PROF 650"/>
      <sheetName val="SERVICIOS BASICOS 650"/>
      <sheetName val="SEGUROS 650"/>
      <sheetName val="RENTAS 650"/>
      <sheetName val="FLETES 650"/>
      <sheetName val="MANTENIMIENTO 650"/>
      <sheetName val="VIATICOS DIRECTIVOS 650"/>
      <sheetName val="VIATICOS 650"/>
      <sheetName val="MANTENIMIENTO 640"/>
      <sheetName val="VIATICOS 640"/>
      <sheetName val="VIATICOS DIREC 640 "/>
      <sheetName val="SERV PROFESIONALES 630"/>
      <sheetName val="VIATICOS DIRECTIVOS 630"/>
      <sheetName val="VIATICOS 630"/>
      <sheetName val="VARIOS 620"/>
      <sheetName val="RECLUTAMIENTO 620"/>
      <sheetName val="MANTENIMIENTO 620"/>
      <sheetName val="VIATICOS DIRECTOS 620"/>
      <sheetName val="VIATICOS 620"/>
      <sheetName val="ASIMILADOS 560"/>
      <sheetName val="MATERIALES Y PROYECTOS 550"/>
      <sheetName val="OTROS COSTOS 551"/>
      <sheetName val="IMPORTACION 550"/>
      <sheetName val="FLETES 550"/>
      <sheetName val="MANTENIMIENTO 550"/>
      <sheetName val="VIATICOS 550"/>
      <sheetName val="RENTA DE EQUIPO 530"/>
      <sheetName val="MATERIAL DISEÑO 530"/>
      <sheetName val="DISEÑO Y SUPERV 530"/>
      <sheetName val="FLETES 530"/>
      <sheetName val="DONATIVOS"/>
      <sheetName val="FIANZAS"/>
      <sheetName val="PROMOCION Y MERCA"/>
      <sheetName val="NOMBRE CUENTAS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A1" t="str">
            <v>EMPRESA</v>
          </cell>
          <cell r="B1" t="str">
            <v>C u e n t a</v>
          </cell>
          <cell r="J1" t="str">
            <v>SALDO</v>
          </cell>
        </row>
        <row r="2">
          <cell r="A2" t="str">
            <v>CIVLA</v>
          </cell>
          <cell r="B2" t="str">
            <v>101-00000-000-0000</v>
          </cell>
          <cell r="J2">
            <v>102027540.23999999</v>
          </cell>
        </row>
        <row r="3">
          <cell r="A3" t="str">
            <v>CIVLA</v>
          </cell>
          <cell r="B3" t="str">
            <v>101-00002-000-0000</v>
          </cell>
          <cell r="J3">
            <v>225848.28</v>
          </cell>
        </row>
        <row r="4">
          <cell r="A4" t="str">
            <v>CIVLA</v>
          </cell>
          <cell r="B4" t="str">
            <v>101-00002-002-0000</v>
          </cell>
          <cell r="J4">
            <v>45160.32</v>
          </cell>
        </row>
        <row r="5">
          <cell r="A5" t="str">
            <v>CIVLA</v>
          </cell>
          <cell r="B5" t="str">
            <v>101-00002-002-0002</v>
          </cell>
          <cell r="J5">
            <v>11040.83</v>
          </cell>
        </row>
        <row r="6">
          <cell r="A6" t="str">
            <v>CIVLA</v>
          </cell>
          <cell r="B6" t="str">
            <v>101-00002-002-0050</v>
          </cell>
          <cell r="J6">
            <v>34119.49</v>
          </cell>
        </row>
        <row r="7">
          <cell r="A7" t="str">
            <v>CIVLA</v>
          </cell>
          <cell r="B7" t="str">
            <v>101-00002-003-0000</v>
          </cell>
          <cell r="J7">
            <v>70837.89</v>
          </cell>
        </row>
        <row r="8">
          <cell r="A8" t="str">
            <v>CIVLA</v>
          </cell>
          <cell r="B8" t="str">
            <v>101-00002-003-0008</v>
          </cell>
          <cell r="J8">
            <v>44209.69</v>
          </cell>
        </row>
        <row r="9">
          <cell r="A9" t="str">
            <v>CIVLA</v>
          </cell>
          <cell r="B9" t="str">
            <v>101-00002-003-0053</v>
          </cell>
          <cell r="J9">
            <v>26628.2</v>
          </cell>
        </row>
        <row r="10">
          <cell r="A10" t="str">
            <v>CIVLA</v>
          </cell>
          <cell r="B10" t="str">
            <v>101-00002-004-0000</v>
          </cell>
          <cell r="J10">
            <v>34020.800000000003</v>
          </cell>
        </row>
        <row r="11">
          <cell r="A11" t="str">
            <v>CIVLA</v>
          </cell>
          <cell r="B11" t="str">
            <v>101-00002-004-0006</v>
          </cell>
          <cell r="J11">
            <v>16978.099999999999</v>
          </cell>
        </row>
        <row r="12">
          <cell r="A12" t="str">
            <v>CIVLA</v>
          </cell>
          <cell r="B12" t="str">
            <v>101-00002-004-0053</v>
          </cell>
          <cell r="J12">
            <v>17042.7</v>
          </cell>
        </row>
        <row r="13">
          <cell r="A13" t="str">
            <v>CIVLA</v>
          </cell>
          <cell r="B13" t="str">
            <v>101-00002-006-0000</v>
          </cell>
          <cell r="J13">
            <v>32285.18</v>
          </cell>
        </row>
        <row r="14">
          <cell r="A14" t="str">
            <v>CIVLA</v>
          </cell>
          <cell r="B14" t="str">
            <v>101-00002-006-0012</v>
          </cell>
          <cell r="J14">
            <v>32285.18</v>
          </cell>
        </row>
        <row r="15">
          <cell r="A15" t="str">
            <v>CIVLA</v>
          </cell>
          <cell r="B15" t="str">
            <v>101-00002-009-0000</v>
          </cell>
          <cell r="J15">
            <v>27875.66</v>
          </cell>
        </row>
        <row r="16">
          <cell r="A16" t="str">
            <v>CIVLA</v>
          </cell>
          <cell r="B16" t="str">
            <v>101-00002-009-0003</v>
          </cell>
          <cell r="J16">
            <v>27875.66</v>
          </cell>
        </row>
        <row r="17">
          <cell r="A17" t="str">
            <v>CIVLA</v>
          </cell>
          <cell r="B17" t="str">
            <v>101-00002-013-0000</v>
          </cell>
          <cell r="J17">
            <v>15668.43</v>
          </cell>
        </row>
        <row r="18">
          <cell r="A18" t="str">
            <v>CIVLA</v>
          </cell>
          <cell r="B18" t="str">
            <v>101-00002-013-0001</v>
          </cell>
          <cell r="J18">
            <v>7451.46</v>
          </cell>
        </row>
        <row r="19">
          <cell r="A19" t="str">
            <v>CIVLA</v>
          </cell>
          <cell r="B19" t="str">
            <v>101-00002-013-0002</v>
          </cell>
          <cell r="J19">
            <v>8216.9699999999993</v>
          </cell>
        </row>
        <row r="20">
          <cell r="A20" t="str">
            <v>CIVLA</v>
          </cell>
          <cell r="B20" t="str">
            <v>101-00004-000-0000</v>
          </cell>
          <cell r="J20">
            <v>20877737.82</v>
          </cell>
        </row>
        <row r="21">
          <cell r="A21" t="str">
            <v>CIVLA</v>
          </cell>
          <cell r="B21" t="str">
            <v>101-00004-002-0000</v>
          </cell>
          <cell r="J21">
            <v>18848434.899999999</v>
          </cell>
        </row>
        <row r="22">
          <cell r="A22" t="str">
            <v>CIVLA</v>
          </cell>
          <cell r="B22" t="str">
            <v>101-00004-002-0467</v>
          </cell>
          <cell r="J22">
            <v>0.01</v>
          </cell>
        </row>
        <row r="23">
          <cell r="A23" t="str">
            <v>CIVLA</v>
          </cell>
          <cell r="B23" t="str">
            <v>101-00004-002-0813</v>
          </cell>
          <cell r="J23">
            <v>12795285.949999999</v>
          </cell>
        </row>
        <row r="24">
          <cell r="A24" t="str">
            <v>CIVLA</v>
          </cell>
          <cell r="B24" t="str">
            <v>101-00004-002-1127</v>
          </cell>
          <cell r="J24">
            <v>0.01</v>
          </cell>
        </row>
        <row r="25">
          <cell r="A25" t="str">
            <v>CIVLA</v>
          </cell>
          <cell r="B25" t="str">
            <v>101-00004-002-1616</v>
          </cell>
          <cell r="J25">
            <v>1850503.72</v>
          </cell>
        </row>
        <row r="26">
          <cell r="A26" t="str">
            <v>CIVLA</v>
          </cell>
          <cell r="B26" t="str">
            <v>101-00004-002-2872</v>
          </cell>
          <cell r="J26">
            <v>4202645.21</v>
          </cell>
        </row>
        <row r="27">
          <cell r="A27" t="str">
            <v>CIVLA</v>
          </cell>
          <cell r="B27" t="str">
            <v>101-00004-003-0000</v>
          </cell>
          <cell r="J27">
            <v>2029302.92</v>
          </cell>
        </row>
        <row r="28">
          <cell r="A28" t="str">
            <v>CIVLA</v>
          </cell>
          <cell r="B28" t="str">
            <v>101-00004-003-0588</v>
          </cell>
          <cell r="J28">
            <v>2029302.92</v>
          </cell>
        </row>
        <row r="29">
          <cell r="A29" t="str">
            <v>CIVLA</v>
          </cell>
          <cell r="B29" t="str">
            <v>101-00005-000-0000</v>
          </cell>
          <cell r="J29">
            <v>3547151.97</v>
          </cell>
        </row>
        <row r="30">
          <cell r="A30" t="str">
            <v>CIVLA</v>
          </cell>
          <cell r="B30" t="str">
            <v>101-00005-001-0000</v>
          </cell>
          <cell r="J30">
            <v>650809.80000000005</v>
          </cell>
        </row>
        <row r="31">
          <cell r="A31" t="str">
            <v>CIVLA</v>
          </cell>
          <cell r="B31" t="str">
            <v>101-00005-001-0002</v>
          </cell>
          <cell r="J31">
            <v>20790.27</v>
          </cell>
        </row>
        <row r="32">
          <cell r="A32" t="str">
            <v>CIVLA</v>
          </cell>
          <cell r="B32" t="str">
            <v>101-00005-001-0077</v>
          </cell>
          <cell r="J32">
            <v>116521.93</v>
          </cell>
        </row>
        <row r="33">
          <cell r="A33" t="str">
            <v>CIVLA</v>
          </cell>
          <cell r="B33" t="str">
            <v>101-00005-001-0108</v>
          </cell>
          <cell r="J33">
            <v>-1000</v>
          </cell>
        </row>
        <row r="34">
          <cell r="A34" t="str">
            <v>CIVLA</v>
          </cell>
          <cell r="B34" t="str">
            <v>101-00005-001-0333</v>
          </cell>
          <cell r="J34">
            <v>3117.61</v>
          </cell>
        </row>
        <row r="35">
          <cell r="A35" t="str">
            <v>CIVLA</v>
          </cell>
          <cell r="B35" t="str">
            <v>101-00005-001-0385</v>
          </cell>
          <cell r="J35">
            <v>16622.61</v>
          </cell>
        </row>
        <row r="36">
          <cell r="A36" t="str">
            <v>CIVLA</v>
          </cell>
          <cell r="B36" t="str">
            <v>101-00005-001-0446</v>
          </cell>
          <cell r="J36">
            <v>-880</v>
          </cell>
        </row>
        <row r="37">
          <cell r="A37" t="str">
            <v>CIVLA</v>
          </cell>
          <cell r="B37" t="str">
            <v>101-00005-001-0464</v>
          </cell>
          <cell r="J37">
            <v>60139.89</v>
          </cell>
        </row>
        <row r="38">
          <cell r="A38" t="str">
            <v>CIVLA</v>
          </cell>
          <cell r="B38" t="str">
            <v>101-00005-001-0466</v>
          </cell>
          <cell r="J38">
            <v>3090</v>
          </cell>
        </row>
        <row r="39">
          <cell r="A39" t="str">
            <v>CIVLA</v>
          </cell>
          <cell r="B39" t="str">
            <v>101-00005-001-0557</v>
          </cell>
          <cell r="J39">
            <v>1190</v>
          </cell>
        </row>
        <row r="40">
          <cell r="A40" t="str">
            <v>CIVLA</v>
          </cell>
          <cell r="B40" t="str">
            <v>101-00005-001-0580</v>
          </cell>
          <cell r="J40">
            <v>-3353.01</v>
          </cell>
        </row>
        <row r="41">
          <cell r="A41" t="str">
            <v>CIVLA</v>
          </cell>
          <cell r="B41" t="str">
            <v>101-00005-001-0683</v>
          </cell>
          <cell r="J41">
            <v>-5177.2</v>
          </cell>
        </row>
        <row r="42">
          <cell r="A42" t="str">
            <v>CIVLA</v>
          </cell>
          <cell r="B42" t="str">
            <v>101-00005-001-0707</v>
          </cell>
          <cell r="J42">
            <v>3147.42</v>
          </cell>
        </row>
        <row r="43">
          <cell r="A43" t="str">
            <v>CIVLA</v>
          </cell>
          <cell r="B43" t="str">
            <v>101-00005-001-0721</v>
          </cell>
          <cell r="J43">
            <v>-1448.69</v>
          </cell>
        </row>
        <row r="44">
          <cell r="A44" t="str">
            <v>CIVLA</v>
          </cell>
          <cell r="B44" t="str">
            <v>101-00005-001-0727</v>
          </cell>
          <cell r="J44">
            <v>42508.09</v>
          </cell>
        </row>
        <row r="45">
          <cell r="A45" t="str">
            <v>CIVLA</v>
          </cell>
          <cell r="B45" t="str">
            <v>101-00005-001-0733</v>
          </cell>
          <cell r="J45">
            <v>2249.9499999999998</v>
          </cell>
        </row>
        <row r="46">
          <cell r="A46" t="str">
            <v>CIVLA</v>
          </cell>
          <cell r="B46" t="str">
            <v>101-00005-001-0937</v>
          </cell>
          <cell r="J46">
            <v>41571.81</v>
          </cell>
        </row>
        <row r="47">
          <cell r="A47" t="str">
            <v>CIVLA</v>
          </cell>
          <cell r="B47" t="str">
            <v>101-00005-001-1033</v>
          </cell>
          <cell r="J47">
            <v>2070</v>
          </cell>
        </row>
        <row r="48">
          <cell r="A48" t="str">
            <v>CIVLA</v>
          </cell>
          <cell r="B48" t="str">
            <v>101-00005-001-1064</v>
          </cell>
          <cell r="J48">
            <v>-2044</v>
          </cell>
        </row>
        <row r="49">
          <cell r="A49" t="str">
            <v>CIVLA</v>
          </cell>
          <cell r="B49" t="str">
            <v>101-00005-001-1071</v>
          </cell>
          <cell r="J49">
            <v>-33.299999999999997</v>
          </cell>
        </row>
        <row r="50">
          <cell r="A50" t="str">
            <v>CIVLA</v>
          </cell>
          <cell r="B50" t="str">
            <v>101-00005-001-1092</v>
          </cell>
          <cell r="J50">
            <v>68141.41</v>
          </cell>
        </row>
        <row r="51">
          <cell r="A51" t="str">
            <v>CIVLA</v>
          </cell>
          <cell r="B51" t="str">
            <v>101-00005-001-1093</v>
          </cell>
          <cell r="J51">
            <v>14110.79</v>
          </cell>
        </row>
        <row r="52">
          <cell r="A52" t="str">
            <v>CIVLA</v>
          </cell>
          <cell r="B52" t="str">
            <v>101-00005-001-1121</v>
          </cell>
          <cell r="J52">
            <v>907</v>
          </cell>
        </row>
        <row r="53">
          <cell r="A53" t="str">
            <v>CIVLA</v>
          </cell>
          <cell r="B53" t="str">
            <v>101-00005-001-1131</v>
          </cell>
          <cell r="J53">
            <v>-795</v>
          </cell>
        </row>
        <row r="54">
          <cell r="A54" t="str">
            <v>CIVLA</v>
          </cell>
          <cell r="B54" t="str">
            <v>101-00005-001-1239</v>
          </cell>
          <cell r="J54">
            <v>63.5</v>
          </cell>
        </row>
        <row r="55">
          <cell r="A55" t="str">
            <v>CIVLA</v>
          </cell>
          <cell r="B55" t="str">
            <v>101-00005-001-1498</v>
          </cell>
          <cell r="J55">
            <v>-45069.95</v>
          </cell>
        </row>
        <row r="56">
          <cell r="A56" t="str">
            <v>CIVLA</v>
          </cell>
          <cell r="B56" t="str">
            <v>101-00005-001-1500</v>
          </cell>
          <cell r="J56">
            <v>8704.25</v>
          </cell>
        </row>
        <row r="57">
          <cell r="A57" t="str">
            <v>CIVLA</v>
          </cell>
          <cell r="B57" t="str">
            <v>101-00005-001-1520</v>
          </cell>
          <cell r="J57">
            <v>736.29</v>
          </cell>
        </row>
        <row r="58">
          <cell r="A58" t="str">
            <v>CIVLA</v>
          </cell>
          <cell r="B58" t="str">
            <v>101-00005-001-1604</v>
          </cell>
          <cell r="J58">
            <v>2116</v>
          </cell>
        </row>
        <row r="59">
          <cell r="A59" t="str">
            <v>CIVLA</v>
          </cell>
          <cell r="B59" t="str">
            <v>101-00005-001-1606</v>
          </cell>
          <cell r="J59">
            <v>-819.42</v>
          </cell>
        </row>
        <row r="60">
          <cell r="A60" t="str">
            <v>CIVLA</v>
          </cell>
          <cell r="B60" t="str">
            <v>101-00005-001-1644</v>
          </cell>
          <cell r="J60">
            <v>18147.39</v>
          </cell>
        </row>
        <row r="61">
          <cell r="A61" t="str">
            <v>CIVLA</v>
          </cell>
          <cell r="B61" t="str">
            <v>101-00005-001-1646</v>
          </cell>
          <cell r="J61">
            <v>-52.14</v>
          </cell>
        </row>
        <row r="62">
          <cell r="A62" t="str">
            <v>CIVLA</v>
          </cell>
          <cell r="B62" t="str">
            <v>101-00005-001-1655</v>
          </cell>
          <cell r="J62">
            <v>7110</v>
          </cell>
        </row>
        <row r="63">
          <cell r="A63" t="str">
            <v>CIVLA</v>
          </cell>
          <cell r="B63" t="str">
            <v>101-00005-001-1699</v>
          </cell>
          <cell r="J63">
            <v>17015.47</v>
          </cell>
        </row>
        <row r="64">
          <cell r="A64" t="str">
            <v>CIVLA</v>
          </cell>
          <cell r="B64" t="str">
            <v>101-00005-001-1804</v>
          </cell>
          <cell r="J64">
            <v>94059.35</v>
          </cell>
        </row>
        <row r="65">
          <cell r="A65" t="str">
            <v>CIVLA</v>
          </cell>
          <cell r="B65" t="str">
            <v>101-00005-001-1819</v>
          </cell>
          <cell r="J65">
            <v>4148.46</v>
          </cell>
        </row>
        <row r="66">
          <cell r="A66" t="str">
            <v>CIVLA</v>
          </cell>
          <cell r="B66" t="str">
            <v>101-00005-001-1864</v>
          </cell>
          <cell r="J66">
            <v>1552.4</v>
          </cell>
        </row>
        <row r="67">
          <cell r="A67" t="str">
            <v>CIVLA</v>
          </cell>
          <cell r="B67" t="str">
            <v>101-00005-001-1877</v>
          </cell>
          <cell r="J67">
            <v>8523.66</v>
          </cell>
        </row>
        <row r="68">
          <cell r="A68" t="str">
            <v>CIVLA</v>
          </cell>
          <cell r="B68" t="str">
            <v>101-00005-001-1887</v>
          </cell>
          <cell r="J68">
            <v>11482.5</v>
          </cell>
        </row>
        <row r="69">
          <cell r="A69" t="str">
            <v>CIVLA</v>
          </cell>
          <cell r="B69" t="str">
            <v>101-00005-001-2196</v>
          </cell>
          <cell r="J69">
            <v>2022.28</v>
          </cell>
        </row>
        <row r="70">
          <cell r="A70" t="str">
            <v>CIVLA</v>
          </cell>
          <cell r="B70" t="str">
            <v>101-00005-001-2218</v>
          </cell>
          <cell r="J70">
            <v>8444.81</v>
          </cell>
        </row>
        <row r="71">
          <cell r="A71" t="str">
            <v>CIVLA</v>
          </cell>
          <cell r="B71" t="str">
            <v>101-00005-001-2223</v>
          </cell>
          <cell r="J71">
            <v>9503.98</v>
          </cell>
        </row>
        <row r="72">
          <cell r="A72" t="str">
            <v>CIVLA</v>
          </cell>
          <cell r="B72" t="str">
            <v>101-00005-001-2273</v>
          </cell>
          <cell r="J72">
            <v>2186.7399999999998</v>
          </cell>
        </row>
        <row r="73">
          <cell r="A73" t="str">
            <v>CIVLA</v>
          </cell>
          <cell r="B73" t="str">
            <v>101-00005-001-2285</v>
          </cell>
          <cell r="J73">
            <v>25858.98</v>
          </cell>
        </row>
        <row r="74">
          <cell r="A74" t="str">
            <v>CIVLA</v>
          </cell>
          <cell r="B74" t="str">
            <v>101-00005-001-2290</v>
          </cell>
          <cell r="J74">
            <v>3850</v>
          </cell>
        </row>
        <row r="75">
          <cell r="A75" t="str">
            <v>CIVLA</v>
          </cell>
          <cell r="B75" t="str">
            <v>101-00005-001-2313</v>
          </cell>
          <cell r="J75">
            <v>-12410.88</v>
          </cell>
        </row>
        <row r="76">
          <cell r="A76" t="str">
            <v>CIVLA</v>
          </cell>
          <cell r="B76" t="str">
            <v>101-00005-001-2324</v>
          </cell>
          <cell r="J76">
            <v>350</v>
          </cell>
        </row>
        <row r="77">
          <cell r="A77" t="str">
            <v>CIVLA</v>
          </cell>
          <cell r="B77" t="str">
            <v>101-00005-001-2333</v>
          </cell>
          <cell r="J77">
            <v>2960</v>
          </cell>
        </row>
        <row r="78">
          <cell r="A78" t="str">
            <v>CIVLA</v>
          </cell>
          <cell r="B78" t="str">
            <v>101-00005-001-2532</v>
          </cell>
          <cell r="J78">
            <v>3175.93</v>
          </cell>
        </row>
        <row r="79">
          <cell r="A79" t="str">
            <v>CIVLA</v>
          </cell>
          <cell r="B79" t="str">
            <v>101-00005-001-2543</v>
          </cell>
          <cell r="J79">
            <v>457.6</v>
          </cell>
        </row>
        <row r="80">
          <cell r="A80" t="str">
            <v>CIVLA</v>
          </cell>
          <cell r="B80" t="str">
            <v>101-00005-001-2560</v>
          </cell>
          <cell r="J80">
            <v>8604.44</v>
          </cell>
        </row>
        <row r="81">
          <cell r="A81" t="str">
            <v>CIVLA</v>
          </cell>
          <cell r="B81" t="str">
            <v>101-00005-001-2576</v>
          </cell>
          <cell r="J81">
            <v>-3423.49</v>
          </cell>
        </row>
        <row r="82">
          <cell r="A82" t="str">
            <v>CIVLA</v>
          </cell>
          <cell r="B82" t="str">
            <v>101-00005-001-2582</v>
          </cell>
          <cell r="J82">
            <v>5451.52</v>
          </cell>
        </row>
        <row r="83">
          <cell r="A83" t="str">
            <v>CIVLA</v>
          </cell>
          <cell r="B83" t="str">
            <v>101-00005-001-2588</v>
          </cell>
          <cell r="J83">
            <v>19923.02</v>
          </cell>
        </row>
        <row r="84">
          <cell r="A84" t="str">
            <v>CIVLA</v>
          </cell>
          <cell r="B84" t="str">
            <v>101-00005-001-2589</v>
          </cell>
          <cell r="J84">
            <v>-3707.05</v>
          </cell>
        </row>
        <row r="85">
          <cell r="A85" t="str">
            <v>CIVLA</v>
          </cell>
          <cell r="B85" t="str">
            <v>101-00005-001-2608</v>
          </cell>
          <cell r="J85">
            <v>6262.99</v>
          </cell>
        </row>
        <row r="86">
          <cell r="A86" t="str">
            <v>CIVLA</v>
          </cell>
          <cell r="B86" t="str">
            <v>101-00005-001-2618</v>
          </cell>
          <cell r="J86">
            <v>-1225</v>
          </cell>
        </row>
        <row r="87">
          <cell r="A87" t="str">
            <v>CIVLA</v>
          </cell>
          <cell r="B87" t="str">
            <v>101-00005-001-2658</v>
          </cell>
          <cell r="J87">
            <v>-402.2</v>
          </cell>
        </row>
        <row r="88">
          <cell r="A88" t="str">
            <v>CIVLA</v>
          </cell>
          <cell r="B88" t="str">
            <v>101-00005-001-2660</v>
          </cell>
          <cell r="J88">
            <v>-937</v>
          </cell>
        </row>
        <row r="89">
          <cell r="A89" t="str">
            <v>CIVLA</v>
          </cell>
          <cell r="B89" t="str">
            <v>101-00005-001-2666</v>
          </cell>
          <cell r="J89">
            <v>28198.59</v>
          </cell>
        </row>
        <row r="90">
          <cell r="A90" t="str">
            <v>CIVLA</v>
          </cell>
          <cell r="B90" t="str">
            <v>101-00005-001-2787</v>
          </cell>
          <cell r="J90">
            <v>442.66</v>
          </cell>
        </row>
        <row r="91">
          <cell r="A91" t="str">
            <v>CIVLA</v>
          </cell>
          <cell r="B91" t="str">
            <v>101-00005-001-2788</v>
          </cell>
          <cell r="J91">
            <v>321.99</v>
          </cell>
        </row>
        <row r="92">
          <cell r="A92" t="str">
            <v>CIVLA</v>
          </cell>
          <cell r="B92" t="str">
            <v>101-00005-001-2955</v>
          </cell>
          <cell r="J92">
            <v>26678.63</v>
          </cell>
        </row>
        <row r="93">
          <cell r="A93" t="str">
            <v>CIVLA</v>
          </cell>
          <cell r="B93" t="str">
            <v>101-00005-001-3281</v>
          </cell>
          <cell r="J93">
            <v>8994.81</v>
          </cell>
        </row>
        <row r="94">
          <cell r="A94" t="str">
            <v>CIVLA</v>
          </cell>
          <cell r="B94" t="str">
            <v>101-00005-001-4615</v>
          </cell>
          <cell r="J94">
            <v>61.11</v>
          </cell>
        </row>
        <row r="95">
          <cell r="A95" t="str">
            <v>CIVLA</v>
          </cell>
          <cell r="B95" t="str">
            <v>101-00005-002-0000</v>
          </cell>
          <cell r="J95">
            <v>267031.09000000003</v>
          </cell>
        </row>
        <row r="96">
          <cell r="A96" t="str">
            <v>CIVLA</v>
          </cell>
          <cell r="B96" t="str">
            <v>101-00005-002-0002</v>
          </cell>
          <cell r="J96">
            <v>5505</v>
          </cell>
        </row>
        <row r="97">
          <cell r="A97" t="str">
            <v>CIVLA</v>
          </cell>
          <cell r="B97" t="str">
            <v>101-00005-002-0077</v>
          </cell>
          <cell r="J97">
            <v>26567.88</v>
          </cell>
        </row>
        <row r="98">
          <cell r="A98" t="str">
            <v>CIVLA</v>
          </cell>
          <cell r="B98" t="str">
            <v>101-00005-002-0108</v>
          </cell>
          <cell r="J98">
            <v>10000</v>
          </cell>
        </row>
        <row r="99">
          <cell r="A99" t="str">
            <v>CIVLA</v>
          </cell>
          <cell r="B99" t="str">
            <v>101-00005-002-0391</v>
          </cell>
          <cell r="J99">
            <v>10094</v>
          </cell>
        </row>
        <row r="100">
          <cell r="A100" t="str">
            <v>CIVLA</v>
          </cell>
          <cell r="B100" t="str">
            <v>101-00005-002-0446</v>
          </cell>
          <cell r="J100">
            <v>65.08</v>
          </cell>
        </row>
        <row r="101">
          <cell r="A101" t="str">
            <v>CIVLA</v>
          </cell>
          <cell r="B101" t="str">
            <v>101-00005-002-0683</v>
          </cell>
          <cell r="J101">
            <v>9390.0300000000007</v>
          </cell>
        </row>
        <row r="102">
          <cell r="A102" t="str">
            <v>CIVLA</v>
          </cell>
          <cell r="B102" t="str">
            <v>101-00005-002-0727</v>
          </cell>
          <cell r="J102">
            <v>8972.94</v>
          </cell>
        </row>
        <row r="103">
          <cell r="A103" t="str">
            <v>CIVLA</v>
          </cell>
          <cell r="B103" t="str">
            <v>101-00005-002-0937</v>
          </cell>
          <cell r="J103">
            <v>38390</v>
          </cell>
        </row>
        <row r="104">
          <cell r="A104" t="str">
            <v>CIVLA</v>
          </cell>
          <cell r="B104" t="str">
            <v>101-00005-002-1033</v>
          </cell>
          <cell r="J104">
            <v>6080</v>
          </cell>
        </row>
        <row r="105">
          <cell r="A105" t="str">
            <v>CIVLA</v>
          </cell>
          <cell r="B105" t="str">
            <v>101-00005-002-1062</v>
          </cell>
          <cell r="J105">
            <v>-8837</v>
          </cell>
        </row>
        <row r="106">
          <cell r="A106" t="str">
            <v>CIVLA</v>
          </cell>
          <cell r="B106" t="str">
            <v>101-00005-002-1092</v>
          </cell>
          <cell r="J106">
            <v>66425.990000000005</v>
          </cell>
        </row>
        <row r="107">
          <cell r="A107" t="str">
            <v>CIVLA</v>
          </cell>
          <cell r="B107" t="str">
            <v>101-00005-002-1239</v>
          </cell>
          <cell r="J107">
            <v>11000</v>
          </cell>
        </row>
        <row r="108">
          <cell r="A108" t="str">
            <v>CIVLA</v>
          </cell>
          <cell r="B108" t="str">
            <v>101-00005-002-1498</v>
          </cell>
          <cell r="J108">
            <v>5900</v>
          </cell>
        </row>
        <row r="109">
          <cell r="A109" t="str">
            <v>CIVLA</v>
          </cell>
          <cell r="B109" t="str">
            <v>101-00005-002-1931</v>
          </cell>
          <cell r="J109">
            <v>6380</v>
          </cell>
        </row>
        <row r="110">
          <cell r="A110" t="str">
            <v>CIVLA</v>
          </cell>
          <cell r="B110" t="str">
            <v>101-00005-002-2196</v>
          </cell>
          <cell r="J110">
            <v>-1108.69</v>
          </cell>
        </row>
        <row r="111">
          <cell r="A111" t="str">
            <v>CIVLA</v>
          </cell>
          <cell r="B111" t="str">
            <v>101-00005-002-2218</v>
          </cell>
          <cell r="J111">
            <v>6001.8</v>
          </cell>
        </row>
        <row r="112">
          <cell r="A112" t="str">
            <v>CIVLA</v>
          </cell>
          <cell r="B112" t="str">
            <v>101-00005-002-2285</v>
          </cell>
          <cell r="J112">
            <v>-780.72</v>
          </cell>
        </row>
        <row r="113">
          <cell r="A113" t="str">
            <v>CIVLA</v>
          </cell>
          <cell r="B113" t="str">
            <v>101-00005-002-2290</v>
          </cell>
          <cell r="J113">
            <v>8881</v>
          </cell>
        </row>
        <row r="114">
          <cell r="A114" t="str">
            <v>CIVLA</v>
          </cell>
          <cell r="B114" t="str">
            <v>101-00005-002-2560</v>
          </cell>
          <cell r="J114">
            <v>-52.38</v>
          </cell>
        </row>
        <row r="115">
          <cell r="A115" t="str">
            <v>CIVLA</v>
          </cell>
          <cell r="B115" t="str">
            <v>101-00005-002-2582</v>
          </cell>
          <cell r="J115">
            <v>8837.07</v>
          </cell>
        </row>
        <row r="116">
          <cell r="A116" t="str">
            <v>CIVLA</v>
          </cell>
          <cell r="B116" t="str">
            <v>101-00005-002-2658</v>
          </cell>
          <cell r="J116">
            <v>27868.75</v>
          </cell>
        </row>
        <row r="117">
          <cell r="A117" t="str">
            <v>CIVLA</v>
          </cell>
          <cell r="B117" t="str">
            <v>101-00005-002-2666</v>
          </cell>
          <cell r="J117">
            <v>-378</v>
          </cell>
        </row>
        <row r="118">
          <cell r="A118" t="str">
            <v>CIVLA</v>
          </cell>
          <cell r="B118" t="str">
            <v>101-00005-002-2955</v>
          </cell>
          <cell r="J118">
            <v>0</v>
          </cell>
        </row>
        <row r="119">
          <cell r="A119" t="str">
            <v>CIVLA</v>
          </cell>
          <cell r="B119" t="str">
            <v>101-00005-002-3281</v>
          </cell>
          <cell r="J119">
            <v>1028.3399999999999</v>
          </cell>
        </row>
        <row r="120">
          <cell r="A120" t="str">
            <v>CIVLA</v>
          </cell>
          <cell r="B120" t="str">
            <v>101-00005-002-4615</v>
          </cell>
          <cell r="J120">
            <v>20800</v>
          </cell>
        </row>
        <row r="121">
          <cell r="A121" t="str">
            <v>CIVLA</v>
          </cell>
          <cell r="B121" t="str">
            <v>101-00005-003-0000</v>
          </cell>
          <cell r="J121">
            <v>57468.73</v>
          </cell>
        </row>
        <row r="122">
          <cell r="A122" t="str">
            <v>CIVLA</v>
          </cell>
          <cell r="B122" t="str">
            <v>101-00005-003-0580</v>
          </cell>
          <cell r="J122">
            <v>4995</v>
          </cell>
        </row>
        <row r="123">
          <cell r="A123" t="str">
            <v>CIVLA</v>
          </cell>
          <cell r="B123" t="str">
            <v>101-00005-003-1967</v>
          </cell>
          <cell r="J123">
            <v>3512.75</v>
          </cell>
        </row>
        <row r="124">
          <cell r="A124" t="str">
            <v>CIVLA</v>
          </cell>
          <cell r="B124" t="str">
            <v>101-00005-003-3235</v>
          </cell>
          <cell r="J124">
            <v>48960.98</v>
          </cell>
        </row>
        <row r="125">
          <cell r="A125" t="str">
            <v>CIVLA</v>
          </cell>
          <cell r="B125" t="str">
            <v>101-00005-004-0000</v>
          </cell>
          <cell r="J125">
            <v>695376.25</v>
          </cell>
        </row>
        <row r="126">
          <cell r="A126" t="str">
            <v>CIVLA</v>
          </cell>
          <cell r="B126" t="str">
            <v>101-00005-004-0116</v>
          </cell>
          <cell r="J126">
            <v>-396</v>
          </cell>
        </row>
        <row r="127">
          <cell r="A127" t="str">
            <v>CIVLA</v>
          </cell>
          <cell r="B127" t="str">
            <v>101-00005-004-0391</v>
          </cell>
          <cell r="J127">
            <v>2046.07</v>
          </cell>
        </row>
        <row r="128">
          <cell r="A128" t="str">
            <v>CIVLA</v>
          </cell>
          <cell r="B128" t="str">
            <v>101-00005-004-1604</v>
          </cell>
          <cell r="J128">
            <v>12426</v>
          </cell>
        </row>
        <row r="129">
          <cell r="A129" t="str">
            <v>CIVLA</v>
          </cell>
          <cell r="B129" t="str">
            <v>101-00005-004-1817</v>
          </cell>
          <cell r="J129">
            <v>8410</v>
          </cell>
        </row>
        <row r="130">
          <cell r="A130" t="str">
            <v>CIVLA</v>
          </cell>
          <cell r="B130" t="str">
            <v>101-00005-004-3293</v>
          </cell>
          <cell r="J130">
            <v>672879</v>
          </cell>
        </row>
        <row r="131">
          <cell r="A131" t="str">
            <v>CIVLA</v>
          </cell>
          <cell r="B131" t="str">
            <v>101-00005-004-3353</v>
          </cell>
          <cell r="J131">
            <v>11.18</v>
          </cell>
        </row>
        <row r="132">
          <cell r="A132" t="str">
            <v>CIVLA</v>
          </cell>
          <cell r="B132" t="str">
            <v>101-00005-005-0000</v>
          </cell>
          <cell r="J132">
            <v>93776.960000000006</v>
          </cell>
        </row>
        <row r="133">
          <cell r="A133" t="str">
            <v>CIVLA</v>
          </cell>
          <cell r="B133" t="str">
            <v>101-00005-005-0058</v>
          </cell>
          <cell r="J133">
            <v>5000</v>
          </cell>
        </row>
        <row r="134">
          <cell r="A134" t="str">
            <v>CIVLA</v>
          </cell>
          <cell r="B134" t="str">
            <v>101-00005-005-0096</v>
          </cell>
          <cell r="J134">
            <v>9975.67</v>
          </cell>
        </row>
        <row r="135">
          <cell r="A135" t="str">
            <v>CIVLA</v>
          </cell>
          <cell r="B135" t="str">
            <v>101-00005-005-0108</v>
          </cell>
          <cell r="J135">
            <v>30473.29</v>
          </cell>
        </row>
        <row r="136">
          <cell r="A136" t="str">
            <v>CIVLA</v>
          </cell>
          <cell r="B136" t="str">
            <v>101-00005-005-0385</v>
          </cell>
          <cell r="J136">
            <v>10855</v>
          </cell>
        </row>
        <row r="137">
          <cell r="A137" t="str">
            <v>CIVLA</v>
          </cell>
          <cell r="B137" t="str">
            <v>101-00005-005-1092</v>
          </cell>
          <cell r="J137">
            <v>18483.599999999999</v>
          </cell>
        </row>
        <row r="138">
          <cell r="A138" t="str">
            <v>CIVLA</v>
          </cell>
          <cell r="B138" t="str">
            <v>101-00005-005-1239</v>
          </cell>
          <cell r="J138">
            <v>10283</v>
          </cell>
        </row>
        <row r="139">
          <cell r="A139" t="str">
            <v>CIVLA</v>
          </cell>
          <cell r="B139" t="str">
            <v>101-00005-005-1613</v>
          </cell>
          <cell r="J139">
            <v>5306.4</v>
          </cell>
        </row>
        <row r="140">
          <cell r="A140" t="str">
            <v>CIVLA</v>
          </cell>
          <cell r="B140" t="str">
            <v>101-00005-005-2543</v>
          </cell>
          <cell r="J140">
            <v>3400</v>
          </cell>
        </row>
        <row r="141">
          <cell r="A141" t="str">
            <v>CIVLA</v>
          </cell>
          <cell r="B141" t="str">
            <v>101-00005-010-0000</v>
          </cell>
          <cell r="J141">
            <v>1782689.14</v>
          </cell>
        </row>
        <row r="142">
          <cell r="A142" t="str">
            <v>CIVLA</v>
          </cell>
          <cell r="B142" t="str">
            <v>101-00005-010-0251</v>
          </cell>
          <cell r="J142">
            <v>4809</v>
          </cell>
        </row>
        <row r="143">
          <cell r="A143" t="str">
            <v>CIVLA</v>
          </cell>
          <cell r="B143" t="str">
            <v>101-00005-010-1160</v>
          </cell>
          <cell r="J143">
            <v>408709.69</v>
          </cell>
        </row>
        <row r="144">
          <cell r="A144" t="str">
            <v>CIVLA</v>
          </cell>
          <cell r="B144" t="str">
            <v>101-00005-010-2568</v>
          </cell>
          <cell r="J144">
            <v>322633.34999999998</v>
          </cell>
        </row>
        <row r="145">
          <cell r="A145" t="str">
            <v>CIVLA</v>
          </cell>
          <cell r="B145" t="str">
            <v>101-00005-010-2569</v>
          </cell>
          <cell r="J145">
            <v>1011110.1</v>
          </cell>
        </row>
        <row r="146">
          <cell r="A146" t="str">
            <v>CIVLA</v>
          </cell>
          <cell r="B146" t="str">
            <v>101-00005-010-3128</v>
          </cell>
          <cell r="J146">
            <v>35427</v>
          </cell>
        </row>
        <row r="147">
          <cell r="A147" t="str">
            <v>CIVLA</v>
          </cell>
          <cell r="B147" t="str">
            <v>101-00006-000-0000</v>
          </cell>
          <cell r="J147">
            <v>1588145.9</v>
          </cell>
        </row>
        <row r="148">
          <cell r="A148" t="str">
            <v>CIVLA</v>
          </cell>
          <cell r="B148" t="str">
            <v>101-00006-001-0000</v>
          </cell>
          <cell r="J148">
            <v>1094899.77</v>
          </cell>
        </row>
        <row r="149">
          <cell r="A149" t="str">
            <v>CIVLA</v>
          </cell>
          <cell r="B149" t="str">
            <v>101-00006-001-0013</v>
          </cell>
          <cell r="J149">
            <v>262.17</v>
          </cell>
        </row>
        <row r="150">
          <cell r="A150" t="str">
            <v>CIVLA</v>
          </cell>
          <cell r="B150" t="str">
            <v>101-00006-001-0029</v>
          </cell>
          <cell r="J150">
            <v>0.01</v>
          </cell>
        </row>
        <row r="151">
          <cell r="A151" t="str">
            <v>CIVLA</v>
          </cell>
          <cell r="B151" t="str">
            <v>101-00006-001-0033</v>
          </cell>
          <cell r="J151">
            <v>26725.05</v>
          </cell>
        </row>
        <row r="152">
          <cell r="A152" t="str">
            <v>CIVLA</v>
          </cell>
          <cell r="B152" t="str">
            <v>101-00006-001-0089</v>
          </cell>
          <cell r="J152">
            <v>3809.78</v>
          </cell>
        </row>
        <row r="153">
          <cell r="A153" t="str">
            <v>CIVLA</v>
          </cell>
          <cell r="B153" t="str">
            <v>101-00006-001-0218</v>
          </cell>
          <cell r="J153">
            <v>3164.33</v>
          </cell>
        </row>
        <row r="154">
          <cell r="A154" t="str">
            <v>CIVLA</v>
          </cell>
          <cell r="B154" t="str">
            <v>101-00006-001-0424</v>
          </cell>
          <cell r="J154">
            <v>-0.2</v>
          </cell>
        </row>
        <row r="155">
          <cell r="A155" t="str">
            <v>CIVLA</v>
          </cell>
          <cell r="B155" t="str">
            <v>101-00006-001-0505</v>
          </cell>
          <cell r="J155">
            <v>26400</v>
          </cell>
        </row>
        <row r="156">
          <cell r="A156" t="str">
            <v>CIVLA</v>
          </cell>
          <cell r="B156" t="str">
            <v>101-00006-001-0549</v>
          </cell>
          <cell r="J156">
            <v>485</v>
          </cell>
        </row>
        <row r="157">
          <cell r="A157" t="str">
            <v>CIVLA</v>
          </cell>
          <cell r="B157" t="str">
            <v>101-00006-001-0698</v>
          </cell>
          <cell r="J157">
            <v>162730.43</v>
          </cell>
        </row>
        <row r="158">
          <cell r="A158" t="str">
            <v>CIVLA</v>
          </cell>
          <cell r="B158" t="str">
            <v>101-00006-001-0711</v>
          </cell>
          <cell r="J158">
            <v>162.5</v>
          </cell>
        </row>
        <row r="159">
          <cell r="A159" t="str">
            <v>CIVLA</v>
          </cell>
          <cell r="B159" t="str">
            <v>101-00006-001-1088</v>
          </cell>
          <cell r="J159">
            <v>629</v>
          </cell>
        </row>
        <row r="160">
          <cell r="A160" t="str">
            <v>CIVLA</v>
          </cell>
          <cell r="B160" t="str">
            <v>101-00006-001-1099</v>
          </cell>
          <cell r="J160">
            <v>116</v>
          </cell>
        </row>
        <row r="161">
          <cell r="A161" t="str">
            <v>CIVLA</v>
          </cell>
          <cell r="B161" t="str">
            <v>101-00006-001-1256</v>
          </cell>
          <cell r="J161">
            <v>680.53</v>
          </cell>
        </row>
        <row r="162">
          <cell r="A162" t="str">
            <v>CIVLA</v>
          </cell>
          <cell r="B162" t="str">
            <v>101-00006-001-1392</v>
          </cell>
          <cell r="J162">
            <v>3285.76</v>
          </cell>
        </row>
        <row r="163">
          <cell r="A163" t="str">
            <v>CIVLA</v>
          </cell>
          <cell r="B163" t="str">
            <v>101-00006-001-1507</v>
          </cell>
          <cell r="J163">
            <v>30125.200000000001</v>
          </cell>
        </row>
        <row r="164">
          <cell r="A164" t="str">
            <v>CIVLA</v>
          </cell>
          <cell r="B164" t="str">
            <v>101-00006-001-1647</v>
          </cell>
          <cell r="J164">
            <v>19430</v>
          </cell>
        </row>
        <row r="165">
          <cell r="A165" t="str">
            <v>CIVLA</v>
          </cell>
          <cell r="B165" t="str">
            <v>101-00006-001-1656</v>
          </cell>
          <cell r="J165">
            <v>0</v>
          </cell>
        </row>
        <row r="166">
          <cell r="A166" t="str">
            <v>CIVLA</v>
          </cell>
          <cell r="B166" t="str">
            <v>101-00006-001-1846</v>
          </cell>
          <cell r="J166">
            <v>8294</v>
          </cell>
        </row>
        <row r="167">
          <cell r="A167" t="str">
            <v>CIVLA</v>
          </cell>
          <cell r="B167" t="str">
            <v>101-00006-001-1861</v>
          </cell>
          <cell r="J167">
            <v>0</v>
          </cell>
        </row>
        <row r="168">
          <cell r="A168" t="str">
            <v>CIVLA</v>
          </cell>
          <cell r="B168" t="str">
            <v>101-00006-001-1880</v>
          </cell>
          <cell r="J168">
            <v>9225.1200000000008</v>
          </cell>
        </row>
        <row r="169">
          <cell r="A169" t="str">
            <v>CIVLA</v>
          </cell>
          <cell r="B169" t="str">
            <v>101-00006-001-2329</v>
          </cell>
          <cell r="J169">
            <v>0</v>
          </cell>
        </row>
        <row r="170">
          <cell r="A170" t="str">
            <v>CIVLA</v>
          </cell>
          <cell r="B170" t="str">
            <v>101-00006-001-2578</v>
          </cell>
          <cell r="J170">
            <v>4002</v>
          </cell>
        </row>
        <row r="171">
          <cell r="A171" t="str">
            <v>CIVLA</v>
          </cell>
          <cell r="B171" t="str">
            <v>101-00006-001-2595</v>
          </cell>
          <cell r="J171">
            <v>0</v>
          </cell>
        </row>
        <row r="172">
          <cell r="A172" t="str">
            <v>CIVLA</v>
          </cell>
          <cell r="B172" t="str">
            <v>101-00006-001-2596</v>
          </cell>
          <cell r="J172">
            <v>0</v>
          </cell>
        </row>
        <row r="173">
          <cell r="A173" t="str">
            <v>CIVLA</v>
          </cell>
          <cell r="B173" t="str">
            <v>101-00006-001-2602</v>
          </cell>
          <cell r="J173">
            <v>710367</v>
          </cell>
        </row>
        <row r="174">
          <cell r="A174" t="str">
            <v>CIVLA</v>
          </cell>
          <cell r="B174" t="str">
            <v>101-00006-001-2615</v>
          </cell>
          <cell r="J174">
            <v>0.49</v>
          </cell>
        </row>
        <row r="175">
          <cell r="A175" t="str">
            <v>CIVLA</v>
          </cell>
          <cell r="B175" t="str">
            <v>101-00006-001-2766</v>
          </cell>
          <cell r="J175">
            <v>0</v>
          </cell>
        </row>
        <row r="176">
          <cell r="A176" t="str">
            <v>CIVLA</v>
          </cell>
          <cell r="B176" t="str">
            <v>101-00006-001-2794</v>
          </cell>
          <cell r="J176">
            <v>18020.599999999999</v>
          </cell>
        </row>
        <row r="177">
          <cell r="A177" t="str">
            <v>CIVLA</v>
          </cell>
          <cell r="B177" t="str">
            <v>101-00006-001-2798</v>
          </cell>
          <cell r="J177">
            <v>3020</v>
          </cell>
        </row>
        <row r="178">
          <cell r="A178" t="str">
            <v>CIVLA</v>
          </cell>
          <cell r="B178" t="str">
            <v>101-00006-001-2895</v>
          </cell>
          <cell r="J178">
            <v>0</v>
          </cell>
        </row>
        <row r="179">
          <cell r="A179" t="str">
            <v>CIVLA</v>
          </cell>
          <cell r="B179" t="str">
            <v>101-00006-001-3304</v>
          </cell>
          <cell r="J179">
            <v>5095</v>
          </cell>
        </row>
        <row r="180">
          <cell r="A180" t="str">
            <v>CIVLA</v>
          </cell>
          <cell r="B180" t="str">
            <v>101-00006-001-3308</v>
          </cell>
          <cell r="J180">
            <v>58870</v>
          </cell>
        </row>
        <row r="181">
          <cell r="A181" t="str">
            <v>CIVLA</v>
          </cell>
          <cell r="B181" t="str">
            <v>101-00006-002-0000</v>
          </cell>
          <cell r="J181">
            <v>493246.13</v>
          </cell>
        </row>
        <row r="182">
          <cell r="A182" t="str">
            <v>CIVLA</v>
          </cell>
          <cell r="B182" t="str">
            <v>101-00006-002-0380</v>
          </cell>
          <cell r="J182">
            <v>0</v>
          </cell>
        </row>
        <row r="183">
          <cell r="A183" t="str">
            <v>CIVLA</v>
          </cell>
          <cell r="B183" t="str">
            <v>101-00006-002-1391</v>
          </cell>
          <cell r="J183">
            <v>72545.399999999994</v>
          </cell>
        </row>
        <row r="184">
          <cell r="A184" t="str">
            <v>CIVLA</v>
          </cell>
          <cell r="B184" t="str">
            <v>101-00006-002-1502</v>
          </cell>
          <cell r="J184">
            <v>420700.73</v>
          </cell>
        </row>
        <row r="185">
          <cell r="A185" t="str">
            <v>CIVLA</v>
          </cell>
          <cell r="B185" t="str">
            <v>101-00007-000-0000</v>
          </cell>
          <cell r="J185">
            <v>34573059.369999997</v>
          </cell>
        </row>
        <row r="186">
          <cell r="A186" t="str">
            <v>CIVLA</v>
          </cell>
          <cell r="B186" t="str">
            <v>101-00007-010-0000</v>
          </cell>
          <cell r="J186">
            <v>12903432.24</v>
          </cell>
        </row>
        <row r="187">
          <cell r="A187" t="str">
            <v>CIVLA</v>
          </cell>
          <cell r="B187" t="str">
            <v>101-00007-020-0000</v>
          </cell>
          <cell r="J187">
            <v>-2433478.14</v>
          </cell>
        </row>
        <row r="188">
          <cell r="A188" t="str">
            <v>CIVLA</v>
          </cell>
          <cell r="B188" t="str">
            <v>101-00007-030-0000</v>
          </cell>
          <cell r="J188">
            <v>6028819.2400000002</v>
          </cell>
        </row>
        <row r="189">
          <cell r="A189" t="str">
            <v>CIVLA</v>
          </cell>
          <cell r="B189" t="str">
            <v>101-00007-050-0000</v>
          </cell>
          <cell r="J189">
            <v>19538048.93</v>
          </cell>
        </row>
        <row r="190">
          <cell r="A190" t="str">
            <v>CIVLA</v>
          </cell>
          <cell r="B190" t="str">
            <v>101-00007-060-0000</v>
          </cell>
          <cell r="J190">
            <v>-505289.73</v>
          </cell>
        </row>
        <row r="191">
          <cell r="A191" t="str">
            <v>CIVLA</v>
          </cell>
          <cell r="B191" t="str">
            <v>101-00007-070-0000</v>
          </cell>
          <cell r="J191">
            <v>-958473.17</v>
          </cell>
        </row>
        <row r="192">
          <cell r="A192" t="str">
            <v>CIVLA</v>
          </cell>
          <cell r="B192" t="str">
            <v>101-00008-000-0000</v>
          </cell>
          <cell r="J192">
            <v>501132.44</v>
          </cell>
        </row>
        <row r="193">
          <cell r="A193" t="str">
            <v>CIVLA</v>
          </cell>
          <cell r="B193" t="str">
            <v>101-00008-001-0000</v>
          </cell>
          <cell r="J193">
            <v>1034.44</v>
          </cell>
        </row>
        <row r="194">
          <cell r="A194" t="str">
            <v>CIVLA</v>
          </cell>
          <cell r="B194" t="str">
            <v>101-00008-002-0000</v>
          </cell>
          <cell r="J194">
            <v>500098</v>
          </cell>
        </row>
        <row r="195">
          <cell r="A195" t="str">
            <v>CIVLA</v>
          </cell>
          <cell r="B195" t="str">
            <v>101-00009-000-0000</v>
          </cell>
          <cell r="J195">
            <v>375601</v>
          </cell>
        </row>
        <row r="196">
          <cell r="A196" t="str">
            <v>CIVLA</v>
          </cell>
          <cell r="B196" t="str">
            <v>101-00009-006-0000</v>
          </cell>
          <cell r="J196">
            <v>375601</v>
          </cell>
        </row>
        <row r="197">
          <cell r="A197" t="str">
            <v>CIVLA</v>
          </cell>
          <cell r="B197" t="str">
            <v>101-00010-000-0000</v>
          </cell>
          <cell r="J197">
            <v>8155540.5800000001</v>
          </cell>
        </row>
        <row r="198">
          <cell r="A198" t="str">
            <v>CIVLA</v>
          </cell>
          <cell r="B198" t="str">
            <v>101-00010-001-0000</v>
          </cell>
          <cell r="J198">
            <v>7826031.21</v>
          </cell>
        </row>
        <row r="199">
          <cell r="A199" t="str">
            <v>CIVLA</v>
          </cell>
          <cell r="B199" t="str">
            <v>101-00010-002-0000</v>
          </cell>
          <cell r="J199">
            <v>329509.37</v>
          </cell>
        </row>
        <row r="200">
          <cell r="A200" t="str">
            <v>CIVLA</v>
          </cell>
          <cell r="B200" t="str">
            <v>101-00011-000-0000</v>
          </cell>
          <cell r="J200">
            <v>3409104.09</v>
          </cell>
        </row>
        <row r="201">
          <cell r="A201" t="str">
            <v>CIVLA</v>
          </cell>
          <cell r="B201" t="str">
            <v>101-00011-001-0000</v>
          </cell>
          <cell r="J201">
            <v>2867457.55</v>
          </cell>
        </row>
        <row r="202">
          <cell r="A202" t="str">
            <v>CIVLA</v>
          </cell>
          <cell r="B202" t="str">
            <v>101-00011-002-0000</v>
          </cell>
          <cell r="J202">
            <v>541646.54</v>
          </cell>
        </row>
        <row r="203">
          <cell r="A203" t="str">
            <v>CIVLA</v>
          </cell>
          <cell r="B203" t="str">
            <v>101-00014-000-0000</v>
          </cell>
          <cell r="J203">
            <v>23923479.73</v>
          </cell>
        </row>
        <row r="204">
          <cell r="A204" t="str">
            <v>CIVLA</v>
          </cell>
          <cell r="B204" t="str">
            <v>101-00014-010-0000</v>
          </cell>
          <cell r="J204">
            <v>3106575.41</v>
          </cell>
        </row>
        <row r="205">
          <cell r="A205" t="str">
            <v>CIVLA</v>
          </cell>
          <cell r="B205" t="str">
            <v>101-00014-020-0000</v>
          </cell>
          <cell r="J205">
            <v>2157050.25</v>
          </cell>
        </row>
        <row r="206">
          <cell r="A206" t="str">
            <v>CIVLA</v>
          </cell>
          <cell r="B206" t="str">
            <v>101-00014-030-0000</v>
          </cell>
          <cell r="J206">
            <v>37749.99</v>
          </cell>
        </row>
        <row r="207">
          <cell r="A207" t="str">
            <v>CIVLA</v>
          </cell>
          <cell r="B207" t="str">
            <v>101-00014-050-0000</v>
          </cell>
          <cell r="J207">
            <v>12311155.960000001</v>
          </cell>
        </row>
        <row r="208">
          <cell r="A208" t="str">
            <v>CIVLA</v>
          </cell>
          <cell r="B208" t="str">
            <v>101-00014-060-0000</v>
          </cell>
          <cell r="J208">
            <v>2126073.13</v>
          </cell>
        </row>
        <row r="209">
          <cell r="A209" t="str">
            <v>CIVLA</v>
          </cell>
          <cell r="B209" t="str">
            <v>101-00014-070-0000</v>
          </cell>
          <cell r="J209">
            <v>4184874.99</v>
          </cell>
        </row>
        <row r="210">
          <cell r="A210" t="str">
            <v>CIVLA</v>
          </cell>
          <cell r="B210" t="str">
            <v>101-00015-000-0000</v>
          </cell>
          <cell r="J210">
            <v>4850739.0599999996</v>
          </cell>
        </row>
        <row r="211">
          <cell r="A211" t="str">
            <v>CIVLA</v>
          </cell>
          <cell r="B211" t="str">
            <v>101-00015-001-0000</v>
          </cell>
          <cell r="J211">
            <v>4850739.0599999996</v>
          </cell>
        </row>
        <row r="212">
          <cell r="A212" t="str">
            <v>CIVLA</v>
          </cell>
          <cell r="B212" t="str">
            <v>101-00015-001-0467</v>
          </cell>
          <cell r="J212">
            <v>143228</v>
          </cell>
        </row>
        <row r="213">
          <cell r="A213" t="str">
            <v>CIVLA</v>
          </cell>
          <cell r="B213" t="str">
            <v>101-00015-001-1127</v>
          </cell>
          <cell r="J213">
            <v>885394.8</v>
          </cell>
        </row>
        <row r="214">
          <cell r="A214" t="str">
            <v>CIVLA</v>
          </cell>
          <cell r="B214" t="str">
            <v>101-00015-001-1144</v>
          </cell>
          <cell r="J214">
            <v>10000</v>
          </cell>
        </row>
        <row r="215">
          <cell r="A215" t="str">
            <v>CIVLA</v>
          </cell>
          <cell r="B215" t="str">
            <v>101-00015-001-1149</v>
          </cell>
          <cell r="J215">
            <v>1225000</v>
          </cell>
        </row>
        <row r="216">
          <cell r="A216" t="str">
            <v>CIVLA</v>
          </cell>
          <cell r="B216" t="str">
            <v>101-00015-001-1603</v>
          </cell>
          <cell r="J216">
            <v>26000</v>
          </cell>
        </row>
        <row r="217">
          <cell r="A217" t="str">
            <v>CIVLA</v>
          </cell>
          <cell r="B217" t="str">
            <v>101-00015-001-1626</v>
          </cell>
          <cell r="J217">
            <v>2158.7600000000002</v>
          </cell>
        </row>
        <row r="218">
          <cell r="A218" t="str">
            <v>CIVLA</v>
          </cell>
          <cell r="B218" t="str">
            <v>101-00015-001-2300</v>
          </cell>
          <cell r="J218">
            <v>302407.90000000002</v>
          </cell>
        </row>
        <row r="219">
          <cell r="A219" t="str">
            <v>CIVLA</v>
          </cell>
          <cell r="B219" t="str">
            <v>101-00015-001-2305</v>
          </cell>
          <cell r="J219">
            <v>2000000</v>
          </cell>
        </row>
        <row r="220">
          <cell r="A220" t="str">
            <v>CIVLA</v>
          </cell>
          <cell r="B220" t="str">
            <v>101-00015-001-2872</v>
          </cell>
          <cell r="J220">
            <v>256549.6</v>
          </cell>
        </row>
        <row r="221">
          <cell r="A221" t="str">
            <v>CIVLA</v>
          </cell>
          <cell r="B221" t="str">
            <v>102-00000-000-0000</v>
          </cell>
          <cell r="J221">
            <v>3916856.43</v>
          </cell>
        </row>
        <row r="222">
          <cell r="A222" t="str">
            <v>CIVLA</v>
          </cell>
          <cell r="B222" t="str">
            <v>102-00001-000-0000</v>
          </cell>
          <cell r="J222">
            <v>206417.35</v>
          </cell>
        </row>
        <row r="223">
          <cell r="A223" t="str">
            <v>CIVLA</v>
          </cell>
          <cell r="B223" t="str">
            <v>102-00001-001-0000</v>
          </cell>
          <cell r="J223">
            <v>810509.21</v>
          </cell>
        </row>
        <row r="224">
          <cell r="A224" t="str">
            <v>CIVLA</v>
          </cell>
          <cell r="B224" t="str">
            <v>102-00001-002-0000</v>
          </cell>
          <cell r="J224">
            <v>-604091.86</v>
          </cell>
        </row>
        <row r="225">
          <cell r="A225" t="str">
            <v>CIVLA</v>
          </cell>
          <cell r="B225" t="str">
            <v>102-00002-000-0000</v>
          </cell>
          <cell r="J225">
            <v>1862718.12</v>
          </cell>
        </row>
        <row r="226">
          <cell r="A226" t="str">
            <v>CIVLA</v>
          </cell>
          <cell r="B226" t="str">
            <v>102-00002-001-0000</v>
          </cell>
          <cell r="J226">
            <v>6012478.0300000003</v>
          </cell>
        </row>
        <row r="227">
          <cell r="A227" t="str">
            <v>CIVLA</v>
          </cell>
          <cell r="B227" t="str">
            <v>102-00002-002-0000</v>
          </cell>
          <cell r="J227">
            <v>-4149759.91</v>
          </cell>
        </row>
        <row r="228">
          <cell r="A228" t="str">
            <v>CIVLA</v>
          </cell>
          <cell r="B228" t="str">
            <v>102-00003-000-0000</v>
          </cell>
          <cell r="J228">
            <v>1064776.5</v>
          </cell>
        </row>
        <row r="229">
          <cell r="A229" t="str">
            <v>CIVLA</v>
          </cell>
          <cell r="B229" t="str">
            <v>102-00003-001-0000</v>
          </cell>
          <cell r="J229">
            <v>7840622.2199999997</v>
          </cell>
        </row>
        <row r="230">
          <cell r="A230" t="str">
            <v>CIVLA</v>
          </cell>
          <cell r="B230" t="str">
            <v>102-00003-002-0000</v>
          </cell>
          <cell r="J230">
            <v>-6775845.7199999997</v>
          </cell>
        </row>
        <row r="231">
          <cell r="A231" t="str">
            <v>CIVLA</v>
          </cell>
          <cell r="B231" t="str">
            <v>102-00004-000-0000</v>
          </cell>
          <cell r="J231">
            <v>666673.5</v>
          </cell>
        </row>
        <row r="232">
          <cell r="A232" t="str">
            <v>CIVLA</v>
          </cell>
          <cell r="B232" t="str">
            <v>102-00004-001-0000</v>
          </cell>
          <cell r="J232">
            <v>3711254.09</v>
          </cell>
        </row>
        <row r="233">
          <cell r="A233" t="str">
            <v>CIVLA</v>
          </cell>
          <cell r="B233" t="str">
            <v>102-00004-002-0000</v>
          </cell>
          <cell r="J233">
            <v>-3044580.59</v>
          </cell>
        </row>
        <row r="234">
          <cell r="A234" t="str">
            <v>CIVLA</v>
          </cell>
          <cell r="B234" t="str">
            <v>102-00006-001-0000</v>
          </cell>
          <cell r="J234">
            <v>1883407.33</v>
          </cell>
        </row>
        <row r="235">
          <cell r="A235" t="str">
            <v>CIVLA</v>
          </cell>
          <cell r="B235" t="str">
            <v>102-00006-002-0000</v>
          </cell>
          <cell r="J235">
            <v>-1883407.33</v>
          </cell>
        </row>
        <row r="236">
          <cell r="A236" t="str">
            <v>CIVLA</v>
          </cell>
          <cell r="B236" t="str">
            <v>102-00007-001-0000</v>
          </cell>
          <cell r="J236">
            <v>480704.64</v>
          </cell>
        </row>
        <row r="237">
          <cell r="A237" t="str">
            <v>CIVLA</v>
          </cell>
          <cell r="B237" t="str">
            <v>102-00007-002-0000</v>
          </cell>
          <cell r="J237">
            <v>-480704.64</v>
          </cell>
        </row>
        <row r="238">
          <cell r="A238" t="str">
            <v>CIVLA</v>
          </cell>
          <cell r="B238" t="str">
            <v>102-00015-000-0000</v>
          </cell>
          <cell r="J238">
            <v>116270.96</v>
          </cell>
        </row>
        <row r="239">
          <cell r="A239" t="str">
            <v>CIVLA</v>
          </cell>
          <cell r="B239" t="str">
            <v>102-00015-001-0000</v>
          </cell>
          <cell r="J239">
            <v>116270.96</v>
          </cell>
        </row>
        <row r="240">
          <cell r="A240" t="str">
            <v>CIVLA</v>
          </cell>
          <cell r="B240" t="str">
            <v>102-00015-001-0224</v>
          </cell>
          <cell r="J240">
            <v>13922.06</v>
          </cell>
        </row>
        <row r="241">
          <cell r="A241" t="str">
            <v>CIVLA</v>
          </cell>
          <cell r="B241" t="str">
            <v>102-00015-001-0443</v>
          </cell>
          <cell r="J241">
            <v>32149</v>
          </cell>
        </row>
        <row r="242">
          <cell r="A242" t="str">
            <v>CIVLA</v>
          </cell>
          <cell r="B242" t="str">
            <v>102-00015-001-0658</v>
          </cell>
          <cell r="J242">
            <v>70199.899999999994</v>
          </cell>
        </row>
        <row r="243">
          <cell r="A243" t="str">
            <v>CIVLA</v>
          </cell>
          <cell r="B243" t="str">
            <v>103-00000-000-0000</v>
          </cell>
          <cell r="J243">
            <v>15109822.92</v>
          </cell>
        </row>
        <row r="244">
          <cell r="A244" t="str">
            <v>CIVLA</v>
          </cell>
          <cell r="B244" t="str">
            <v>103-00001-000-0000</v>
          </cell>
          <cell r="J244">
            <v>7000660.21</v>
          </cell>
        </row>
        <row r="245">
          <cell r="A245" t="str">
            <v>CIVLA</v>
          </cell>
          <cell r="B245" t="str">
            <v>103-00001-001-0000</v>
          </cell>
          <cell r="J245">
            <v>8256957.0300000003</v>
          </cell>
        </row>
        <row r="246">
          <cell r="A246" t="str">
            <v>CIVLA</v>
          </cell>
          <cell r="B246" t="str">
            <v>103-00001-002-0000</v>
          </cell>
          <cell r="J246">
            <v>-1256296.82</v>
          </cell>
        </row>
        <row r="247">
          <cell r="A247" t="str">
            <v>CIVLA</v>
          </cell>
          <cell r="B247" t="str">
            <v>103-00002-000-0000</v>
          </cell>
          <cell r="J247">
            <v>8109162.71</v>
          </cell>
        </row>
        <row r="248">
          <cell r="A248" t="str">
            <v>CIVLA</v>
          </cell>
          <cell r="B248" t="str">
            <v>103-00002-002-0000</v>
          </cell>
          <cell r="J248">
            <v>8109162.71</v>
          </cell>
        </row>
        <row r="249">
          <cell r="A249" t="str">
            <v>CIVLA</v>
          </cell>
          <cell r="B249" t="str">
            <v>201-00000-000-0000</v>
          </cell>
          <cell r="J249">
            <v>-60872791.719999999</v>
          </cell>
        </row>
        <row r="250">
          <cell r="A250" t="str">
            <v>CIVLA</v>
          </cell>
          <cell r="B250" t="str">
            <v>201-00001-000-0000</v>
          </cell>
          <cell r="J250">
            <v>-125268.95</v>
          </cell>
        </row>
        <row r="251">
          <cell r="A251" t="str">
            <v>CIVLA</v>
          </cell>
          <cell r="B251" t="str">
            <v>201-00001-004-0000</v>
          </cell>
          <cell r="J251">
            <v>-125268.95</v>
          </cell>
        </row>
        <row r="252">
          <cell r="A252" t="str">
            <v>CIVLA</v>
          </cell>
          <cell r="B252" t="str">
            <v>201-00001-004-0002</v>
          </cell>
          <cell r="J252">
            <v>-125268.95</v>
          </cell>
        </row>
        <row r="253">
          <cell r="A253" t="str">
            <v>CIVLA</v>
          </cell>
          <cell r="B253" t="str">
            <v>201-00002-000-0000</v>
          </cell>
          <cell r="J253">
            <v>-37334494.5</v>
          </cell>
        </row>
        <row r="254">
          <cell r="A254" t="str">
            <v>CIVLA</v>
          </cell>
          <cell r="B254" t="str">
            <v>201-00002-001-0000</v>
          </cell>
          <cell r="J254">
            <v>-19435204.640000001</v>
          </cell>
        </row>
        <row r="255">
          <cell r="A255" t="str">
            <v>CIVLA</v>
          </cell>
          <cell r="B255" t="str">
            <v>201-00002-001-0089</v>
          </cell>
          <cell r="J255">
            <v>-30498.01</v>
          </cell>
        </row>
        <row r="256">
          <cell r="A256" t="str">
            <v>CIVLA</v>
          </cell>
          <cell r="B256" t="str">
            <v>201-00002-001-0813</v>
          </cell>
          <cell r="J256">
            <v>-3057193.05</v>
          </cell>
        </row>
        <row r="257">
          <cell r="A257" t="str">
            <v>CIVLA</v>
          </cell>
          <cell r="B257" t="str">
            <v>201-00002-001-1144</v>
          </cell>
          <cell r="J257">
            <v>-8904000</v>
          </cell>
        </row>
        <row r="258">
          <cell r="A258" t="str">
            <v>CIVLA</v>
          </cell>
          <cell r="B258" t="str">
            <v>201-00002-001-1404</v>
          </cell>
          <cell r="J258">
            <v>-6561241</v>
          </cell>
        </row>
        <row r="259">
          <cell r="A259" t="str">
            <v>CIVLA</v>
          </cell>
          <cell r="B259" t="str">
            <v>201-00002-001-2353</v>
          </cell>
          <cell r="J259">
            <v>-477710</v>
          </cell>
        </row>
        <row r="260">
          <cell r="A260" t="str">
            <v>CIVLA</v>
          </cell>
          <cell r="B260" t="str">
            <v>201-00002-001-2354</v>
          </cell>
          <cell r="J260">
            <v>-95543.99</v>
          </cell>
        </row>
        <row r="261">
          <cell r="A261" t="str">
            <v>CIVLA</v>
          </cell>
          <cell r="B261" t="str">
            <v>201-00002-001-2367</v>
          </cell>
          <cell r="J261">
            <v>-17196.93</v>
          </cell>
        </row>
        <row r="262">
          <cell r="A262" t="str">
            <v>CIVLA</v>
          </cell>
          <cell r="B262" t="str">
            <v>201-00002-001-2554</v>
          </cell>
          <cell r="J262">
            <v>-6612</v>
          </cell>
        </row>
        <row r="263">
          <cell r="A263" t="str">
            <v>CIVLA</v>
          </cell>
          <cell r="B263" t="str">
            <v>201-00002-001-2918</v>
          </cell>
          <cell r="J263">
            <v>-257313.63</v>
          </cell>
        </row>
        <row r="264">
          <cell r="A264" t="str">
            <v>CIVLA</v>
          </cell>
          <cell r="B264" t="str">
            <v>201-00002-001-3335</v>
          </cell>
          <cell r="J264">
            <v>-27896.03</v>
          </cell>
        </row>
        <row r="265">
          <cell r="A265" t="str">
            <v>CIVLA</v>
          </cell>
          <cell r="B265" t="str">
            <v>201-00002-002-0000</v>
          </cell>
          <cell r="J265">
            <v>-17899289.859999999</v>
          </cell>
        </row>
        <row r="266">
          <cell r="A266" t="str">
            <v>CIVLA</v>
          </cell>
          <cell r="B266" t="str">
            <v>201-00002-002-0007</v>
          </cell>
          <cell r="J266">
            <v>-0.01</v>
          </cell>
        </row>
        <row r="267">
          <cell r="A267" t="str">
            <v>CIVLA</v>
          </cell>
          <cell r="B267" t="str">
            <v>201-00002-002-0029</v>
          </cell>
          <cell r="J267">
            <v>0</v>
          </cell>
        </row>
        <row r="268">
          <cell r="A268" t="str">
            <v>CIVLA</v>
          </cell>
          <cell r="B268" t="str">
            <v>201-00002-002-0053</v>
          </cell>
          <cell r="J268">
            <v>-220419.13</v>
          </cell>
        </row>
        <row r="269">
          <cell r="A269" t="str">
            <v>CIVLA</v>
          </cell>
          <cell r="B269" t="str">
            <v>201-00002-002-0057</v>
          </cell>
          <cell r="J269">
            <v>-4283.88</v>
          </cell>
        </row>
        <row r="270">
          <cell r="A270" t="str">
            <v>CIVLA</v>
          </cell>
          <cell r="B270" t="str">
            <v>201-00002-002-0077</v>
          </cell>
          <cell r="J270">
            <v>-19430</v>
          </cell>
        </row>
        <row r="271">
          <cell r="A271" t="str">
            <v>CIVLA</v>
          </cell>
          <cell r="B271" t="str">
            <v>201-00002-002-0089</v>
          </cell>
          <cell r="J271">
            <v>-0.74</v>
          </cell>
        </row>
        <row r="272">
          <cell r="A272" t="str">
            <v>CIVLA</v>
          </cell>
          <cell r="B272" t="str">
            <v>201-00002-002-0092</v>
          </cell>
          <cell r="J272">
            <v>-14247.84</v>
          </cell>
        </row>
        <row r="273">
          <cell r="A273" t="str">
            <v>CIVLA</v>
          </cell>
          <cell r="B273" t="str">
            <v>201-00002-002-0095</v>
          </cell>
          <cell r="J273">
            <v>-11600</v>
          </cell>
        </row>
        <row r="274">
          <cell r="A274" t="str">
            <v>CIVLA</v>
          </cell>
          <cell r="B274" t="str">
            <v>201-00002-002-0144</v>
          </cell>
          <cell r="J274">
            <v>0</v>
          </cell>
        </row>
        <row r="275">
          <cell r="A275" t="str">
            <v>CIVLA</v>
          </cell>
          <cell r="B275" t="str">
            <v>201-00002-002-0267</v>
          </cell>
          <cell r="J275">
            <v>0</v>
          </cell>
        </row>
        <row r="276">
          <cell r="A276" t="str">
            <v>CIVLA</v>
          </cell>
          <cell r="B276" t="str">
            <v>201-00002-002-0306</v>
          </cell>
          <cell r="J276">
            <v>0</v>
          </cell>
        </row>
        <row r="277">
          <cell r="A277" t="str">
            <v>CIVLA</v>
          </cell>
          <cell r="B277" t="str">
            <v>201-00002-002-0317</v>
          </cell>
          <cell r="J277">
            <v>-0.01</v>
          </cell>
        </row>
        <row r="278">
          <cell r="A278" t="str">
            <v>CIVLA</v>
          </cell>
          <cell r="B278" t="str">
            <v>201-00002-002-0334</v>
          </cell>
          <cell r="J278">
            <v>-11808.8</v>
          </cell>
        </row>
        <row r="279">
          <cell r="A279" t="str">
            <v>CIVLA</v>
          </cell>
          <cell r="B279" t="str">
            <v>201-00002-002-0377</v>
          </cell>
          <cell r="J279">
            <v>0</v>
          </cell>
        </row>
        <row r="280">
          <cell r="A280" t="str">
            <v>CIVLA</v>
          </cell>
          <cell r="B280" t="str">
            <v>201-00002-002-0401</v>
          </cell>
          <cell r="J280">
            <v>0</v>
          </cell>
        </row>
        <row r="281">
          <cell r="A281" t="str">
            <v>CIVLA</v>
          </cell>
          <cell r="B281" t="str">
            <v>201-00002-002-0424</v>
          </cell>
          <cell r="J281">
            <v>-675.98</v>
          </cell>
        </row>
        <row r="282">
          <cell r="A282" t="str">
            <v>CIVLA</v>
          </cell>
          <cell r="B282" t="str">
            <v>201-00002-002-0443</v>
          </cell>
          <cell r="J282">
            <v>0</v>
          </cell>
        </row>
        <row r="283">
          <cell r="A283" t="str">
            <v>CIVLA</v>
          </cell>
          <cell r="B283" t="str">
            <v>201-00002-002-0463</v>
          </cell>
          <cell r="J283">
            <v>0</v>
          </cell>
        </row>
        <row r="284">
          <cell r="A284" t="str">
            <v>CIVLA</v>
          </cell>
          <cell r="B284" t="str">
            <v>201-00002-002-0468</v>
          </cell>
          <cell r="J284">
            <v>-19035</v>
          </cell>
        </row>
        <row r="285">
          <cell r="A285" t="str">
            <v>CIVLA</v>
          </cell>
          <cell r="B285" t="str">
            <v>201-00002-002-0494</v>
          </cell>
          <cell r="J285">
            <v>-348886.06</v>
          </cell>
        </row>
        <row r="286">
          <cell r="A286" t="str">
            <v>CIVLA</v>
          </cell>
          <cell r="B286" t="str">
            <v>201-00002-002-0520</v>
          </cell>
          <cell r="J286">
            <v>-45.63</v>
          </cell>
        </row>
        <row r="287">
          <cell r="A287" t="str">
            <v>CIVLA</v>
          </cell>
          <cell r="B287" t="str">
            <v>201-00002-002-0549</v>
          </cell>
          <cell r="J287">
            <v>0.01</v>
          </cell>
        </row>
        <row r="288">
          <cell r="A288" t="str">
            <v>CIVLA</v>
          </cell>
          <cell r="B288" t="str">
            <v>201-00002-002-0552</v>
          </cell>
          <cell r="J288">
            <v>-2700000</v>
          </cell>
        </row>
        <row r="289">
          <cell r="A289" t="str">
            <v>CIVLA</v>
          </cell>
          <cell r="B289" t="str">
            <v>201-00002-002-0659</v>
          </cell>
          <cell r="J289">
            <v>0</v>
          </cell>
        </row>
        <row r="290">
          <cell r="A290" t="str">
            <v>CIVLA</v>
          </cell>
          <cell r="B290" t="str">
            <v>201-00002-002-0687</v>
          </cell>
          <cell r="J290">
            <v>-49549.09</v>
          </cell>
        </row>
        <row r="291">
          <cell r="A291" t="str">
            <v>CIVLA</v>
          </cell>
          <cell r="B291" t="str">
            <v>201-00002-002-0698</v>
          </cell>
          <cell r="J291">
            <v>-3353.01</v>
          </cell>
        </row>
        <row r="292">
          <cell r="A292" t="str">
            <v>CIVLA</v>
          </cell>
          <cell r="B292" t="str">
            <v>201-00002-002-0711</v>
          </cell>
          <cell r="J292">
            <v>0</v>
          </cell>
        </row>
        <row r="293">
          <cell r="A293" t="str">
            <v>CIVLA</v>
          </cell>
          <cell r="B293" t="str">
            <v>201-00002-002-0727</v>
          </cell>
          <cell r="J293">
            <v>-3519</v>
          </cell>
        </row>
        <row r="294">
          <cell r="A294" t="str">
            <v>CIVLA</v>
          </cell>
          <cell r="B294" t="str">
            <v>201-00002-002-0728</v>
          </cell>
          <cell r="J294">
            <v>0</v>
          </cell>
        </row>
        <row r="295">
          <cell r="A295" t="str">
            <v>CIVLA</v>
          </cell>
          <cell r="B295" t="str">
            <v>201-00002-002-0800</v>
          </cell>
          <cell r="J295">
            <v>-691360</v>
          </cell>
        </row>
        <row r="296">
          <cell r="A296" t="str">
            <v>CIVLA</v>
          </cell>
          <cell r="B296" t="str">
            <v>201-00002-002-0823</v>
          </cell>
          <cell r="J296">
            <v>-28.87</v>
          </cell>
        </row>
        <row r="297">
          <cell r="A297" t="str">
            <v>CIVLA</v>
          </cell>
          <cell r="B297" t="str">
            <v>201-00002-002-1142</v>
          </cell>
          <cell r="J297">
            <v>-115278.48</v>
          </cell>
        </row>
        <row r="298">
          <cell r="A298" t="str">
            <v>CIVLA</v>
          </cell>
          <cell r="B298" t="str">
            <v>201-00002-002-1149</v>
          </cell>
          <cell r="J298">
            <v>-0.01</v>
          </cell>
        </row>
        <row r="299">
          <cell r="A299" t="str">
            <v>CIVLA</v>
          </cell>
          <cell r="B299" t="str">
            <v>201-00002-002-1160</v>
          </cell>
          <cell r="J299">
            <v>-228292.65</v>
          </cell>
        </row>
        <row r="300">
          <cell r="A300" t="str">
            <v>CIVLA</v>
          </cell>
          <cell r="B300" t="str">
            <v>201-00002-002-1256</v>
          </cell>
          <cell r="J300">
            <v>-1425.41</v>
          </cell>
        </row>
        <row r="301">
          <cell r="A301" t="str">
            <v>CIVLA</v>
          </cell>
          <cell r="B301" t="str">
            <v>201-00002-002-1257</v>
          </cell>
          <cell r="J301">
            <v>0</v>
          </cell>
        </row>
        <row r="302">
          <cell r="A302" t="str">
            <v>CIVLA</v>
          </cell>
          <cell r="B302" t="str">
            <v>201-00002-002-1317</v>
          </cell>
          <cell r="J302">
            <v>-131.25</v>
          </cell>
        </row>
        <row r="303">
          <cell r="A303" t="str">
            <v>CIVLA</v>
          </cell>
          <cell r="B303" t="str">
            <v>201-00002-002-1492</v>
          </cell>
          <cell r="J303">
            <v>-1348840</v>
          </cell>
        </row>
        <row r="304">
          <cell r="A304" t="str">
            <v>CIVLA</v>
          </cell>
          <cell r="B304" t="str">
            <v>201-00002-002-1507</v>
          </cell>
          <cell r="J304">
            <v>0</v>
          </cell>
        </row>
        <row r="305">
          <cell r="A305" t="str">
            <v>CIVLA</v>
          </cell>
          <cell r="B305" t="str">
            <v>201-00002-002-1629</v>
          </cell>
          <cell r="J305">
            <v>-871935.47</v>
          </cell>
        </row>
        <row r="306">
          <cell r="A306" t="str">
            <v>CIVLA</v>
          </cell>
          <cell r="B306" t="str">
            <v>201-00002-002-1649</v>
          </cell>
          <cell r="J306">
            <v>0</v>
          </cell>
        </row>
        <row r="307">
          <cell r="A307" t="str">
            <v>CIVLA</v>
          </cell>
          <cell r="B307" t="str">
            <v>201-00002-002-1651</v>
          </cell>
          <cell r="J307">
            <v>0</v>
          </cell>
        </row>
        <row r="308">
          <cell r="A308" t="str">
            <v>CIVLA</v>
          </cell>
          <cell r="B308" t="str">
            <v>201-00002-002-1656</v>
          </cell>
          <cell r="J308">
            <v>0</v>
          </cell>
        </row>
        <row r="309">
          <cell r="A309" t="str">
            <v>CIVLA</v>
          </cell>
          <cell r="B309" t="str">
            <v>201-00002-002-1838</v>
          </cell>
          <cell r="J309">
            <v>-270</v>
          </cell>
        </row>
        <row r="310">
          <cell r="A310" t="str">
            <v>CIVLA</v>
          </cell>
          <cell r="B310" t="str">
            <v>201-00002-002-1843</v>
          </cell>
          <cell r="J310">
            <v>-15776</v>
          </cell>
        </row>
        <row r="311">
          <cell r="A311" t="str">
            <v>CIVLA</v>
          </cell>
          <cell r="B311" t="str">
            <v>201-00002-002-1861</v>
          </cell>
          <cell r="J311">
            <v>0</v>
          </cell>
        </row>
        <row r="312">
          <cell r="A312" t="str">
            <v>CIVLA</v>
          </cell>
          <cell r="B312" t="str">
            <v>201-00002-002-1874</v>
          </cell>
          <cell r="J312">
            <v>-104400</v>
          </cell>
        </row>
        <row r="313">
          <cell r="A313" t="str">
            <v>CIVLA</v>
          </cell>
          <cell r="B313" t="str">
            <v>201-00002-002-2201</v>
          </cell>
          <cell r="J313">
            <v>-36000</v>
          </cell>
        </row>
        <row r="314">
          <cell r="A314" t="str">
            <v>CIVLA</v>
          </cell>
          <cell r="B314" t="str">
            <v>201-00002-002-2269</v>
          </cell>
          <cell r="J314">
            <v>0</v>
          </cell>
        </row>
        <row r="315">
          <cell r="A315" t="str">
            <v>CIVLA</v>
          </cell>
          <cell r="B315" t="str">
            <v>201-00002-002-2308</v>
          </cell>
          <cell r="J315">
            <v>-9249.0300000000007</v>
          </cell>
        </row>
        <row r="316">
          <cell r="A316" t="str">
            <v>CIVLA</v>
          </cell>
          <cell r="B316" t="str">
            <v>201-00002-002-2318</v>
          </cell>
          <cell r="J316">
            <v>-0.01</v>
          </cell>
        </row>
        <row r="317">
          <cell r="A317" t="str">
            <v>CIVLA</v>
          </cell>
          <cell r="B317" t="str">
            <v>201-00002-002-2326</v>
          </cell>
          <cell r="J317">
            <v>0.02</v>
          </cell>
        </row>
        <row r="318">
          <cell r="A318" t="str">
            <v>CIVLA</v>
          </cell>
          <cell r="B318" t="str">
            <v>201-00002-002-2329</v>
          </cell>
          <cell r="J318">
            <v>0</v>
          </cell>
        </row>
        <row r="319">
          <cell r="A319" t="str">
            <v>CIVLA</v>
          </cell>
          <cell r="B319" t="str">
            <v>201-00002-002-2544</v>
          </cell>
          <cell r="J319">
            <v>-3217346.27</v>
          </cell>
        </row>
        <row r="320">
          <cell r="A320" t="str">
            <v>CIVLA</v>
          </cell>
          <cell r="B320" t="str">
            <v>201-00002-002-2586</v>
          </cell>
          <cell r="J320">
            <v>-583.77</v>
          </cell>
        </row>
        <row r="321">
          <cell r="A321" t="str">
            <v>CIVLA</v>
          </cell>
          <cell r="B321" t="str">
            <v>201-00002-002-2595</v>
          </cell>
          <cell r="J321">
            <v>0</v>
          </cell>
        </row>
        <row r="322">
          <cell r="A322" t="str">
            <v>CIVLA</v>
          </cell>
          <cell r="B322" t="str">
            <v>201-00002-002-2602</v>
          </cell>
          <cell r="J322">
            <v>-5901</v>
          </cell>
        </row>
        <row r="323">
          <cell r="A323" t="str">
            <v>CIVLA</v>
          </cell>
          <cell r="B323" t="str">
            <v>201-00002-002-2615</v>
          </cell>
          <cell r="J323">
            <v>0</v>
          </cell>
        </row>
        <row r="324">
          <cell r="A324" t="str">
            <v>CIVLA</v>
          </cell>
          <cell r="B324" t="str">
            <v>201-00002-002-2730</v>
          </cell>
          <cell r="J324">
            <v>0</v>
          </cell>
        </row>
        <row r="325">
          <cell r="A325" t="str">
            <v>CIVLA</v>
          </cell>
          <cell r="B325" t="str">
            <v>201-00002-002-2752</v>
          </cell>
          <cell r="J325">
            <v>0</v>
          </cell>
        </row>
        <row r="326">
          <cell r="A326" t="str">
            <v>CIVLA</v>
          </cell>
          <cell r="B326" t="str">
            <v>201-00002-002-2762</v>
          </cell>
          <cell r="J326">
            <v>0</v>
          </cell>
        </row>
        <row r="327">
          <cell r="A327" t="str">
            <v>CIVLA</v>
          </cell>
          <cell r="B327" t="str">
            <v>201-00002-002-2766</v>
          </cell>
          <cell r="J327">
            <v>-0.01</v>
          </cell>
        </row>
        <row r="328">
          <cell r="A328" t="str">
            <v>CIVLA</v>
          </cell>
          <cell r="B328" t="str">
            <v>201-00002-002-2767</v>
          </cell>
          <cell r="J328">
            <v>-0.01</v>
          </cell>
        </row>
        <row r="329">
          <cell r="A329" t="str">
            <v>CIVLA</v>
          </cell>
          <cell r="B329" t="str">
            <v>201-00002-002-2779</v>
          </cell>
          <cell r="J329">
            <v>0</v>
          </cell>
        </row>
        <row r="330">
          <cell r="A330" t="str">
            <v>CIVLA</v>
          </cell>
          <cell r="B330" t="str">
            <v>201-00002-002-2798</v>
          </cell>
          <cell r="J330">
            <v>0</v>
          </cell>
        </row>
        <row r="331">
          <cell r="A331" t="str">
            <v>CIVLA</v>
          </cell>
          <cell r="B331" t="str">
            <v>201-00002-002-2834</v>
          </cell>
          <cell r="J331">
            <v>0.05</v>
          </cell>
        </row>
        <row r="332">
          <cell r="A332" t="str">
            <v>CIVLA</v>
          </cell>
          <cell r="B332" t="str">
            <v>201-00002-002-2845</v>
          </cell>
          <cell r="J332">
            <v>-2204</v>
          </cell>
        </row>
        <row r="333">
          <cell r="A333" t="str">
            <v>CIVLA</v>
          </cell>
          <cell r="B333" t="str">
            <v>201-00002-002-2867</v>
          </cell>
          <cell r="J333">
            <v>-142066.85999999999</v>
          </cell>
        </row>
        <row r="334">
          <cell r="A334" t="str">
            <v>CIVLA</v>
          </cell>
          <cell r="B334" t="str">
            <v>201-00002-002-2895</v>
          </cell>
          <cell r="J334">
            <v>0.2</v>
          </cell>
        </row>
        <row r="335">
          <cell r="A335" t="str">
            <v>CIVLA</v>
          </cell>
          <cell r="B335" t="str">
            <v>201-00002-002-3121</v>
          </cell>
          <cell r="J335">
            <v>-11586.87</v>
          </cell>
        </row>
        <row r="336">
          <cell r="A336" t="str">
            <v>CIVLA</v>
          </cell>
          <cell r="B336" t="str">
            <v>201-00002-002-3122</v>
          </cell>
          <cell r="J336">
            <v>0</v>
          </cell>
        </row>
        <row r="337">
          <cell r="A337" t="str">
            <v>CIVLA</v>
          </cell>
          <cell r="B337" t="str">
            <v>201-00002-002-3149</v>
          </cell>
          <cell r="J337">
            <v>0</v>
          </cell>
        </row>
        <row r="338">
          <cell r="A338" t="str">
            <v>CIVLA</v>
          </cell>
          <cell r="B338" t="str">
            <v>201-00002-002-3238</v>
          </cell>
          <cell r="J338">
            <v>0</v>
          </cell>
        </row>
        <row r="339">
          <cell r="A339" t="str">
            <v>CIVLA</v>
          </cell>
          <cell r="B339" t="str">
            <v>201-00002-002-3284</v>
          </cell>
          <cell r="J339">
            <v>-48720</v>
          </cell>
        </row>
        <row r="340">
          <cell r="A340" t="str">
            <v>CIVLA</v>
          </cell>
          <cell r="B340" t="str">
            <v>201-00002-002-3300</v>
          </cell>
          <cell r="J340">
            <v>-50000</v>
          </cell>
        </row>
        <row r="341">
          <cell r="A341" t="str">
            <v>CIVLA</v>
          </cell>
          <cell r="B341" t="str">
            <v>201-00002-002-3304</v>
          </cell>
          <cell r="J341">
            <v>0</v>
          </cell>
        </row>
        <row r="342">
          <cell r="A342" t="str">
            <v>CIVLA</v>
          </cell>
          <cell r="B342" t="str">
            <v>201-00002-002-3329</v>
          </cell>
          <cell r="J342">
            <v>-7540000</v>
          </cell>
        </row>
        <row r="343">
          <cell r="A343" t="str">
            <v>CIVLA</v>
          </cell>
          <cell r="B343" t="str">
            <v>201-00002-002-3437</v>
          </cell>
          <cell r="J343">
            <v>0.01</v>
          </cell>
        </row>
        <row r="344">
          <cell r="A344" t="str">
            <v>CIVLA</v>
          </cell>
          <cell r="B344" t="str">
            <v>201-00002-002-4004</v>
          </cell>
          <cell r="J344">
            <v>-51040</v>
          </cell>
        </row>
        <row r="345">
          <cell r="A345" t="str">
            <v>CIVLA</v>
          </cell>
          <cell r="B345" t="str">
            <v>201-00004-000-0000</v>
          </cell>
          <cell r="J345">
            <v>-15264980.51</v>
          </cell>
        </row>
        <row r="346">
          <cell r="A346" t="str">
            <v>CIVLA</v>
          </cell>
          <cell r="B346" t="str">
            <v>201-00004-001-0000</v>
          </cell>
          <cell r="J346">
            <v>-9876777.6400000006</v>
          </cell>
        </row>
        <row r="347">
          <cell r="A347" t="str">
            <v>CIVLA</v>
          </cell>
          <cell r="B347" t="str">
            <v>201-00004-001-0105</v>
          </cell>
          <cell r="J347">
            <v>0</v>
          </cell>
        </row>
        <row r="348">
          <cell r="A348" t="str">
            <v>CIVLA</v>
          </cell>
          <cell r="B348" t="str">
            <v>201-00004-001-0160</v>
          </cell>
          <cell r="J348">
            <v>-206282.61</v>
          </cell>
        </row>
        <row r="349">
          <cell r="A349" t="str">
            <v>CIVLA</v>
          </cell>
          <cell r="B349" t="str">
            <v>201-00004-001-0286</v>
          </cell>
          <cell r="J349">
            <v>-532021.15</v>
          </cell>
        </row>
        <row r="350">
          <cell r="A350" t="str">
            <v>CIVLA</v>
          </cell>
          <cell r="B350" t="str">
            <v>201-00004-001-0290</v>
          </cell>
          <cell r="J350">
            <v>-4971.91</v>
          </cell>
        </row>
        <row r="351">
          <cell r="A351" t="str">
            <v>CIVLA</v>
          </cell>
          <cell r="B351" t="str">
            <v>201-00004-001-0329</v>
          </cell>
          <cell r="J351">
            <v>-60504.91</v>
          </cell>
        </row>
        <row r="352">
          <cell r="A352" t="str">
            <v>CIVLA</v>
          </cell>
          <cell r="B352" t="str">
            <v>201-00004-001-0387</v>
          </cell>
          <cell r="J352">
            <v>-184353.77</v>
          </cell>
        </row>
        <row r="353">
          <cell r="A353" t="str">
            <v>CIVLA</v>
          </cell>
          <cell r="B353" t="str">
            <v>201-00004-001-0672</v>
          </cell>
          <cell r="J353">
            <v>-1157030.3999999999</v>
          </cell>
        </row>
        <row r="354">
          <cell r="A354" t="str">
            <v>CIVLA</v>
          </cell>
          <cell r="B354" t="str">
            <v>201-00004-001-0739</v>
          </cell>
          <cell r="J354">
            <v>-224.44</v>
          </cell>
        </row>
        <row r="355">
          <cell r="A355" t="str">
            <v>CIVLA</v>
          </cell>
          <cell r="B355" t="str">
            <v>201-00004-001-0797</v>
          </cell>
          <cell r="J355">
            <v>-337.99</v>
          </cell>
        </row>
        <row r="356">
          <cell r="A356" t="str">
            <v>CIVLA</v>
          </cell>
          <cell r="B356" t="str">
            <v>201-00004-001-0931</v>
          </cell>
          <cell r="J356">
            <v>-382.81</v>
          </cell>
        </row>
        <row r="357">
          <cell r="A357" t="str">
            <v>CIVLA</v>
          </cell>
          <cell r="B357" t="str">
            <v>201-00004-001-0941</v>
          </cell>
          <cell r="J357">
            <v>-17603.189999999999</v>
          </cell>
        </row>
        <row r="358">
          <cell r="A358" t="str">
            <v>CIVLA</v>
          </cell>
          <cell r="B358" t="str">
            <v>201-00004-001-0950</v>
          </cell>
          <cell r="J358">
            <v>-1075543.18</v>
          </cell>
        </row>
        <row r="359">
          <cell r="A359" t="str">
            <v>CIVLA</v>
          </cell>
          <cell r="B359" t="str">
            <v>201-00004-001-0952</v>
          </cell>
          <cell r="J359">
            <v>-59831.25</v>
          </cell>
        </row>
        <row r="360">
          <cell r="A360" t="str">
            <v>CIVLA</v>
          </cell>
          <cell r="B360" t="str">
            <v>201-00004-001-0988</v>
          </cell>
          <cell r="J360">
            <v>0</v>
          </cell>
        </row>
        <row r="361">
          <cell r="A361" t="str">
            <v>CIVLA</v>
          </cell>
          <cell r="B361" t="str">
            <v>201-00004-001-1044</v>
          </cell>
          <cell r="J361">
            <v>-8355</v>
          </cell>
        </row>
        <row r="362">
          <cell r="A362" t="str">
            <v>CIVLA</v>
          </cell>
          <cell r="B362" t="str">
            <v>201-00004-001-1067</v>
          </cell>
          <cell r="J362">
            <v>-683575.53</v>
          </cell>
        </row>
        <row r="363">
          <cell r="A363" t="str">
            <v>CIVLA</v>
          </cell>
          <cell r="B363" t="str">
            <v>201-00004-001-1256</v>
          </cell>
          <cell r="J363">
            <v>-8351.49</v>
          </cell>
        </row>
        <row r="364">
          <cell r="A364" t="str">
            <v>CIVLA</v>
          </cell>
          <cell r="B364" t="str">
            <v>201-00004-001-1392</v>
          </cell>
          <cell r="J364">
            <v>0.01</v>
          </cell>
        </row>
        <row r="365">
          <cell r="A365" t="str">
            <v>CIVLA</v>
          </cell>
          <cell r="B365" t="str">
            <v>201-00004-001-1519</v>
          </cell>
          <cell r="J365">
            <v>-71692.639999999999</v>
          </cell>
        </row>
        <row r="366">
          <cell r="A366" t="str">
            <v>CIVLA</v>
          </cell>
          <cell r="B366" t="str">
            <v>201-00004-001-1651</v>
          </cell>
          <cell r="J366">
            <v>-0.06</v>
          </cell>
        </row>
        <row r="367">
          <cell r="A367" t="str">
            <v>CIVLA</v>
          </cell>
          <cell r="B367" t="str">
            <v>201-00004-001-1772</v>
          </cell>
          <cell r="J367">
            <v>-84172.5</v>
          </cell>
        </row>
        <row r="368">
          <cell r="A368" t="str">
            <v>CIVLA</v>
          </cell>
          <cell r="B368" t="str">
            <v>201-00004-001-1782</v>
          </cell>
          <cell r="J368">
            <v>0</v>
          </cell>
        </row>
        <row r="369">
          <cell r="A369" t="str">
            <v>CIVLA</v>
          </cell>
          <cell r="B369" t="str">
            <v>201-00004-001-1835</v>
          </cell>
          <cell r="J369">
            <v>-0.81</v>
          </cell>
        </row>
        <row r="370">
          <cell r="A370" t="str">
            <v>CIVLA</v>
          </cell>
          <cell r="B370" t="str">
            <v>201-00004-001-1860</v>
          </cell>
          <cell r="J370">
            <v>-0.01</v>
          </cell>
        </row>
        <row r="371">
          <cell r="A371" t="str">
            <v>CIVLA</v>
          </cell>
          <cell r="B371" t="str">
            <v>201-00004-001-1901</v>
          </cell>
          <cell r="J371">
            <v>0</v>
          </cell>
        </row>
        <row r="372">
          <cell r="A372" t="str">
            <v>CIVLA</v>
          </cell>
          <cell r="B372" t="str">
            <v>201-00004-001-2596</v>
          </cell>
          <cell r="J372">
            <v>0</v>
          </cell>
        </row>
        <row r="373">
          <cell r="A373" t="str">
            <v>CIVLA</v>
          </cell>
          <cell r="B373" t="str">
            <v>201-00004-001-2761</v>
          </cell>
          <cell r="J373">
            <v>-30710.29</v>
          </cell>
        </row>
        <row r="374">
          <cell r="A374" t="str">
            <v>CIVLA</v>
          </cell>
          <cell r="B374" t="str">
            <v>201-00004-001-2764</v>
          </cell>
          <cell r="J374">
            <v>-91480</v>
          </cell>
        </row>
        <row r="375">
          <cell r="A375" t="str">
            <v>CIVLA</v>
          </cell>
          <cell r="B375" t="str">
            <v>201-00004-001-2902</v>
          </cell>
          <cell r="J375">
            <v>-104191.2</v>
          </cell>
        </row>
        <row r="376">
          <cell r="A376" t="str">
            <v>CIVLA</v>
          </cell>
          <cell r="B376" t="str">
            <v>201-00004-001-3144</v>
          </cell>
          <cell r="J376">
            <v>0</v>
          </cell>
        </row>
        <row r="377">
          <cell r="A377" t="str">
            <v>CIVLA</v>
          </cell>
          <cell r="B377" t="str">
            <v>201-00004-001-3148</v>
          </cell>
          <cell r="J377">
            <v>-790297.41</v>
          </cell>
        </row>
        <row r="378">
          <cell r="A378" t="str">
            <v>CIVLA</v>
          </cell>
          <cell r="B378" t="str">
            <v>201-00004-001-3183</v>
          </cell>
          <cell r="J378">
            <v>-1614121.44</v>
          </cell>
        </row>
        <row r="379">
          <cell r="A379" t="str">
            <v>CIVLA</v>
          </cell>
          <cell r="B379" t="str">
            <v>201-00004-001-3307</v>
          </cell>
          <cell r="J379">
            <v>0</v>
          </cell>
        </row>
        <row r="380">
          <cell r="A380" t="str">
            <v>CIVLA</v>
          </cell>
          <cell r="B380" t="str">
            <v>201-00004-001-3453</v>
          </cell>
          <cell r="J380">
            <v>0</v>
          </cell>
        </row>
        <row r="381">
          <cell r="A381" t="str">
            <v>CIVLA</v>
          </cell>
          <cell r="B381" t="str">
            <v>201-00004-001-4400</v>
          </cell>
          <cell r="J381">
            <v>-3090741.66</v>
          </cell>
        </row>
        <row r="382">
          <cell r="A382" t="str">
            <v>CIVLA</v>
          </cell>
          <cell r="B382" t="str">
            <v>201-00004-002-0000</v>
          </cell>
          <cell r="J382">
            <v>-5388202.8700000001</v>
          </cell>
        </row>
        <row r="383">
          <cell r="A383" t="str">
            <v>CIVLA</v>
          </cell>
          <cell r="B383" t="str">
            <v>201-00004-002-0011</v>
          </cell>
          <cell r="J383">
            <v>-1331645.69</v>
          </cell>
        </row>
        <row r="384">
          <cell r="A384" t="str">
            <v>CIVLA</v>
          </cell>
          <cell r="B384" t="str">
            <v>201-00004-002-0173</v>
          </cell>
          <cell r="J384">
            <v>-1919400</v>
          </cell>
        </row>
        <row r="385">
          <cell r="A385" t="str">
            <v>CIVLA</v>
          </cell>
          <cell r="B385" t="str">
            <v>201-00004-002-0286</v>
          </cell>
          <cell r="J385">
            <v>-322233.49</v>
          </cell>
        </row>
        <row r="386">
          <cell r="A386" t="str">
            <v>CIVLA</v>
          </cell>
          <cell r="B386" t="str">
            <v>201-00004-002-0380</v>
          </cell>
          <cell r="J386">
            <v>0</v>
          </cell>
        </row>
        <row r="387">
          <cell r="A387" t="str">
            <v>CIVLA</v>
          </cell>
          <cell r="B387" t="str">
            <v>201-00004-002-0948</v>
          </cell>
          <cell r="J387">
            <v>-166769.85</v>
          </cell>
        </row>
        <row r="388">
          <cell r="A388" t="str">
            <v>CIVLA</v>
          </cell>
          <cell r="B388" t="str">
            <v>201-00004-002-2102</v>
          </cell>
          <cell r="J388">
            <v>-469914.96</v>
          </cell>
        </row>
        <row r="389">
          <cell r="A389" t="str">
            <v>CIVLA</v>
          </cell>
          <cell r="B389" t="str">
            <v>201-00004-002-2360</v>
          </cell>
          <cell r="J389">
            <v>0</v>
          </cell>
        </row>
        <row r="390">
          <cell r="A390" t="str">
            <v>CIVLA</v>
          </cell>
          <cell r="B390" t="str">
            <v>201-00004-002-2614</v>
          </cell>
          <cell r="J390">
            <v>-996384.41</v>
          </cell>
        </row>
        <row r="391">
          <cell r="A391" t="str">
            <v>CIVLA</v>
          </cell>
          <cell r="B391" t="str">
            <v>201-00004-002-3147</v>
          </cell>
          <cell r="J391">
            <v>-181854.47</v>
          </cell>
        </row>
        <row r="392">
          <cell r="A392" t="str">
            <v>CIVLA</v>
          </cell>
          <cell r="B392" t="str">
            <v>201-00005-000-0000</v>
          </cell>
          <cell r="J392">
            <v>-145455.35</v>
          </cell>
        </row>
        <row r="393">
          <cell r="A393" t="str">
            <v>CIVLA</v>
          </cell>
          <cell r="B393" t="str">
            <v>201-00005-001-0000</v>
          </cell>
          <cell r="J393">
            <v>-1</v>
          </cell>
        </row>
        <row r="394">
          <cell r="A394" t="str">
            <v>CIVLA</v>
          </cell>
          <cell r="B394" t="str">
            <v>201-00005-002-0000</v>
          </cell>
          <cell r="J394">
            <v>0</v>
          </cell>
        </row>
        <row r="395">
          <cell r="A395" t="str">
            <v>CIVLA</v>
          </cell>
          <cell r="B395" t="str">
            <v>201-00005-003-0000</v>
          </cell>
          <cell r="J395">
            <v>-145454.35</v>
          </cell>
        </row>
        <row r="396">
          <cell r="A396" t="str">
            <v>CIVLA</v>
          </cell>
          <cell r="B396" t="str">
            <v>201-00006-000-0000</v>
          </cell>
          <cell r="J396">
            <v>-562257.67000000004</v>
          </cell>
        </row>
        <row r="397">
          <cell r="A397" t="str">
            <v>CIVLA</v>
          </cell>
          <cell r="B397" t="str">
            <v>201-00006-001-0000</v>
          </cell>
          <cell r="J397">
            <v>-111934.27</v>
          </cell>
        </row>
        <row r="398">
          <cell r="A398" t="str">
            <v>CIVLA</v>
          </cell>
          <cell r="B398" t="str">
            <v>201-00006-001-0002</v>
          </cell>
          <cell r="J398">
            <v>-111934.27</v>
          </cell>
        </row>
        <row r="399">
          <cell r="A399" t="str">
            <v>CIVLA</v>
          </cell>
          <cell r="B399" t="str">
            <v>201-00006-002-0000</v>
          </cell>
          <cell r="J399">
            <v>-122177.63</v>
          </cell>
        </row>
        <row r="400">
          <cell r="A400" t="str">
            <v>CIVLA</v>
          </cell>
          <cell r="B400" t="str">
            <v>201-00006-003-0000</v>
          </cell>
          <cell r="J400">
            <v>-179208.1</v>
          </cell>
        </row>
        <row r="401">
          <cell r="A401" t="str">
            <v>CIVLA</v>
          </cell>
          <cell r="B401" t="str">
            <v>201-00006-004-0000</v>
          </cell>
          <cell r="J401">
            <v>-94192.4</v>
          </cell>
        </row>
        <row r="402">
          <cell r="A402" t="str">
            <v>CIVLA</v>
          </cell>
          <cell r="B402" t="str">
            <v>201-00006-005-0000</v>
          </cell>
          <cell r="J402">
            <v>483.93</v>
          </cell>
        </row>
        <row r="403">
          <cell r="A403" t="str">
            <v>CIVLA</v>
          </cell>
          <cell r="B403" t="str">
            <v>201-00006-008-0000</v>
          </cell>
          <cell r="J403">
            <v>-27669.09</v>
          </cell>
        </row>
        <row r="404">
          <cell r="A404" t="str">
            <v>CIVLA</v>
          </cell>
          <cell r="B404" t="str">
            <v>201-00006-009-0000</v>
          </cell>
          <cell r="J404">
            <v>-49942.33</v>
          </cell>
        </row>
        <row r="405">
          <cell r="A405" t="str">
            <v>CIVLA</v>
          </cell>
          <cell r="B405" t="str">
            <v>201-00006-011-0000</v>
          </cell>
          <cell r="J405">
            <v>-3672.46</v>
          </cell>
        </row>
        <row r="406">
          <cell r="A406" t="str">
            <v>CIVLA</v>
          </cell>
          <cell r="B406" t="str">
            <v>201-00006-012-0000</v>
          </cell>
          <cell r="J406">
            <v>26054.68</v>
          </cell>
        </row>
        <row r="407">
          <cell r="A407" t="str">
            <v>CIVLA</v>
          </cell>
          <cell r="B407" t="str">
            <v>201-00007-000-0000</v>
          </cell>
          <cell r="J407">
            <v>-67385</v>
          </cell>
        </row>
        <row r="408">
          <cell r="A408" t="str">
            <v>CIVLA</v>
          </cell>
          <cell r="B408" t="str">
            <v>201-00008-000-0000</v>
          </cell>
          <cell r="J408">
            <v>-1639382.04</v>
          </cell>
        </row>
        <row r="409">
          <cell r="A409" t="str">
            <v>CIVLA</v>
          </cell>
          <cell r="B409" t="str">
            <v>201-00009-000-0000</v>
          </cell>
          <cell r="J409">
            <v>-2894471.05</v>
          </cell>
        </row>
        <row r="410">
          <cell r="A410" t="str">
            <v>CIVLA</v>
          </cell>
          <cell r="B410" t="str">
            <v>201-00009-001-0000</v>
          </cell>
          <cell r="J410">
            <v>-2894471.05</v>
          </cell>
        </row>
        <row r="411">
          <cell r="A411" t="str">
            <v>CIVLA</v>
          </cell>
          <cell r="B411" t="str">
            <v>201-00010-000-0000</v>
          </cell>
          <cell r="J411">
            <v>-2839096.65</v>
          </cell>
        </row>
        <row r="412">
          <cell r="A412" t="str">
            <v>CIVLA</v>
          </cell>
          <cell r="B412" t="str">
            <v>201-00010-001-0000</v>
          </cell>
          <cell r="J412">
            <v>-2839096.65</v>
          </cell>
        </row>
        <row r="413">
          <cell r="A413" t="str">
            <v>CIVLA</v>
          </cell>
          <cell r="B413" t="str">
            <v>202-00000-000-0000</v>
          </cell>
          <cell r="J413">
            <v>-38760559.5</v>
          </cell>
        </row>
        <row r="414">
          <cell r="A414" t="str">
            <v>CIVLA</v>
          </cell>
          <cell r="B414" t="str">
            <v>202-00001-000-0000</v>
          </cell>
          <cell r="J414">
            <v>-38760559.5</v>
          </cell>
        </row>
        <row r="415">
          <cell r="A415" t="str">
            <v>CIVLA</v>
          </cell>
          <cell r="B415" t="str">
            <v>202-00001-009-0000</v>
          </cell>
          <cell r="J415">
            <v>-38760559.5</v>
          </cell>
        </row>
        <row r="416">
          <cell r="A416" t="str">
            <v>CIVLA</v>
          </cell>
          <cell r="B416" t="str">
            <v>202-00001-009-0001</v>
          </cell>
          <cell r="J416">
            <v>-3200000.1</v>
          </cell>
        </row>
        <row r="417">
          <cell r="A417" t="str">
            <v>CIVLA</v>
          </cell>
          <cell r="B417" t="str">
            <v>202-00001-009-0006</v>
          </cell>
          <cell r="J417">
            <v>-3843500</v>
          </cell>
        </row>
        <row r="418">
          <cell r="A418" t="str">
            <v>CIVLA</v>
          </cell>
          <cell r="B418" t="str">
            <v>202-00001-009-0008</v>
          </cell>
          <cell r="J418">
            <v>-13431159.220000001</v>
          </cell>
        </row>
        <row r="419">
          <cell r="A419" t="str">
            <v>CIVLA</v>
          </cell>
          <cell r="B419" t="str">
            <v>202-00001-009-0012</v>
          </cell>
          <cell r="J419">
            <v>-7500000</v>
          </cell>
        </row>
        <row r="420">
          <cell r="A420" t="str">
            <v>CIVLA</v>
          </cell>
          <cell r="B420" t="str">
            <v>202-00001-009-0467</v>
          </cell>
          <cell r="J420">
            <v>-3660964.66</v>
          </cell>
        </row>
        <row r="421">
          <cell r="A421" t="str">
            <v>CIVLA</v>
          </cell>
          <cell r="B421" t="str">
            <v>202-00001-009-1127</v>
          </cell>
          <cell r="J421">
            <v>-420781.81</v>
          </cell>
        </row>
        <row r="422">
          <cell r="A422" t="str">
            <v>CIVLA</v>
          </cell>
          <cell r="B422" t="str">
            <v>202-00001-009-1216</v>
          </cell>
          <cell r="J422">
            <v>-350000</v>
          </cell>
        </row>
        <row r="423">
          <cell r="A423" t="str">
            <v>CIVLA</v>
          </cell>
          <cell r="B423" t="str">
            <v>202-00001-009-1428</v>
          </cell>
          <cell r="J423">
            <v>-18190.400000000001</v>
          </cell>
        </row>
        <row r="424">
          <cell r="A424" t="str">
            <v>CIVLA</v>
          </cell>
          <cell r="B424" t="str">
            <v>202-00001-009-1616</v>
          </cell>
          <cell r="J424">
            <v>-87171</v>
          </cell>
        </row>
        <row r="425">
          <cell r="A425" t="str">
            <v>CIVLA</v>
          </cell>
          <cell r="B425" t="str">
            <v>202-00001-009-2300</v>
          </cell>
          <cell r="J425">
            <v>-52407.9</v>
          </cell>
        </row>
        <row r="426">
          <cell r="A426" t="str">
            <v>CIVLA</v>
          </cell>
          <cell r="B426" t="str">
            <v>202-00001-009-2303</v>
          </cell>
          <cell r="J426">
            <v>-5859827.2599999998</v>
          </cell>
        </row>
        <row r="427">
          <cell r="A427" t="str">
            <v>CIVLA</v>
          </cell>
          <cell r="B427" t="str">
            <v>202-00001-009-2305</v>
          </cell>
          <cell r="J427">
            <v>-19673.599999999999</v>
          </cell>
        </row>
        <row r="428">
          <cell r="A428" t="str">
            <v>CIVLA</v>
          </cell>
          <cell r="B428" t="str">
            <v>202-00001-009-2872</v>
          </cell>
          <cell r="J428">
            <v>-257851.16</v>
          </cell>
        </row>
        <row r="429">
          <cell r="A429" t="str">
            <v>CIVLA</v>
          </cell>
          <cell r="B429" t="str">
            <v>202-00001-009-2937</v>
          </cell>
          <cell r="J429">
            <v>-18190.400000000001</v>
          </cell>
        </row>
        <row r="430">
          <cell r="A430" t="str">
            <v>CIVLA</v>
          </cell>
          <cell r="B430" t="str">
            <v>202-00001-009-3329</v>
          </cell>
          <cell r="J430">
            <v>-40841.99</v>
          </cell>
        </row>
        <row r="431">
          <cell r="A431" t="str">
            <v>CIVLA</v>
          </cell>
          <cell r="B431" t="str">
            <v>301-00000-000-0000</v>
          </cell>
          <cell r="J431">
            <v>-24020813.460000001</v>
          </cell>
        </row>
        <row r="432">
          <cell r="A432" t="str">
            <v>CIVLA</v>
          </cell>
          <cell r="B432" t="str">
            <v>301-00001-000-0000</v>
          </cell>
          <cell r="J432">
            <v>-5050000</v>
          </cell>
        </row>
        <row r="433">
          <cell r="A433" t="str">
            <v>CIVLA</v>
          </cell>
          <cell r="B433" t="str">
            <v>301-00001-001-0000</v>
          </cell>
          <cell r="J433">
            <v>-50000</v>
          </cell>
        </row>
        <row r="434">
          <cell r="A434" t="str">
            <v>CIVLA</v>
          </cell>
          <cell r="B434" t="str">
            <v>301-00001-002-0000</v>
          </cell>
          <cell r="J434">
            <v>-5000000</v>
          </cell>
        </row>
        <row r="435">
          <cell r="A435" t="str">
            <v>CIVLA</v>
          </cell>
          <cell r="B435" t="str">
            <v>301-00004-000-0000</v>
          </cell>
          <cell r="J435">
            <v>-18970813.460000001</v>
          </cell>
        </row>
        <row r="436">
          <cell r="A436" t="str">
            <v>CIVLA</v>
          </cell>
          <cell r="B436" t="str">
            <v>301-00004-007-0000</v>
          </cell>
          <cell r="J436">
            <v>-717494.47</v>
          </cell>
        </row>
        <row r="437">
          <cell r="A437" t="str">
            <v>CIVLA</v>
          </cell>
          <cell r="B437" t="str">
            <v>301-00004-008-0000</v>
          </cell>
          <cell r="J437">
            <v>-5113412.57</v>
          </cell>
        </row>
        <row r="438">
          <cell r="A438" t="str">
            <v>CIVLA</v>
          </cell>
          <cell r="B438" t="str">
            <v>301-00004-009-0000</v>
          </cell>
          <cell r="J438">
            <v>311105.90999999997</v>
          </cell>
        </row>
        <row r="439">
          <cell r="A439" t="str">
            <v>CIVLA</v>
          </cell>
          <cell r="B439" t="str">
            <v>301-00004-010-0000</v>
          </cell>
          <cell r="J439">
            <v>-1766750.69</v>
          </cell>
        </row>
        <row r="440">
          <cell r="A440" t="str">
            <v>CIVLA</v>
          </cell>
          <cell r="B440" t="str">
            <v>301-00004-011-0000</v>
          </cell>
          <cell r="J440">
            <v>-3579892.4</v>
          </cell>
        </row>
        <row r="441">
          <cell r="A441" t="str">
            <v>CIVLA</v>
          </cell>
          <cell r="B441" t="str">
            <v>301-00004-012-0000</v>
          </cell>
          <cell r="J441">
            <v>-3241160.4</v>
          </cell>
        </row>
        <row r="442">
          <cell r="A442" t="str">
            <v>CIVLA</v>
          </cell>
          <cell r="B442" t="str">
            <v>301-00004-013-0000</v>
          </cell>
          <cell r="J442">
            <v>-1086285.7</v>
          </cell>
        </row>
        <row r="443">
          <cell r="A443" t="str">
            <v>CIVLA</v>
          </cell>
          <cell r="B443" t="str">
            <v>301-00004-014-0000</v>
          </cell>
          <cell r="J443">
            <v>-694750.11</v>
          </cell>
        </row>
        <row r="444">
          <cell r="A444" t="str">
            <v>CIVLA</v>
          </cell>
          <cell r="B444" t="str">
            <v>301-00004-015-0000</v>
          </cell>
          <cell r="J444">
            <v>-2202158.58</v>
          </cell>
        </row>
        <row r="445">
          <cell r="A445" t="str">
            <v>CIVLA</v>
          </cell>
          <cell r="B445" t="str">
            <v>301-00004-016-0000</v>
          </cell>
          <cell r="J445">
            <v>-454475.29</v>
          </cell>
        </row>
        <row r="446">
          <cell r="A446" t="str">
            <v>CIVLA</v>
          </cell>
          <cell r="B446" t="str">
            <v>301-00004-017-0000</v>
          </cell>
          <cell r="J446">
            <v>-425539.16</v>
          </cell>
        </row>
        <row r="447">
          <cell r="A447" t="str">
            <v>CIVLA</v>
          </cell>
          <cell r="B447" t="str">
            <v>410-00000-000-0000</v>
          </cell>
          <cell r="J447">
            <v>-111299.14</v>
          </cell>
        </row>
        <row r="448">
          <cell r="A448" t="str">
            <v>CIVLA</v>
          </cell>
          <cell r="B448" t="str">
            <v>410-26777-000-0000</v>
          </cell>
          <cell r="J448">
            <v>-111299.14</v>
          </cell>
        </row>
        <row r="449">
          <cell r="A449" t="str">
            <v>CIVLA</v>
          </cell>
          <cell r="B449" t="str">
            <v>410-26777-004-0000</v>
          </cell>
          <cell r="J449">
            <v>-111299.14</v>
          </cell>
        </row>
        <row r="450">
          <cell r="A450" t="str">
            <v>CIVLA</v>
          </cell>
          <cell r="B450" t="str">
            <v>410-26777-004-2834</v>
          </cell>
          <cell r="J450">
            <v>-111299.14</v>
          </cell>
        </row>
        <row r="451">
          <cell r="A451" t="str">
            <v>CIVLA</v>
          </cell>
          <cell r="B451" t="str">
            <v>411-00000-000-0000</v>
          </cell>
          <cell r="J451">
            <v>-87788968.819999993</v>
          </cell>
        </row>
        <row r="452">
          <cell r="A452" t="str">
            <v>CIVLA</v>
          </cell>
          <cell r="B452" t="str">
            <v>411-21044-000-0000</v>
          </cell>
          <cell r="J452">
            <v>-9235.9599999999991</v>
          </cell>
        </row>
        <row r="453">
          <cell r="A453" t="str">
            <v>CIVLA</v>
          </cell>
          <cell r="B453" t="str">
            <v>411-21044-002-0000</v>
          </cell>
          <cell r="J453">
            <v>-4629.62</v>
          </cell>
        </row>
        <row r="454">
          <cell r="A454" t="str">
            <v>CIVLA</v>
          </cell>
          <cell r="B454" t="str">
            <v>411-21044-002-1616</v>
          </cell>
          <cell r="J454">
            <v>-4629.62</v>
          </cell>
        </row>
        <row r="455">
          <cell r="A455" t="str">
            <v>CIVLA</v>
          </cell>
          <cell r="B455" t="str">
            <v>411-21044-004-0000</v>
          </cell>
          <cell r="J455">
            <v>-4606.34</v>
          </cell>
        </row>
        <row r="456">
          <cell r="A456" t="str">
            <v>CIVLA</v>
          </cell>
          <cell r="B456" t="str">
            <v>411-21044-004-1616</v>
          </cell>
          <cell r="J456">
            <v>-4606.34</v>
          </cell>
        </row>
        <row r="457">
          <cell r="A457" t="str">
            <v>CIVLA</v>
          </cell>
          <cell r="B457" t="str">
            <v>411-23039-000-0000</v>
          </cell>
          <cell r="J457">
            <v>-234.04</v>
          </cell>
        </row>
        <row r="458">
          <cell r="A458" t="str">
            <v>CIVLA</v>
          </cell>
          <cell r="B458" t="str">
            <v>411-23039-002-0000</v>
          </cell>
          <cell r="J458">
            <v>-234.04</v>
          </cell>
        </row>
        <row r="459">
          <cell r="A459" t="str">
            <v>CIVLA</v>
          </cell>
          <cell r="B459" t="str">
            <v>411-23039-002-2872</v>
          </cell>
          <cell r="J459">
            <v>-234.04</v>
          </cell>
        </row>
        <row r="460">
          <cell r="A460" t="str">
            <v>CIVLA</v>
          </cell>
          <cell r="B460" t="str">
            <v>411-24004-000-0000</v>
          </cell>
          <cell r="J460">
            <v>-9838.7900000000009</v>
          </cell>
        </row>
        <row r="461">
          <cell r="A461" t="str">
            <v>CIVLA</v>
          </cell>
          <cell r="B461" t="str">
            <v>411-24004-002-0000</v>
          </cell>
          <cell r="J461">
            <v>-9838.7900000000009</v>
          </cell>
        </row>
        <row r="462">
          <cell r="A462" t="str">
            <v>CIVLA</v>
          </cell>
          <cell r="B462" t="str">
            <v>411-24004-002-2872</v>
          </cell>
          <cell r="J462">
            <v>-9838.7900000000009</v>
          </cell>
        </row>
        <row r="463">
          <cell r="A463" t="str">
            <v>CIVLA</v>
          </cell>
          <cell r="B463" t="str">
            <v>411-24014-000-0000</v>
          </cell>
          <cell r="J463">
            <v>-223079.83</v>
          </cell>
        </row>
        <row r="464">
          <cell r="A464" t="str">
            <v>CIVLA</v>
          </cell>
          <cell r="B464" t="str">
            <v>411-24014-002-0000</v>
          </cell>
          <cell r="J464">
            <v>-223079.83</v>
          </cell>
        </row>
        <row r="465">
          <cell r="A465" t="str">
            <v>CIVLA</v>
          </cell>
          <cell r="B465" t="str">
            <v>411-24014-002-2872</v>
          </cell>
          <cell r="J465">
            <v>-223079.83</v>
          </cell>
        </row>
        <row r="466">
          <cell r="A466" t="str">
            <v>CIVLA</v>
          </cell>
          <cell r="B466" t="str">
            <v>411-24015-000-0000</v>
          </cell>
          <cell r="J466">
            <v>-32422.03</v>
          </cell>
        </row>
        <row r="467">
          <cell r="A467" t="str">
            <v>CIVLA</v>
          </cell>
          <cell r="B467" t="str">
            <v>411-24015-002-0000</v>
          </cell>
          <cell r="J467">
            <v>-32422.03</v>
          </cell>
        </row>
        <row r="468">
          <cell r="A468" t="str">
            <v>CIVLA</v>
          </cell>
          <cell r="B468" t="str">
            <v>411-24015-002-2872</v>
          </cell>
          <cell r="J468">
            <v>-32422.03</v>
          </cell>
        </row>
        <row r="469">
          <cell r="A469" t="str">
            <v>CIVLA</v>
          </cell>
          <cell r="B469" t="str">
            <v>411-24044-000-0000</v>
          </cell>
          <cell r="J469">
            <v>-1725.84</v>
          </cell>
        </row>
        <row r="470">
          <cell r="A470" t="str">
            <v>CIVLA</v>
          </cell>
          <cell r="B470" t="str">
            <v>411-24044-002-0000</v>
          </cell>
          <cell r="J470">
            <v>-1725.84</v>
          </cell>
        </row>
        <row r="471">
          <cell r="A471" t="str">
            <v>CIVLA</v>
          </cell>
          <cell r="B471" t="str">
            <v>411-24044-002-2872</v>
          </cell>
          <cell r="J471">
            <v>-1725.84</v>
          </cell>
        </row>
        <row r="472">
          <cell r="A472" t="str">
            <v>CIVLA</v>
          </cell>
          <cell r="B472" t="str">
            <v>411-25004-000-0000</v>
          </cell>
          <cell r="J472">
            <v>-219681.13</v>
          </cell>
        </row>
        <row r="473">
          <cell r="A473" t="str">
            <v>CIVLA</v>
          </cell>
          <cell r="B473" t="str">
            <v>411-25004-002-0000</v>
          </cell>
          <cell r="J473">
            <v>-219681.13</v>
          </cell>
        </row>
        <row r="474">
          <cell r="A474" t="str">
            <v>CIVLA</v>
          </cell>
          <cell r="B474" t="str">
            <v>411-25004-002-2872</v>
          </cell>
          <cell r="J474">
            <v>-219681.13</v>
          </cell>
        </row>
        <row r="475">
          <cell r="A475" t="str">
            <v>CIVLA</v>
          </cell>
          <cell r="B475" t="str">
            <v>411-25005-000-0000</v>
          </cell>
          <cell r="J475">
            <v>-23505.98</v>
          </cell>
        </row>
        <row r="476">
          <cell r="A476" t="str">
            <v>CIVLA</v>
          </cell>
          <cell r="B476" t="str">
            <v>411-25005-002-0000</v>
          </cell>
          <cell r="J476">
            <v>-23505.98</v>
          </cell>
        </row>
        <row r="477">
          <cell r="A477" t="str">
            <v>CIVLA</v>
          </cell>
          <cell r="B477" t="str">
            <v>411-25005-002-2872</v>
          </cell>
          <cell r="J477">
            <v>-23505.98</v>
          </cell>
        </row>
        <row r="478">
          <cell r="A478" t="str">
            <v>CIVLA</v>
          </cell>
          <cell r="B478" t="str">
            <v>411-25006-000-0000</v>
          </cell>
          <cell r="J478">
            <v>-1577.67</v>
          </cell>
        </row>
        <row r="479">
          <cell r="A479" t="str">
            <v>CIVLA</v>
          </cell>
          <cell r="B479" t="str">
            <v>411-25006-002-0000</v>
          </cell>
          <cell r="J479">
            <v>-1577.67</v>
          </cell>
        </row>
        <row r="480">
          <cell r="A480" t="str">
            <v>CIVLA</v>
          </cell>
          <cell r="B480" t="str">
            <v>411-25006-002-2872</v>
          </cell>
          <cell r="J480">
            <v>-1577.67</v>
          </cell>
        </row>
        <row r="481">
          <cell r="A481" t="str">
            <v>CIVLA</v>
          </cell>
          <cell r="B481" t="str">
            <v>411-25007-000-0000</v>
          </cell>
          <cell r="J481">
            <v>-5440.74</v>
          </cell>
        </row>
        <row r="482">
          <cell r="A482" t="str">
            <v>CIVLA</v>
          </cell>
          <cell r="B482" t="str">
            <v>411-25007-002-0000</v>
          </cell>
          <cell r="J482">
            <v>-5440.74</v>
          </cell>
        </row>
        <row r="483">
          <cell r="A483" t="str">
            <v>CIVLA</v>
          </cell>
          <cell r="B483" t="str">
            <v>411-25007-002-2872</v>
          </cell>
          <cell r="J483">
            <v>-5440.74</v>
          </cell>
        </row>
        <row r="484">
          <cell r="A484" t="str">
            <v>CIVLA</v>
          </cell>
          <cell r="B484" t="str">
            <v>411-25009-000-0000</v>
          </cell>
          <cell r="J484">
            <v>-4280.91</v>
          </cell>
        </row>
        <row r="485">
          <cell r="A485" t="str">
            <v>CIVLA</v>
          </cell>
          <cell r="B485" t="str">
            <v>411-25009-002-0000</v>
          </cell>
          <cell r="J485">
            <v>-4280.91</v>
          </cell>
        </row>
        <row r="486">
          <cell r="A486" t="str">
            <v>CIVLA</v>
          </cell>
          <cell r="B486" t="str">
            <v>411-25009-002-2872</v>
          </cell>
          <cell r="J486">
            <v>-4280.91</v>
          </cell>
        </row>
        <row r="487">
          <cell r="A487" t="str">
            <v>CIVLA</v>
          </cell>
          <cell r="B487" t="str">
            <v>411-25010-000-0000</v>
          </cell>
          <cell r="J487">
            <v>19635.73</v>
          </cell>
        </row>
        <row r="488">
          <cell r="A488" t="str">
            <v>CIVLA</v>
          </cell>
          <cell r="B488" t="str">
            <v>411-25010-002-0000</v>
          </cell>
          <cell r="J488">
            <v>19635.73</v>
          </cell>
        </row>
        <row r="489">
          <cell r="A489" t="str">
            <v>CIVLA</v>
          </cell>
          <cell r="B489" t="str">
            <v>411-25010-002-2872</v>
          </cell>
          <cell r="J489">
            <v>19635.73</v>
          </cell>
        </row>
        <row r="490">
          <cell r="A490" t="str">
            <v>CIVLA</v>
          </cell>
          <cell r="B490" t="str">
            <v>411-25013-000-0000</v>
          </cell>
          <cell r="J490">
            <v>-24777.5</v>
          </cell>
        </row>
        <row r="491">
          <cell r="A491" t="str">
            <v>CIVLA</v>
          </cell>
          <cell r="B491" t="str">
            <v>411-25013-002-0000</v>
          </cell>
          <cell r="J491">
            <v>-24777.5</v>
          </cell>
        </row>
        <row r="492">
          <cell r="A492" t="str">
            <v>CIVLA</v>
          </cell>
          <cell r="B492" t="str">
            <v>411-25013-002-2872</v>
          </cell>
          <cell r="J492">
            <v>-24777.5</v>
          </cell>
        </row>
        <row r="493">
          <cell r="A493" t="str">
            <v>CIVLA</v>
          </cell>
          <cell r="B493" t="str">
            <v>411-25014-000-0000</v>
          </cell>
          <cell r="J493">
            <v>-1625.78</v>
          </cell>
        </row>
        <row r="494">
          <cell r="A494" t="str">
            <v>CIVLA</v>
          </cell>
          <cell r="B494" t="str">
            <v>411-25014-002-0000</v>
          </cell>
          <cell r="J494">
            <v>-1625.78</v>
          </cell>
        </row>
        <row r="495">
          <cell r="A495" t="str">
            <v>CIVLA</v>
          </cell>
          <cell r="B495" t="str">
            <v>411-25014-002-2872</v>
          </cell>
          <cell r="J495">
            <v>-1625.78</v>
          </cell>
        </row>
        <row r="496">
          <cell r="A496" t="str">
            <v>CIVLA</v>
          </cell>
          <cell r="B496" t="str">
            <v>411-25015-000-0000</v>
          </cell>
          <cell r="J496">
            <v>-18702.330000000002</v>
          </cell>
        </row>
        <row r="497">
          <cell r="A497" t="str">
            <v>CIVLA</v>
          </cell>
          <cell r="B497" t="str">
            <v>411-25015-002-0000</v>
          </cell>
          <cell r="J497">
            <v>-18702.330000000002</v>
          </cell>
        </row>
        <row r="498">
          <cell r="A498" t="str">
            <v>CIVLA</v>
          </cell>
          <cell r="B498" t="str">
            <v>411-25015-002-2872</v>
          </cell>
          <cell r="J498">
            <v>-18702.330000000002</v>
          </cell>
        </row>
        <row r="499">
          <cell r="A499" t="str">
            <v>CIVLA</v>
          </cell>
          <cell r="B499" t="str">
            <v>411-25023-000-0000</v>
          </cell>
          <cell r="J499">
            <v>-42441.75</v>
          </cell>
        </row>
        <row r="500">
          <cell r="A500" t="str">
            <v>CIVLA</v>
          </cell>
          <cell r="B500" t="str">
            <v>411-25023-002-0000</v>
          </cell>
          <cell r="J500">
            <v>-42441.75</v>
          </cell>
        </row>
        <row r="501">
          <cell r="A501" t="str">
            <v>CIVLA</v>
          </cell>
          <cell r="B501" t="str">
            <v>411-25023-002-2872</v>
          </cell>
          <cell r="J501">
            <v>-42441.75</v>
          </cell>
        </row>
        <row r="502">
          <cell r="A502" t="str">
            <v>CIVLA</v>
          </cell>
          <cell r="B502" t="str">
            <v>411-25025-000-0000</v>
          </cell>
          <cell r="J502">
            <v>-2310781.11</v>
          </cell>
        </row>
        <row r="503">
          <cell r="A503" t="str">
            <v>CIVLA</v>
          </cell>
          <cell r="B503" t="str">
            <v>411-25025-002-0000</v>
          </cell>
          <cell r="J503">
            <v>-2310781.11</v>
          </cell>
        </row>
        <row r="504">
          <cell r="A504" t="str">
            <v>CIVLA</v>
          </cell>
          <cell r="B504" t="str">
            <v>411-25025-002-2872</v>
          </cell>
          <cell r="J504">
            <v>-2310781.11</v>
          </cell>
        </row>
        <row r="505">
          <cell r="A505" t="str">
            <v>CIVLA</v>
          </cell>
          <cell r="B505" t="str">
            <v>411-25026-000-0000</v>
          </cell>
          <cell r="J505">
            <v>-403.45</v>
          </cell>
        </row>
        <row r="506">
          <cell r="A506" t="str">
            <v>CIVLA</v>
          </cell>
          <cell r="B506" t="str">
            <v>411-25026-002-0000</v>
          </cell>
          <cell r="J506">
            <v>-403.45</v>
          </cell>
        </row>
        <row r="507">
          <cell r="A507" t="str">
            <v>CIVLA</v>
          </cell>
          <cell r="B507" t="str">
            <v>411-25026-002-1127</v>
          </cell>
          <cell r="J507">
            <v>-403.45</v>
          </cell>
        </row>
        <row r="508">
          <cell r="A508" t="str">
            <v>CIVLA</v>
          </cell>
          <cell r="B508" t="str">
            <v>411-25027-000-0000</v>
          </cell>
          <cell r="J508">
            <v>-5141.49</v>
          </cell>
        </row>
        <row r="509">
          <cell r="A509" t="str">
            <v>CIVLA</v>
          </cell>
          <cell r="B509" t="str">
            <v>411-25027-002-0000</v>
          </cell>
          <cell r="J509">
            <v>-5141.49</v>
          </cell>
        </row>
        <row r="510">
          <cell r="A510" t="str">
            <v>CIVLA</v>
          </cell>
          <cell r="B510" t="str">
            <v>411-25027-002-0467</v>
          </cell>
          <cell r="J510">
            <v>-5141.49</v>
          </cell>
        </row>
        <row r="511">
          <cell r="A511" t="str">
            <v>CIVLA</v>
          </cell>
          <cell r="B511" t="str">
            <v>411-25028-000-0000</v>
          </cell>
          <cell r="J511">
            <v>-47459.519999999997</v>
          </cell>
        </row>
        <row r="512">
          <cell r="A512" t="str">
            <v>CIVLA</v>
          </cell>
          <cell r="B512" t="str">
            <v>411-25028-002-0000</v>
          </cell>
          <cell r="J512">
            <v>-47459.519999999997</v>
          </cell>
        </row>
        <row r="513">
          <cell r="A513" t="str">
            <v>CIVLA</v>
          </cell>
          <cell r="B513" t="str">
            <v>411-25028-002-2872</v>
          </cell>
          <cell r="J513">
            <v>-47459.519999999997</v>
          </cell>
        </row>
        <row r="514">
          <cell r="A514" t="str">
            <v>CIVLA</v>
          </cell>
          <cell r="B514" t="str">
            <v>411-25031-000-0000</v>
          </cell>
          <cell r="J514">
            <v>-10480.15</v>
          </cell>
        </row>
        <row r="515">
          <cell r="A515" t="str">
            <v>CIVLA</v>
          </cell>
          <cell r="B515" t="str">
            <v>411-25031-002-0000</v>
          </cell>
          <cell r="J515">
            <v>-10480.15</v>
          </cell>
        </row>
        <row r="516">
          <cell r="A516" t="str">
            <v>CIVLA</v>
          </cell>
          <cell r="B516" t="str">
            <v>411-25031-002-1127</v>
          </cell>
          <cell r="J516">
            <v>-10480.15</v>
          </cell>
        </row>
        <row r="517">
          <cell r="A517" t="str">
            <v>CIVLA</v>
          </cell>
          <cell r="B517" t="str">
            <v>411-25032-000-0000</v>
          </cell>
          <cell r="J517">
            <v>-1419.8</v>
          </cell>
        </row>
        <row r="518">
          <cell r="A518" t="str">
            <v>CIVLA</v>
          </cell>
          <cell r="B518" t="str">
            <v>411-25032-002-0000</v>
          </cell>
          <cell r="J518">
            <v>-1419.8</v>
          </cell>
        </row>
        <row r="519">
          <cell r="A519" t="str">
            <v>CIVLA</v>
          </cell>
          <cell r="B519" t="str">
            <v>411-25032-002-0813</v>
          </cell>
          <cell r="J519">
            <v>-1419.8</v>
          </cell>
        </row>
        <row r="520">
          <cell r="A520" t="str">
            <v>CIVLA</v>
          </cell>
          <cell r="B520" t="str">
            <v>411-25033-000-0000</v>
          </cell>
          <cell r="J520">
            <v>-10361.43</v>
          </cell>
        </row>
        <row r="521">
          <cell r="A521" t="str">
            <v>CIVLA</v>
          </cell>
          <cell r="B521" t="str">
            <v>411-25033-002-0000</v>
          </cell>
          <cell r="J521">
            <v>-10361.43</v>
          </cell>
        </row>
        <row r="522">
          <cell r="A522" t="str">
            <v>CIVLA</v>
          </cell>
          <cell r="B522" t="str">
            <v>411-25033-002-2872</v>
          </cell>
          <cell r="J522">
            <v>-10361.43</v>
          </cell>
        </row>
        <row r="523">
          <cell r="A523" t="str">
            <v>CIVLA</v>
          </cell>
          <cell r="B523" t="str">
            <v>411-25034-000-0000</v>
          </cell>
          <cell r="J523">
            <v>-256948.89</v>
          </cell>
        </row>
        <row r="524">
          <cell r="A524" t="str">
            <v>CIVLA</v>
          </cell>
          <cell r="B524" t="str">
            <v>411-25034-002-0000</v>
          </cell>
          <cell r="J524">
            <v>-256948.89</v>
          </cell>
        </row>
        <row r="525">
          <cell r="A525" t="str">
            <v>CIVLA</v>
          </cell>
          <cell r="B525" t="str">
            <v>411-25034-002-1127</v>
          </cell>
          <cell r="J525">
            <v>-256948.89</v>
          </cell>
        </row>
        <row r="526">
          <cell r="A526" t="str">
            <v>CIVLA</v>
          </cell>
          <cell r="B526" t="str">
            <v>411-25035-000-0000</v>
          </cell>
          <cell r="J526">
            <v>-61670.87</v>
          </cell>
        </row>
        <row r="527">
          <cell r="A527" t="str">
            <v>CIVLA</v>
          </cell>
          <cell r="B527" t="str">
            <v>411-25035-002-0000</v>
          </cell>
          <cell r="J527">
            <v>-61670.87</v>
          </cell>
        </row>
        <row r="528">
          <cell r="A528" t="str">
            <v>CIVLA</v>
          </cell>
          <cell r="B528" t="str">
            <v>411-25035-002-2872</v>
          </cell>
          <cell r="J528">
            <v>-61670.87</v>
          </cell>
        </row>
        <row r="529">
          <cell r="A529" t="str">
            <v>CIVLA</v>
          </cell>
          <cell r="B529" t="str">
            <v>411-25036-000-0000</v>
          </cell>
          <cell r="J529">
            <v>-55896.17</v>
          </cell>
        </row>
        <row r="530">
          <cell r="A530" t="str">
            <v>CIVLA</v>
          </cell>
          <cell r="B530" t="str">
            <v>411-25036-002-0000</v>
          </cell>
          <cell r="J530">
            <v>-55896.17</v>
          </cell>
        </row>
        <row r="531">
          <cell r="A531" t="str">
            <v>CIVLA</v>
          </cell>
          <cell r="B531" t="str">
            <v>411-25036-002-2872</v>
          </cell>
          <cell r="J531">
            <v>-55896.17</v>
          </cell>
        </row>
        <row r="532">
          <cell r="A532" t="str">
            <v>CIVLA</v>
          </cell>
          <cell r="B532" t="str">
            <v>411-25038-000-0000</v>
          </cell>
          <cell r="J532">
            <v>-43752.31</v>
          </cell>
        </row>
        <row r="533">
          <cell r="A533" t="str">
            <v>CIVLA</v>
          </cell>
          <cell r="B533" t="str">
            <v>411-25038-002-0000</v>
          </cell>
          <cell r="J533">
            <v>-43752.31</v>
          </cell>
        </row>
        <row r="534">
          <cell r="A534" t="str">
            <v>CIVLA</v>
          </cell>
          <cell r="B534" t="str">
            <v>411-25038-002-2872</v>
          </cell>
          <cell r="J534">
            <v>-43752.31</v>
          </cell>
        </row>
        <row r="535">
          <cell r="A535" t="str">
            <v>CIVLA</v>
          </cell>
          <cell r="B535" t="str">
            <v>411-25039-000-0000</v>
          </cell>
          <cell r="J535">
            <v>-1632144.35</v>
          </cell>
        </row>
        <row r="536">
          <cell r="A536" t="str">
            <v>CIVLA</v>
          </cell>
          <cell r="B536" t="str">
            <v>411-25039-002-0000</v>
          </cell>
          <cell r="J536">
            <v>-1632144.35</v>
          </cell>
        </row>
        <row r="537">
          <cell r="A537" t="str">
            <v>CIVLA</v>
          </cell>
          <cell r="B537" t="str">
            <v>411-25039-002-2872</v>
          </cell>
          <cell r="J537">
            <v>-1632144.35</v>
          </cell>
        </row>
        <row r="538">
          <cell r="A538" t="str">
            <v>CIVLA</v>
          </cell>
          <cell r="B538" t="str">
            <v>411-25040-000-0000</v>
          </cell>
          <cell r="J538">
            <v>-7564780.7699999996</v>
          </cell>
        </row>
        <row r="539">
          <cell r="A539" t="str">
            <v>CIVLA</v>
          </cell>
          <cell r="B539" t="str">
            <v>411-25040-002-0000</v>
          </cell>
          <cell r="J539">
            <v>-7564780.7699999996</v>
          </cell>
        </row>
        <row r="540">
          <cell r="A540" t="str">
            <v>CIVLA</v>
          </cell>
          <cell r="B540" t="str">
            <v>411-25040-002-1127</v>
          </cell>
          <cell r="J540">
            <v>-7564780.7699999996</v>
          </cell>
        </row>
        <row r="541">
          <cell r="A541" t="str">
            <v>CIVLA</v>
          </cell>
          <cell r="B541" t="str">
            <v>411-25041-000-0000</v>
          </cell>
          <cell r="J541">
            <v>-994613.14</v>
          </cell>
        </row>
        <row r="542">
          <cell r="A542" t="str">
            <v>CIVLA</v>
          </cell>
          <cell r="B542" t="str">
            <v>411-25041-002-0000</v>
          </cell>
          <cell r="J542">
            <v>-994613.14</v>
          </cell>
        </row>
        <row r="543">
          <cell r="A543" t="str">
            <v>CIVLA</v>
          </cell>
          <cell r="B543" t="str">
            <v>411-25041-002-2872</v>
          </cell>
          <cell r="J543">
            <v>-994613.14</v>
          </cell>
        </row>
        <row r="544">
          <cell r="A544" t="str">
            <v>CIVLA</v>
          </cell>
          <cell r="B544" t="str">
            <v>411-25042-000-0000</v>
          </cell>
          <cell r="J544">
            <v>-644579.03</v>
          </cell>
        </row>
        <row r="545">
          <cell r="A545" t="str">
            <v>CIVLA</v>
          </cell>
          <cell r="B545" t="str">
            <v>411-25042-002-0000</v>
          </cell>
          <cell r="J545">
            <v>-644579.03</v>
          </cell>
        </row>
        <row r="546">
          <cell r="A546" t="str">
            <v>CIVLA</v>
          </cell>
          <cell r="B546" t="str">
            <v>411-25042-002-2872</v>
          </cell>
          <cell r="J546">
            <v>-644579.03</v>
          </cell>
        </row>
        <row r="547">
          <cell r="A547" t="str">
            <v>CIVLA</v>
          </cell>
          <cell r="B547" t="str">
            <v>411-25043-000-0000</v>
          </cell>
          <cell r="J547">
            <v>-138590.35</v>
          </cell>
        </row>
        <row r="548">
          <cell r="A548" t="str">
            <v>CIVLA</v>
          </cell>
          <cell r="B548" t="str">
            <v>411-25043-002-0000</v>
          </cell>
          <cell r="J548">
            <v>-138590.35</v>
          </cell>
        </row>
        <row r="549">
          <cell r="A549" t="str">
            <v>CIVLA</v>
          </cell>
          <cell r="B549" t="str">
            <v>411-25043-002-2872</v>
          </cell>
          <cell r="J549">
            <v>-138590.35</v>
          </cell>
        </row>
        <row r="550">
          <cell r="A550" t="str">
            <v>CIVLA</v>
          </cell>
          <cell r="B550" t="str">
            <v>411-25044-000-0000</v>
          </cell>
          <cell r="J550">
            <v>-7822805.1200000001</v>
          </cell>
        </row>
        <row r="551">
          <cell r="A551" t="str">
            <v>CIVLA</v>
          </cell>
          <cell r="B551" t="str">
            <v>411-25044-002-0000</v>
          </cell>
          <cell r="J551">
            <v>-7822805.1200000001</v>
          </cell>
        </row>
        <row r="552">
          <cell r="A552" t="str">
            <v>CIVLA</v>
          </cell>
          <cell r="B552" t="str">
            <v>411-25044-002-2872</v>
          </cell>
          <cell r="J552">
            <v>-7822805.1200000001</v>
          </cell>
        </row>
        <row r="553">
          <cell r="A553" t="str">
            <v>CIVLA</v>
          </cell>
          <cell r="B553" t="str">
            <v>411-25045-000-0000</v>
          </cell>
          <cell r="J553">
            <v>805158.86</v>
          </cell>
        </row>
        <row r="554">
          <cell r="A554" t="str">
            <v>CIVLA</v>
          </cell>
          <cell r="B554" t="str">
            <v>411-25045-002-0000</v>
          </cell>
          <cell r="J554">
            <v>805158.86</v>
          </cell>
        </row>
        <row r="555">
          <cell r="A555" t="str">
            <v>CIVLA</v>
          </cell>
          <cell r="B555" t="str">
            <v>411-25045-002-2872</v>
          </cell>
          <cell r="J555">
            <v>805158.86</v>
          </cell>
        </row>
        <row r="556">
          <cell r="A556" t="str">
            <v>CIVLA</v>
          </cell>
          <cell r="B556" t="str">
            <v>411-25046-000-0000</v>
          </cell>
          <cell r="J556">
            <v>-3131531.23</v>
          </cell>
        </row>
        <row r="557">
          <cell r="A557" t="str">
            <v>CIVLA</v>
          </cell>
          <cell r="B557" t="str">
            <v>411-25046-002-0000</v>
          </cell>
          <cell r="J557">
            <v>-3131531.23</v>
          </cell>
        </row>
        <row r="558">
          <cell r="A558" t="str">
            <v>CIVLA</v>
          </cell>
          <cell r="B558" t="str">
            <v>411-25046-002-2872</v>
          </cell>
          <cell r="J558">
            <v>-3131531.23</v>
          </cell>
        </row>
        <row r="559">
          <cell r="A559" t="str">
            <v>CIVLA</v>
          </cell>
          <cell r="B559" t="str">
            <v>411-25047-000-0000</v>
          </cell>
          <cell r="J559">
            <v>-1459223.63</v>
          </cell>
        </row>
        <row r="560">
          <cell r="A560" t="str">
            <v>CIVLA</v>
          </cell>
          <cell r="B560" t="str">
            <v>411-25047-002-0000</v>
          </cell>
          <cell r="J560">
            <v>-1459223.63</v>
          </cell>
        </row>
        <row r="561">
          <cell r="A561" t="str">
            <v>CIVLA</v>
          </cell>
          <cell r="B561" t="str">
            <v>411-25047-002-2872</v>
          </cell>
          <cell r="J561">
            <v>-1459223.63</v>
          </cell>
        </row>
        <row r="562">
          <cell r="A562" t="str">
            <v>CIVLA</v>
          </cell>
          <cell r="B562" t="str">
            <v>411-25301-000-0000</v>
          </cell>
          <cell r="J562">
            <v>-5611.91</v>
          </cell>
        </row>
        <row r="563">
          <cell r="A563" t="str">
            <v>CIVLA</v>
          </cell>
          <cell r="B563" t="str">
            <v>411-25301-002-0000</v>
          </cell>
          <cell r="J563">
            <v>-5611.91</v>
          </cell>
        </row>
        <row r="564">
          <cell r="A564" t="str">
            <v>CIVLA</v>
          </cell>
          <cell r="B564" t="str">
            <v>411-25301-002-0467</v>
          </cell>
          <cell r="J564">
            <v>-5611.91</v>
          </cell>
        </row>
        <row r="565">
          <cell r="A565" t="str">
            <v>CIVLA</v>
          </cell>
          <cell r="B565" t="str">
            <v>411-25303-000-0000</v>
          </cell>
          <cell r="J565">
            <v>-11834.21</v>
          </cell>
        </row>
        <row r="566">
          <cell r="A566" t="str">
            <v>CIVLA</v>
          </cell>
          <cell r="B566" t="str">
            <v>411-25303-004-0000</v>
          </cell>
          <cell r="J566">
            <v>-11834.21</v>
          </cell>
        </row>
        <row r="567">
          <cell r="A567" t="str">
            <v>CIVLA</v>
          </cell>
          <cell r="B567" t="str">
            <v>411-25303-004-1616</v>
          </cell>
          <cell r="J567">
            <v>-11834.21</v>
          </cell>
        </row>
        <row r="568">
          <cell r="A568" t="str">
            <v>CIVLA</v>
          </cell>
          <cell r="B568" t="str">
            <v>411-25403-000-0000</v>
          </cell>
          <cell r="J568">
            <v>-6468.13</v>
          </cell>
        </row>
        <row r="569">
          <cell r="A569" t="str">
            <v>CIVLA</v>
          </cell>
          <cell r="B569" t="str">
            <v>411-25403-002-0000</v>
          </cell>
          <cell r="J569">
            <v>-6468.13</v>
          </cell>
        </row>
        <row r="570">
          <cell r="A570" t="str">
            <v>CIVLA</v>
          </cell>
          <cell r="B570" t="str">
            <v>411-25403-002-2872</v>
          </cell>
          <cell r="J570">
            <v>-6468.13</v>
          </cell>
        </row>
        <row r="571">
          <cell r="A571" t="str">
            <v>CIVLA</v>
          </cell>
          <cell r="B571" t="str">
            <v>411-25406-000-0000</v>
          </cell>
          <cell r="J571">
            <v>-103718</v>
          </cell>
        </row>
        <row r="572">
          <cell r="A572" t="str">
            <v>CIVLA</v>
          </cell>
          <cell r="B572" t="str">
            <v>411-25406-002-0000</v>
          </cell>
          <cell r="J572">
            <v>-103718</v>
          </cell>
        </row>
        <row r="573">
          <cell r="A573" t="str">
            <v>CIVLA</v>
          </cell>
          <cell r="B573" t="str">
            <v>411-25406-002-2872</v>
          </cell>
          <cell r="J573">
            <v>-103718</v>
          </cell>
        </row>
        <row r="574">
          <cell r="A574" t="str">
            <v>CIVLA</v>
          </cell>
          <cell r="B574" t="str">
            <v>411-25777-000-0000</v>
          </cell>
          <cell r="J574">
            <v>-3017241.38</v>
          </cell>
        </row>
        <row r="575">
          <cell r="A575" t="str">
            <v>CIVLA</v>
          </cell>
          <cell r="B575" t="str">
            <v>411-25777-004-0000</v>
          </cell>
          <cell r="J575">
            <v>-3017241.38</v>
          </cell>
        </row>
        <row r="576">
          <cell r="A576" t="str">
            <v>CIVLA</v>
          </cell>
          <cell r="B576" t="str">
            <v>411-25777-004-2872</v>
          </cell>
          <cell r="J576">
            <v>-3017241.38</v>
          </cell>
        </row>
        <row r="577">
          <cell r="A577" t="str">
            <v>CIVLA</v>
          </cell>
          <cell r="B577" t="str">
            <v>411-26004-000-0000</v>
          </cell>
          <cell r="J577">
            <v>-2554498.4500000002</v>
          </cell>
        </row>
        <row r="578">
          <cell r="A578" t="str">
            <v>CIVLA</v>
          </cell>
          <cell r="B578" t="str">
            <v>411-26004-002-0000</v>
          </cell>
          <cell r="J578">
            <v>-2554498.4500000002</v>
          </cell>
        </row>
        <row r="579">
          <cell r="A579" t="str">
            <v>CIVLA</v>
          </cell>
          <cell r="B579" t="str">
            <v>411-26004-002-2872</v>
          </cell>
          <cell r="J579">
            <v>-2554498.4500000002</v>
          </cell>
        </row>
        <row r="580">
          <cell r="A580" t="str">
            <v>CIVLA</v>
          </cell>
          <cell r="B580" t="str">
            <v>411-26005-000-0000</v>
          </cell>
          <cell r="J580">
            <v>-820367.03</v>
          </cell>
        </row>
        <row r="581">
          <cell r="A581" t="str">
            <v>CIVLA</v>
          </cell>
          <cell r="B581" t="str">
            <v>411-26005-002-0000</v>
          </cell>
          <cell r="J581">
            <v>-820367.03</v>
          </cell>
        </row>
        <row r="582">
          <cell r="A582" t="str">
            <v>CIVLA</v>
          </cell>
          <cell r="B582" t="str">
            <v>411-26005-002-2872</v>
          </cell>
          <cell r="J582">
            <v>-820367.03</v>
          </cell>
        </row>
        <row r="583">
          <cell r="A583" t="str">
            <v>CIVLA</v>
          </cell>
          <cell r="B583" t="str">
            <v>411-26006-000-0000</v>
          </cell>
          <cell r="J583">
            <v>-509816.75</v>
          </cell>
        </row>
        <row r="584">
          <cell r="A584" t="str">
            <v>CIVLA</v>
          </cell>
          <cell r="B584" t="str">
            <v>411-26006-002-0000</v>
          </cell>
          <cell r="J584">
            <v>-509816.75</v>
          </cell>
        </row>
        <row r="585">
          <cell r="A585" t="str">
            <v>CIVLA</v>
          </cell>
          <cell r="B585" t="str">
            <v>411-26006-002-2872</v>
          </cell>
          <cell r="J585">
            <v>-509816.75</v>
          </cell>
        </row>
        <row r="586">
          <cell r="A586" t="str">
            <v>CIVLA</v>
          </cell>
          <cell r="B586" t="str">
            <v>411-26007-000-0000</v>
          </cell>
          <cell r="J586">
            <v>-478002.74</v>
          </cell>
        </row>
        <row r="587">
          <cell r="A587" t="str">
            <v>CIVLA</v>
          </cell>
          <cell r="B587" t="str">
            <v>411-26007-002-0000</v>
          </cell>
          <cell r="J587">
            <v>-478002.74</v>
          </cell>
        </row>
        <row r="588">
          <cell r="A588" t="str">
            <v>CIVLA</v>
          </cell>
          <cell r="B588" t="str">
            <v>411-26007-002-2872</v>
          </cell>
          <cell r="J588">
            <v>-478002.74</v>
          </cell>
        </row>
        <row r="589">
          <cell r="A589" t="str">
            <v>CIVLA</v>
          </cell>
          <cell r="B589" t="str">
            <v>411-26008-000-0000</v>
          </cell>
          <cell r="J589">
            <v>-2024364.55</v>
          </cell>
        </row>
        <row r="590">
          <cell r="A590" t="str">
            <v>CIVLA</v>
          </cell>
          <cell r="B590" t="str">
            <v>411-26008-002-0000</v>
          </cell>
          <cell r="J590">
            <v>-2024364.55</v>
          </cell>
        </row>
        <row r="591">
          <cell r="A591" t="str">
            <v>CIVLA</v>
          </cell>
          <cell r="B591" t="str">
            <v>411-26008-002-2872</v>
          </cell>
          <cell r="J591">
            <v>-2024364.55</v>
          </cell>
        </row>
        <row r="592">
          <cell r="A592" t="str">
            <v>CIVLA</v>
          </cell>
          <cell r="B592" t="str">
            <v>411-26009-000-0000</v>
          </cell>
          <cell r="J592">
            <v>-745507.83999999997</v>
          </cell>
        </row>
        <row r="593">
          <cell r="A593" t="str">
            <v>CIVLA</v>
          </cell>
          <cell r="B593" t="str">
            <v>411-26009-002-0000</v>
          </cell>
          <cell r="J593">
            <v>-745507.83999999997</v>
          </cell>
        </row>
        <row r="594">
          <cell r="A594" t="str">
            <v>CIVLA</v>
          </cell>
          <cell r="B594" t="str">
            <v>411-26009-002-2872</v>
          </cell>
          <cell r="J594">
            <v>-745507.83999999997</v>
          </cell>
        </row>
        <row r="595">
          <cell r="A595" t="str">
            <v>CIVLA</v>
          </cell>
          <cell r="B595" t="str">
            <v>411-26010-000-0000</v>
          </cell>
          <cell r="J595">
            <v>-732669.6</v>
          </cell>
        </row>
        <row r="596">
          <cell r="A596" t="str">
            <v>CIVLA</v>
          </cell>
          <cell r="B596" t="str">
            <v>411-26010-002-0000</v>
          </cell>
          <cell r="J596">
            <v>-732669.6</v>
          </cell>
        </row>
        <row r="597">
          <cell r="A597" t="str">
            <v>CIVLA</v>
          </cell>
          <cell r="B597" t="str">
            <v>411-26010-002-2872</v>
          </cell>
          <cell r="J597">
            <v>-732669.6</v>
          </cell>
        </row>
        <row r="598">
          <cell r="A598" t="str">
            <v>CIVLA</v>
          </cell>
          <cell r="B598" t="str">
            <v>411-26011-000-0000</v>
          </cell>
          <cell r="J598">
            <v>-1952422.71</v>
          </cell>
        </row>
        <row r="599">
          <cell r="A599" t="str">
            <v>CIVLA</v>
          </cell>
          <cell r="B599" t="str">
            <v>411-26011-002-0000</v>
          </cell>
          <cell r="J599">
            <v>-1952422.71</v>
          </cell>
        </row>
        <row r="600">
          <cell r="A600" t="str">
            <v>CIVLA</v>
          </cell>
          <cell r="B600" t="str">
            <v>411-26011-002-2872</v>
          </cell>
          <cell r="J600">
            <v>-1952422.71</v>
          </cell>
        </row>
        <row r="601">
          <cell r="A601" t="str">
            <v>CIVLA</v>
          </cell>
          <cell r="B601" t="str">
            <v>411-26012-000-0000</v>
          </cell>
          <cell r="J601">
            <v>-742654.2</v>
          </cell>
        </row>
        <row r="602">
          <cell r="A602" t="str">
            <v>CIVLA</v>
          </cell>
          <cell r="B602" t="str">
            <v>411-26012-002-0000</v>
          </cell>
          <cell r="J602">
            <v>-742654.2</v>
          </cell>
        </row>
        <row r="603">
          <cell r="A603" t="str">
            <v>CIVLA</v>
          </cell>
          <cell r="B603" t="str">
            <v>411-26012-002-2872</v>
          </cell>
          <cell r="J603">
            <v>-742654.2</v>
          </cell>
        </row>
        <row r="604">
          <cell r="A604" t="str">
            <v>CIVLA</v>
          </cell>
          <cell r="B604" t="str">
            <v>411-26013-000-0000</v>
          </cell>
          <cell r="J604">
            <v>-123498.09</v>
          </cell>
        </row>
        <row r="605">
          <cell r="A605" t="str">
            <v>CIVLA</v>
          </cell>
          <cell r="B605" t="str">
            <v>411-26013-002-0000</v>
          </cell>
          <cell r="J605">
            <v>-123498.09</v>
          </cell>
        </row>
        <row r="606">
          <cell r="A606" t="str">
            <v>CIVLA</v>
          </cell>
          <cell r="B606" t="str">
            <v>411-26013-002-2872</v>
          </cell>
          <cell r="J606">
            <v>-123498.09</v>
          </cell>
        </row>
        <row r="607">
          <cell r="A607" t="str">
            <v>CIVLA</v>
          </cell>
          <cell r="B607" t="str">
            <v>411-26014-000-0000</v>
          </cell>
          <cell r="J607">
            <v>-973469.27</v>
          </cell>
        </row>
        <row r="608">
          <cell r="A608" t="str">
            <v>CIVLA</v>
          </cell>
          <cell r="B608" t="str">
            <v>411-26014-002-0000</v>
          </cell>
          <cell r="J608">
            <v>-973469.27</v>
          </cell>
        </row>
        <row r="609">
          <cell r="A609" t="str">
            <v>CIVLA</v>
          </cell>
          <cell r="B609" t="str">
            <v>411-26014-002-2872</v>
          </cell>
          <cell r="J609">
            <v>-973469.27</v>
          </cell>
        </row>
        <row r="610">
          <cell r="A610" t="str">
            <v>CIVLA</v>
          </cell>
          <cell r="B610" t="str">
            <v>411-26015-000-0000</v>
          </cell>
          <cell r="J610">
            <v>-977457.43</v>
          </cell>
        </row>
        <row r="611">
          <cell r="A611" t="str">
            <v>CIVLA</v>
          </cell>
          <cell r="B611" t="str">
            <v>411-26015-002-0000</v>
          </cell>
          <cell r="J611">
            <v>-977457.43</v>
          </cell>
        </row>
        <row r="612">
          <cell r="A612" t="str">
            <v>CIVLA</v>
          </cell>
          <cell r="B612" t="str">
            <v>411-26015-002-2872</v>
          </cell>
          <cell r="J612">
            <v>-977457.43</v>
          </cell>
        </row>
        <row r="613">
          <cell r="A613" t="str">
            <v>CIVLA</v>
          </cell>
          <cell r="B613" t="str">
            <v>411-26016-000-0000</v>
          </cell>
          <cell r="J613">
            <v>-14846.43</v>
          </cell>
        </row>
        <row r="614">
          <cell r="A614" t="str">
            <v>CIVLA</v>
          </cell>
          <cell r="B614" t="str">
            <v>411-26016-002-0000</v>
          </cell>
          <cell r="J614">
            <v>-14846.43</v>
          </cell>
        </row>
        <row r="615">
          <cell r="A615" t="str">
            <v>CIVLA</v>
          </cell>
          <cell r="B615" t="str">
            <v>411-26016-002-2872</v>
          </cell>
          <cell r="J615">
            <v>-14846.43</v>
          </cell>
        </row>
        <row r="616">
          <cell r="A616" t="str">
            <v>CIVLA</v>
          </cell>
          <cell r="B616" t="str">
            <v>411-26017-000-0000</v>
          </cell>
          <cell r="J616">
            <v>-2646679.87</v>
          </cell>
        </row>
        <row r="617">
          <cell r="A617" t="str">
            <v>CIVLA</v>
          </cell>
          <cell r="B617" t="str">
            <v>411-26017-002-0000</v>
          </cell>
          <cell r="J617">
            <v>-2646679.87</v>
          </cell>
        </row>
        <row r="618">
          <cell r="A618" t="str">
            <v>CIVLA</v>
          </cell>
          <cell r="B618" t="str">
            <v>411-26017-002-2872</v>
          </cell>
          <cell r="J618">
            <v>-2646679.87</v>
          </cell>
        </row>
        <row r="619">
          <cell r="A619" t="str">
            <v>CIVLA</v>
          </cell>
          <cell r="B619" t="str">
            <v>411-26018-000-0000</v>
          </cell>
          <cell r="J619">
            <v>-2217060.91</v>
          </cell>
        </row>
        <row r="620">
          <cell r="A620" t="str">
            <v>CIVLA</v>
          </cell>
          <cell r="B620" t="str">
            <v>411-26018-002-0000</v>
          </cell>
          <cell r="J620">
            <v>-2217060.91</v>
          </cell>
        </row>
        <row r="621">
          <cell r="A621" t="str">
            <v>CIVLA</v>
          </cell>
          <cell r="B621" t="str">
            <v>411-26018-002-0813</v>
          </cell>
          <cell r="J621">
            <v>-2217060.91</v>
          </cell>
        </row>
        <row r="622">
          <cell r="A622" t="str">
            <v>CIVLA</v>
          </cell>
          <cell r="B622" t="str">
            <v>411-26019-000-0000</v>
          </cell>
          <cell r="J622">
            <v>-1983953.24</v>
          </cell>
        </row>
        <row r="623">
          <cell r="A623" t="str">
            <v>CIVLA</v>
          </cell>
          <cell r="B623" t="str">
            <v>411-26019-002-0000</v>
          </cell>
          <cell r="J623">
            <v>-1983953.24</v>
          </cell>
        </row>
        <row r="624">
          <cell r="A624" t="str">
            <v>CIVLA</v>
          </cell>
          <cell r="B624" t="str">
            <v>411-26019-002-1127</v>
          </cell>
          <cell r="J624">
            <v>-1983953.24</v>
          </cell>
        </row>
        <row r="625">
          <cell r="A625" t="str">
            <v>CIVLA</v>
          </cell>
          <cell r="B625" t="str">
            <v>411-26020-000-0000</v>
          </cell>
          <cell r="J625">
            <v>-125370.58</v>
          </cell>
        </row>
        <row r="626">
          <cell r="A626" t="str">
            <v>CIVLA</v>
          </cell>
          <cell r="B626" t="str">
            <v>411-26020-002-0000</v>
          </cell>
          <cell r="J626">
            <v>-125370.58</v>
          </cell>
        </row>
        <row r="627">
          <cell r="A627" t="str">
            <v>CIVLA</v>
          </cell>
          <cell r="B627" t="str">
            <v>411-26020-002-2872</v>
          </cell>
          <cell r="J627">
            <v>-125370.58</v>
          </cell>
        </row>
        <row r="628">
          <cell r="A628" t="str">
            <v>CIVLA</v>
          </cell>
          <cell r="B628" t="str">
            <v>411-26021-000-0000</v>
          </cell>
          <cell r="J628">
            <v>-42569.82</v>
          </cell>
        </row>
        <row r="629">
          <cell r="A629" t="str">
            <v>CIVLA</v>
          </cell>
          <cell r="B629" t="str">
            <v>411-26021-002-0000</v>
          </cell>
          <cell r="J629">
            <v>-42569.82</v>
          </cell>
        </row>
        <row r="630">
          <cell r="A630" t="str">
            <v>CIVLA</v>
          </cell>
          <cell r="B630" t="str">
            <v>411-26021-002-2872</v>
          </cell>
          <cell r="J630">
            <v>-42569.82</v>
          </cell>
        </row>
        <row r="631">
          <cell r="A631" t="str">
            <v>CIVLA</v>
          </cell>
          <cell r="B631" t="str">
            <v>411-26022-000-0000</v>
          </cell>
          <cell r="J631">
            <v>-35568.49</v>
          </cell>
        </row>
        <row r="632">
          <cell r="A632" t="str">
            <v>CIVLA</v>
          </cell>
          <cell r="B632" t="str">
            <v>411-26022-002-0000</v>
          </cell>
          <cell r="J632">
            <v>-35568.49</v>
          </cell>
        </row>
        <row r="633">
          <cell r="A633" t="str">
            <v>CIVLA</v>
          </cell>
          <cell r="B633" t="str">
            <v>411-26022-002-2872</v>
          </cell>
          <cell r="J633">
            <v>-35568.49</v>
          </cell>
        </row>
        <row r="634">
          <cell r="A634" t="str">
            <v>CIVLA</v>
          </cell>
          <cell r="B634" t="str">
            <v>411-26023-000-0000</v>
          </cell>
          <cell r="J634">
            <v>-2896.07</v>
          </cell>
        </row>
        <row r="635">
          <cell r="A635" t="str">
            <v>CIVLA</v>
          </cell>
          <cell r="B635" t="str">
            <v>411-26023-002-0000</v>
          </cell>
          <cell r="J635">
            <v>-2896.07</v>
          </cell>
        </row>
        <row r="636">
          <cell r="A636" t="str">
            <v>CIVLA</v>
          </cell>
          <cell r="B636" t="str">
            <v>411-26023-002-2872</v>
          </cell>
          <cell r="J636">
            <v>-2896.07</v>
          </cell>
        </row>
        <row r="637">
          <cell r="A637" t="str">
            <v>CIVLA</v>
          </cell>
          <cell r="B637" t="str">
            <v>411-26025-000-0000</v>
          </cell>
          <cell r="J637">
            <v>-56667</v>
          </cell>
        </row>
        <row r="638">
          <cell r="A638" t="str">
            <v>CIVLA</v>
          </cell>
          <cell r="B638" t="str">
            <v>411-26025-002-0000</v>
          </cell>
          <cell r="J638">
            <v>-56667</v>
          </cell>
        </row>
        <row r="639">
          <cell r="A639" t="str">
            <v>CIVLA</v>
          </cell>
          <cell r="B639" t="str">
            <v>411-26025-002-2872</v>
          </cell>
          <cell r="J639">
            <v>-56667</v>
          </cell>
        </row>
        <row r="640">
          <cell r="A640" t="str">
            <v>CIVLA</v>
          </cell>
          <cell r="B640" t="str">
            <v>411-26026-000-0000</v>
          </cell>
          <cell r="J640">
            <v>-3259072.28</v>
          </cell>
        </row>
        <row r="641">
          <cell r="A641" t="str">
            <v>CIVLA</v>
          </cell>
          <cell r="B641" t="str">
            <v>411-26026-002-0000</v>
          </cell>
          <cell r="J641">
            <v>-3259072.28</v>
          </cell>
        </row>
        <row r="642">
          <cell r="A642" t="str">
            <v>CIVLA</v>
          </cell>
          <cell r="B642" t="str">
            <v>411-26026-002-0813</v>
          </cell>
          <cell r="J642">
            <v>-3259072.28</v>
          </cell>
        </row>
        <row r="643">
          <cell r="A643" t="str">
            <v>CIVLA</v>
          </cell>
          <cell r="B643" t="str">
            <v>411-26027-000-0000</v>
          </cell>
          <cell r="J643">
            <v>-2112280.9500000002</v>
          </cell>
        </row>
        <row r="644">
          <cell r="A644" t="str">
            <v>CIVLA</v>
          </cell>
          <cell r="B644" t="str">
            <v>411-26027-002-0000</v>
          </cell>
          <cell r="J644">
            <v>-2112280.9500000002</v>
          </cell>
        </row>
        <row r="645">
          <cell r="A645" t="str">
            <v>CIVLA</v>
          </cell>
          <cell r="B645" t="str">
            <v>411-26027-002-2872</v>
          </cell>
          <cell r="J645">
            <v>-2112280.9500000002</v>
          </cell>
        </row>
        <row r="646">
          <cell r="A646" t="str">
            <v>CIVLA</v>
          </cell>
          <cell r="B646" t="str">
            <v>411-26028-000-0000</v>
          </cell>
          <cell r="J646">
            <v>-1183346.3600000001</v>
          </cell>
        </row>
        <row r="647">
          <cell r="A647" t="str">
            <v>CIVLA</v>
          </cell>
          <cell r="B647" t="str">
            <v>411-26028-002-0000</v>
          </cell>
          <cell r="J647">
            <v>-1183346.3600000001</v>
          </cell>
        </row>
        <row r="648">
          <cell r="A648" t="str">
            <v>CIVLA</v>
          </cell>
          <cell r="B648" t="str">
            <v>411-26028-002-1127</v>
          </cell>
          <cell r="J648">
            <v>-1183346.3600000001</v>
          </cell>
        </row>
        <row r="649">
          <cell r="A649" t="str">
            <v>CIVLA</v>
          </cell>
          <cell r="B649" t="str">
            <v>411-26029-000-0000</v>
          </cell>
          <cell r="J649">
            <v>-30479</v>
          </cell>
        </row>
        <row r="650">
          <cell r="A650" t="str">
            <v>CIVLA</v>
          </cell>
          <cell r="B650" t="str">
            <v>411-26029-002-0000</v>
          </cell>
          <cell r="J650">
            <v>-30479</v>
          </cell>
        </row>
        <row r="651">
          <cell r="A651" t="str">
            <v>CIVLA</v>
          </cell>
          <cell r="B651" t="str">
            <v>411-26029-002-0467</v>
          </cell>
          <cell r="J651">
            <v>-30479</v>
          </cell>
        </row>
        <row r="652">
          <cell r="A652" t="str">
            <v>CIVLA</v>
          </cell>
          <cell r="B652" t="str">
            <v>411-26031-000-0000</v>
          </cell>
          <cell r="J652">
            <v>-2129205.85</v>
          </cell>
        </row>
        <row r="653">
          <cell r="A653" t="str">
            <v>CIVLA</v>
          </cell>
          <cell r="B653" t="str">
            <v>411-26031-002-0000</v>
          </cell>
          <cell r="J653">
            <v>-2129205.85</v>
          </cell>
        </row>
        <row r="654">
          <cell r="A654" t="str">
            <v>CIVLA</v>
          </cell>
          <cell r="B654" t="str">
            <v>411-26031-002-1127</v>
          </cell>
          <cell r="J654">
            <v>-2129205.85</v>
          </cell>
        </row>
        <row r="655">
          <cell r="A655" t="str">
            <v>CIVLA</v>
          </cell>
          <cell r="B655" t="str">
            <v>411-26032-000-0000</v>
          </cell>
          <cell r="J655">
            <v>-1677340.33</v>
          </cell>
        </row>
        <row r="656">
          <cell r="A656" t="str">
            <v>CIVLA</v>
          </cell>
          <cell r="B656" t="str">
            <v>411-26032-002-0000</v>
          </cell>
          <cell r="J656">
            <v>-1677340.33</v>
          </cell>
        </row>
        <row r="657">
          <cell r="A657" t="str">
            <v>CIVLA</v>
          </cell>
          <cell r="B657" t="str">
            <v>411-26032-002-2872</v>
          </cell>
          <cell r="J657">
            <v>-1677340.33</v>
          </cell>
        </row>
        <row r="658">
          <cell r="A658" t="str">
            <v>CIVLA</v>
          </cell>
          <cell r="B658" t="str">
            <v>411-26033-000-0000</v>
          </cell>
          <cell r="J658">
            <v>-1250404.33</v>
          </cell>
        </row>
        <row r="659">
          <cell r="A659" t="str">
            <v>CIVLA</v>
          </cell>
          <cell r="B659" t="str">
            <v>411-26033-002-0000</v>
          </cell>
          <cell r="J659">
            <v>-1250404.33</v>
          </cell>
        </row>
        <row r="660">
          <cell r="A660" t="str">
            <v>CIVLA</v>
          </cell>
          <cell r="B660" t="str">
            <v>411-26033-002-0467</v>
          </cell>
          <cell r="J660">
            <v>-1250404.33</v>
          </cell>
        </row>
        <row r="661">
          <cell r="A661" t="str">
            <v>CIVLA</v>
          </cell>
          <cell r="B661" t="str">
            <v>411-26034-000-0000</v>
          </cell>
          <cell r="J661">
            <v>-580835.6</v>
          </cell>
        </row>
        <row r="662">
          <cell r="A662" t="str">
            <v>CIVLA</v>
          </cell>
          <cell r="B662" t="str">
            <v>411-26034-002-0000</v>
          </cell>
          <cell r="J662">
            <v>-580835.6</v>
          </cell>
        </row>
        <row r="663">
          <cell r="A663" t="str">
            <v>CIVLA</v>
          </cell>
          <cell r="B663" t="str">
            <v>411-26034-002-2872</v>
          </cell>
          <cell r="J663">
            <v>-580835.6</v>
          </cell>
        </row>
        <row r="664">
          <cell r="A664" t="str">
            <v>CIVLA</v>
          </cell>
          <cell r="B664" t="str">
            <v>411-26035-000-0000</v>
          </cell>
          <cell r="J664">
            <v>-1290147.95</v>
          </cell>
        </row>
        <row r="665">
          <cell r="A665" t="str">
            <v>CIVLA</v>
          </cell>
          <cell r="B665" t="str">
            <v>411-26035-002-0000</v>
          </cell>
          <cell r="J665">
            <v>-1290147.95</v>
          </cell>
        </row>
        <row r="666">
          <cell r="A666" t="str">
            <v>CIVLA</v>
          </cell>
          <cell r="B666" t="str">
            <v>411-26035-002-2872</v>
          </cell>
          <cell r="J666">
            <v>-1290147.95</v>
          </cell>
        </row>
        <row r="667">
          <cell r="A667" t="str">
            <v>CIVLA</v>
          </cell>
          <cell r="B667" t="str">
            <v>411-26036-000-0000</v>
          </cell>
          <cell r="J667">
            <v>-3658.3</v>
          </cell>
        </row>
        <row r="668">
          <cell r="A668" t="str">
            <v>CIVLA</v>
          </cell>
          <cell r="B668" t="str">
            <v>411-26036-002-0000</v>
          </cell>
          <cell r="J668">
            <v>-3658.3</v>
          </cell>
        </row>
        <row r="669">
          <cell r="A669" t="str">
            <v>CIVLA</v>
          </cell>
          <cell r="B669" t="str">
            <v>411-26036-002-2872</v>
          </cell>
          <cell r="J669">
            <v>-3658.3</v>
          </cell>
        </row>
        <row r="670">
          <cell r="A670" t="str">
            <v>CIVLA</v>
          </cell>
          <cell r="B670" t="str">
            <v>411-26301-000-0000</v>
          </cell>
          <cell r="J670">
            <v>-453400.2</v>
          </cell>
        </row>
        <row r="671">
          <cell r="A671" t="str">
            <v>CIVLA</v>
          </cell>
          <cell r="B671" t="str">
            <v>411-26301-002-0000</v>
          </cell>
          <cell r="J671">
            <v>-453400.2</v>
          </cell>
        </row>
        <row r="672">
          <cell r="A672" t="str">
            <v>CIVLA</v>
          </cell>
          <cell r="B672" t="str">
            <v>411-26301-002-0467</v>
          </cell>
          <cell r="J672">
            <v>-453400.2</v>
          </cell>
        </row>
        <row r="673">
          <cell r="A673" t="str">
            <v>CIVLA</v>
          </cell>
          <cell r="B673" t="str">
            <v>411-26361-000-0000</v>
          </cell>
          <cell r="J673">
            <v>-1527557.45</v>
          </cell>
        </row>
        <row r="674">
          <cell r="A674" t="str">
            <v>CIVLA</v>
          </cell>
          <cell r="B674" t="str">
            <v>411-26361-002-0000</v>
          </cell>
          <cell r="J674">
            <v>-1527557.45</v>
          </cell>
        </row>
        <row r="675">
          <cell r="A675" t="str">
            <v>CIVLA</v>
          </cell>
          <cell r="B675" t="str">
            <v>411-26361-002-0467</v>
          </cell>
          <cell r="J675">
            <v>-1527557.45</v>
          </cell>
        </row>
        <row r="676">
          <cell r="A676" t="str">
            <v>CIVLA</v>
          </cell>
          <cell r="B676" t="str">
            <v>411-26362-000-0000</v>
          </cell>
          <cell r="J676">
            <v>-55351.7</v>
          </cell>
        </row>
        <row r="677">
          <cell r="A677" t="str">
            <v>CIVLA</v>
          </cell>
          <cell r="B677" t="str">
            <v>411-26362-002-0000</v>
          </cell>
          <cell r="J677">
            <v>-55351.7</v>
          </cell>
        </row>
        <row r="678">
          <cell r="A678" t="str">
            <v>CIVLA</v>
          </cell>
          <cell r="B678" t="str">
            <v>411-26362-002-0467</v>
          </cell>
          <cell r="J678">
            <v>-55351.7</v>
          </cell>
        </row>
        <row r="679">
          <cell r="A679" t="str">
            <v>CIVLA</v>
          </cell>
          <cell r="B679" t="str">
            <v>411-26363-000-0000</v>
          </cell>
          <cell r="J679">
            <v>-434555.59</v>
          </cell>
        </row>
        <row r="680">
          <cell r="A680" t="str">
            <v>CIVLA</v>
          </cell>
          <cell r="B680" t="str">
            <v>411-26363-002-0000</v>
          </cell>
          <cell r="J680">
            <v>-434555.59</v>
          </cell>
        </row>
        <row r="681">
          <cell r="A681" t="str">
            <v>CIVLA</v>
          </cell>
          <cell r="B681" t="str">
            <v>411-26363-002-0467</v>
          </cell>
          <cell r="J681">
            <v>-434555.59</v>
          </cell>
        </row>
        <row r="682">
          <cell r="A682" t="str">
            <v>CIVLA</v>
          </cell>
          <cell r="B682" t="str">
            <v>411-26401-000-0000</v>
          </cell>
          <cell r="J682">
            <v>-24582.32</v>
          </cell>
        </row>
        <row r="683">
          <cell r="A683" t="str">
            <v>CIVLA</v>
          </cell>
          <cell r="B683" t="str">
            <v>411-26401-002-0000</v>
          </cell>
          <cell r="J683">
            <v>-24582.32</v>
          </cell>
        </row>
        <row r="684">
          <cell r="A684" t="str">
            <v>CIVLA</v>
          </cell>
          <cell r="B684" t="str">
            <v>411-26401-002-0467</v>
          </cell>
          <cell r="J684">
            <v>-24582.32</v>
          </cell>
        </row>
        <row r="685">
          <cell r="A685" t="str">
            <v>CIVLA</v>
          </cell>
          <cell r="B685" t="str">
            <v>411-26402-000-0000</v>
          </cell>
          <cell r="J685">
            <v>-6446.03</v>
          </cell>
        </row>
        <row r="686">
          <cell r="A686" t="str">
            <v>CIVLA</v>
          </cell>
          <cell r="B686" t="str">
            <v>411-26402-002-0000</v>
          </cell>
          <cell r="J686">
            <v>-6446.03</v>
          </cell>
        </row>
        <row r="687">
          <cell r="A687" t="str">
            <v>CIVLA</v>
          </cell>
          <cell r="B687" t="str">
            <v>411-26402-002-2872</v>
          </cell>
          <cell r="J687">
            <v>-6446.03</v>
          </cell>
        </row>
        <row r="688">
          <cell r="A688" t="str">
            <v>CIVLA</v>
          </cell>
          <cell r="B688" t="str">
            <v>411-26403-000-0000</v>
          </cell>
          <cell r="J688">
            <v>-5854.6</v>
          </cell>
        </row>
        <row r="689">
          <cell r="A689" t="str">
            <v>CIVLA</v>
          </cell>
          <cell r="B689" t="str">
            <v>411-26403-002-0000</v>
          </cell>
          <cell r="J689">
            <v>-5854.6</v>
          </cell>
        </row>
        <row r="690">
          <cell r="A690" t="str">
            <v>CIVLA</v>
          </cell>
          <cell r="B690" t="str">
            <v>411-26403-002-0467</v>
          </cell>
          <cell r="J690">
            <v>-5854.6</v>
          </cell>
        </row>
        <row r="691">
          <cell r="A691" t="str">
            <v>CIVLA</v>
          </cell>
          <cell r="B691" t="str">
            <v>411-26404-000-0000</v>
          </cell>
          <cell r="J691">
            <v>-617.30999999999995</v>
          </cell>
        </row>
        <row r="692">
          <cell r="A692" t="str">
            <v>CIVLA</v>
          </cell>
          <cell r="B692" t="str">
            <v>411-26404-002-0000</v>
          </cell>
          <cell r="J692">
            <v>-617.30999999999995</v>
          </cell>
        </row>
        <row r="693">
          <cell r="A693" t="str">
            <v>CIVLA</v>
          </cell>
          <cell r="B693" t="str">
            <v>411-26404-002-0467</v>
          </cell>
          <cell r="J693">
            <v>-617.30999999999995</v>
          </cell>
        </row>
        <row r="694">
          <cell r="A694" t="str">
            <v>CIVLA</v>
          </cell>
          <cell r="B694" t="str">
            <v>411-26405-000-0000</v>
          </cell>
          <cell r="J694">
            <v>-3086.6</v>
          </cell>
        </row>
        <row r="695">
          <cell r="A695" t="str">
            <v>CIVLA</v>
          </cell>
          <cell r="B695" t="str">
            <v>411-26405-002-0000</v>
          </cell>
          <cell r="J695">
            <v>-3086.6</v>
          </cell>
        </row>
        <row r="696">
          <cell r="A696" t="str">
            <v>CIVLA</v>
          </cell>
          <cell r="B696" t="str">
            <v>411-26405-002-0467</v>
          </cell>
          <cell r="J696">
            <v>-3086.6</v>
          </cell>
        </row>
        <row r="697">
          <cell r="A697" t="str">
            <v>CIVLA</v>
          </cell>
          <cell r="B697" t="str">
            <v>411-26406-000-0000</v>
          </cell>
          <cell r="J697">
            <v>-4879.7299999999996</v>
          </cell>
        </row>
        <row r="698">
          <cell r="A698" t="str">
            <v>CIVLA</v>
          </cell>
          <cell r="B698" t="str">
            <v>411-26406-002-0000</v>
          </cell>
          <cell r="J698">
            <v>-4879.7299999999996</v>
          </cell>
        </row>
        <row r="699">
          <cell r="A699" t="str">
            <v>CIVLA</v>
          </cell>
          <cell r="B699" t="str">
            <v>411-26406-002-0467</v>
          </cell>
          <cell r="J699">
            <v>-4879.7299999999996</v>
          </cell>
        </row>
        <row r="700">
          <cell r="A700" t="str">
            <v>CIVLA</v>
          </cell>
          <cell r="B700" t="str">
            <v>411-26407-000-0000</v>
          </cell>
          <cell r="J700">
            <v>-12018.81</v>
          </cell>
        </row>
        <row r="701">
          <cell r="A701" t="str">
            <v>CIVLA</v>
          </cell>
          <cell r="B701" t="str">
            <v>411-26407-002-0000</v>
          </cell>
          <cell r="J701">
            <v>-12018.81</v>
          </cell>
        </row>
        <row r="702">
          <cell r="A702" t="str">
            <v>CIVLA</v>
          </cell>
          <cell r="B702" t="str">
            <v>411-26407-002-0467</v>
          </cell>
          <cell r="J702">
            <v>-12018.81</v>
          </cell>
        </row>
        <row r="703">
          <cell r="A703" t="str">
            <v>CIVLA</v>
          </cell>
          <cell r="B703" t="str">
            <v>411-26408-000-0000</v>
          </cell>
          <cell r="J703">
            <v>-16298.43</v>
          </cell>
        </row>
        <row r="704">
          <cell r="A704" t="str">
            <v>CIVLA</v>
          </cell>
          <cell r="B704" t="str">
            <v>411-26408-002-0000</v>
          </cell>
          <cell r="J704">
            <v>-16298.43</v>
          </cell>
        </row>
        <row r="705">
          <cell r="A705" t="str">
            <v>CIVLA</v>
          </cell>
          <cell r="B705" t="str">
            <v>411-26408-002-0467</v>
          </cell>
          <cell r="J705">
            <v>-16298.43</v>
          </cell>
        </row>
        <row r="706">
          <cell r="A706" t="str">
            <v>CIVLA</v>
          </cell>
          <cell r="B706" t="str">
            <v>411-26409-000-0000</v>
          </cell>
          <cell r="J706">
            <v>-19634.79</v>
          </cell>
        </row>
        <row r="707">
          <cell r="A707" t="str">
            <v>CIVLA</v>
          </cell>
          <cell r="B707" t="str">
            <v>411-26409-002-0000</v>
          </cell>
          <cell r="J707">
            <v>-19634.79</v>
          </cell>
        </row>
        <row r="708">
          <cell r="A708" t="str">
            <v>CIVLA</v>
          </cell>
          <cell r="B708" t="str">
            <v>411-26409-002-0467</v>
          </cell>
          <cell r="J708">
            <v>-19634.79</v>
          </cell>
        </row>
        <row r="709">
          <cell r="A709" t="str">
            <v>CIVLA</v>
          </cell>
          <cell r="B709" t="str">
            <v>411-26410-000-0000</v>
          </cell>
          <cell r="J709">
            <v>-10462.41</v>
          </cell>
        </row>
        <row r="710">
          <cell r="A710" t="str">
            <v>CIVLA</v>
          </cell>
          <cell r="B710" t="str">
            <v>411-26410-002-0000</v>
          </cell>
          <cell r="J710">
            <v>-10462.41</v>
          </cell>
        </row>
        <row r="711">
          <cell r="A711" t="str">
            <v>CIVLA</v>
          </cell>
          <cell r="B711" t="str">
            <v>411-26410-002-0467</v>
          </cell>
          <cell r="J711">
            <v>-10462.41</v>
          </cell>
        </row>
        <row r="712">
          <cell r="A712" t="str">
            <v>CIVLA</v>
          </cell>
          <cell r="B712" t="str">
            <v>411-26411-000-0000</v>
          </cell>
          <cell r="J712">
            <v>-6972.14</v>
          </cell>
        </row>
        <row r="713">
          <cell r="A713" t="str">
            <v>CIVLA</v>
          </cell>
          <cell r="B713" t="str">
            <v>411-26411-002-0000</v>
          </cell>
          <cell r="J713">
            <v>-6972.14</v>
          </cell>
        </row>
        <row r="714">
          <cell r="A714" t="str">
            <v>CIVLA</v>
          </cell>
          <cell r="B714" t="str">
            <v>411-26411-002-0467</v>
          </cell>
          <cell r="J714">
            <v>-6972.14</v>
          </cell>
        </row>
        <row r="715">
          <cell r="A715" t="str">
            <v>CIVLA</v>
          </cell>
          <cell r="B715" t="str">
            <v>411-26412-000-0000</v>
          </cell>
          <cell r="J715">
            <v>-3490.27</v>
          </cell>
        </row>
        <row r="716">
          <cell r="A716" t="str">
            <v>CIVLA</v>
          </cell>
          <cell r="B716" t="str">
            <v>411-26412-002-0000</v>
          </cell>
          <cell r="J716">
            <v>-3490.27</v>
          </cell>
        </row>
        <row r="717">
          <cell r="A717" t="str">
            <v>CIVLA</v>
          </cell>
          <cell r="B717" t="str">
            <v>411-26412-002-0467</v>
          </cell>
          <cell r="J717">
            <v>-3490.27</v>
          </cell>
        </row>
        <row r="718">
          <cell r="A718" t="str">
            <v>CIVLA</v>
          </cell>
          <cell r="B718" t="str">
            <v>411-26413-000-0000</v>
          </cell>
          <cell r="J718">
            <v>-3490.27</v>
          </cell>
        </row>
        <row r="719">
          <cell r="A719" t="str">
            <v>CIVLA</v>
          </cell>
          <cell r="B719" t="str">
            <v>411-26413-002-0000</v>
          </cell>
          <cell r="J719">
            <v>-3490.27</v>
          </cell>
        </row>
        <row r="720">
          <cell r="A720" t="str">
            <v>CIVLA</v>
          </cell>
          <cell r="B720" t="str">
            <v>411-26413-002-0467</v>
          </cell>
          <cell r="J720">
            <v>-3490.27</v>
          </cell>
        </row>
        <row r="721">
          <cell r="A721" t="str">
            <v>CIVLA</v>
          </cell>
          <cell r="B721" t="str">
            <v>411-26414-000-0000</v>
          </cell>
          <cell r="J721">
            <v>-18002.07</v>
          </cell>
        </row>
        <row r="722">
          <cell r="A722" t="str">
            <v>CIVLA</v>
          </cell>
          <cell r="B722" t="str">
            <v>411-26414-002-0000</v>
          </cell>
          <cell r="J722">
            <v>-18002.07</v>
          </cell>
        </row>
        <row r="723">
          <cell r="A723" t="str">
            <v>CIVLA</v>
          </cell>
          <cell r="B723" t="str">
            <v>411-26414-002-0467</v>
          </cell>
          <cell r="J723">
            <v>-18002.07</v>
          </cell>
        </row>
        <row r="724">
          <cell r="A724" t="str">
            <v>CIVLA</v>
          </cell>
          <cell r="B724" t="str">
            <v>411-26415-000-0000</v>
          </cell>
          <cell r="J724">
            <v>-6537.06</v>
          </cell>
        </row>
        <row r="725">
          <cell r="A725" t="str">
            <v>CIVLA</v>
          </cell>
          <cell r="B725" t="str">
            <v>411-26415-002-0000</v>
          </cell>
          <cell r="J725">
            <v>-6537.06</v>
          </cell>
        </row>
        <row r="726">
          <cell r="A726" t="str">
            <v>CIVLA</v>
          </cell>
          <cell r="B726" t="str">
            <v>411-26415-002-0467</v>
          </cell>
          <cell r="J726">
            <v>-5965.78</v>
          </cell>
        </row>
        <row r="727">
          <cell r="A727" t="str">
            <v>CIVLA</v>
          </cell>
          <cell r="B727" t="str">
            <v>411-26415-002-2872</v>
          </cell>
          <cell r="J727">
            <v>-571.28</v>
          </cell>
        </row>
        <row r="728">
          <cell r="A728" t="str">
            <v>CIVLA</v>
          </cell>
          <cell r="B728" t="str">
            <v>411-26416-000-0000</v>
          </cell>
          <cell r="J728">
            <v>-17799.939999999999</v>
          </cell>
        </row>
        <row r="729">
          <cell r="A729" t="str">
            <v>CIVLA</v>
          </cell>
          <cell r="B729" t="str">
            <v>411-26416-002-0000</v>
          </cell>
          <cell r="J729">
            <v>-17799.939999999999</v>
          </cell>
        </row>
        <row r="730">
          <cell r="A730" t="str">
            <v>CIVLA</v>
          </cell>
          <cell r="B730" t="str">
            <v>411-26416-002-0467</v>
          </cell>
          <cell r="J730">
            <v>-16086.11</v>
          </cell>
        </row>
        <row r="731">
          <cell r="A731" t="str">
            <v>CIVLA</v>
          </cell>
          <cell r="B731" t="str">
            <v>411-26416-002-2872</v>
          </cell>
          <cell r="J731">
            <v>-1713.83</v>
          </cell>
        </row>
        <row r="732">
          <cell r="A732" t="str">
            <v>CIVLA</v>
          </cell>
          <cell r="B732" t="str">
            <v>411-26417-000-0000</v>
          </cell>
          <cell r="J732">
            <v>-4058.33</v>
          </cell>
        </row>
        <row r="733">
          <cell r="A733" t="str">
            <v>CIVLA</v>
          </cell>
          <cell r="B733" t="str">
            <v>411-26417-002-0000</v>
          </cell>
          <cell r="J733">
            <v>-4058.33</v>
          </cell>
        </row>
        <row r="734">
          <cell r="A734" t="str">
            <v>CIVLA</v>
          </cell>
          <cell r="B734" t="str">
            <v>411-26417-002-0467</v>
          </cell>
          <cell r="J734">
            <v>-3678.12</v>
          </cell>
        </row>
        <row r="735">
          <cell r="A735" t="str">
            <v>CIVLA</v>
          </cell>
          <cell r="B735" t="str">
            <v>411-26417-002-2872</v>
          </cell>
          <cell r="J735">
            <v>-380.21</v>
          </cell>
        </row>
        <row r="736">
          <cell r="A736" t="str">
            <v>CIVLA</v>
          </cell>
          <cell r="B736" t="str">
            <v>411-26418-000-0000</v>
          </cell>
          <cell r="J736">
            <v>-27423.87</v>
          </cell>
        </row>
        <row r="737">
          <cell r="A737" t="str">
            <v>CIVLA</v>
          </cell>
          <cell r="B737" t="str">
            <v>411-26418-002-0000</v>
          </cell>
          <cell r="J737">
            <v>-27423.87</v>
          </cell>
        </row>
        <row r="738">
          <cell r="A738" t="str">
            <v>CIVLA</v>
          </cell>
          <cell r="B738" t="str">
            <v>411-26418-002-0467</v>
          </cell>
          <cell r="J738">
            <v>-27423.87</v>
          </cell>
        </row>
        <row r="739">
          <cell r="A739" t="str">
            <v>CIVLA</v>
          </cell>
          <cell r="B739" t="str">
            <v>411-26419-000-0000</v>
          </cell>
          <cell r="J739">
            <v>-11119.53</v>
          </cell>
        </row>
        <row r="740">
          <cell r="A740" t="str">
            <v>CIVLA</v>
          </cell>
          <cell r="B740" t="str">
            <v>411-26419-002-0000</v>
          </cell>
          <cell r="J740">
            <v>-11119.53</v>
          </cell>
        </row>
        <row r="741">
          <cell r="A741" t="str">
            <v>CIVLA</v>
          </cell>
          <cell r="B741" t="str">
            <v>411-26419-002-0467</v>
          </cell>
          <cell r="J741">
            <v>-11119.53</v>
          </cell>
        </row>
        <row r="742">
          <cell r="A742" t="str">
            <v>CIVLA</v>
          </cell>
          <cell r="B742" t="str">
            <v>411-26420-000-0000</v>
          </cell>
          <cell r="J742">
            <v>-5699.46</v>
          </cell>
        </row>
        <row r="743">
          <cell r="A743" t="str">
            <v>CIVLA</v>
          </cell>
          <cell r="B743" t="str">
            <v>411-26420-002-0000</v>
          </cell>
          <cell r="J743">
            <v>-5699.46</v>
          </cell>
        </row>
        <row r="744">
          <cell r="A744" t="str">
            <v>CIVLA</v>
          </cell>
          <cell r="B744" t="str">
            <v>411-26420-002-0467</v>
          </cell>
          <cell r="J744">
            <v>-5699.46</v>
          </cell>
        </row>
        <row r="745">
          <cell r="A745" t="str">
            <v>CIVLA</v>
          </cell>
          <cell r="B745" t="str">
            <v>411-26421-000-0000</v>
          </cell>
          <cell r="J745">
            <v>-8225.15</v>
          </cell>
        </row>
        <row r="746">
          <cell r="A746" t="str">
            <v>CIVLA</v>
          </cell>
          <cell r="B746" t="str">
            <v>411-26421-002-0000</v>
          </cell>
          <cell r="J746">
            <v>-8225.15</v>
          </cell>
        </row>
        <row r="747">
          <cell r="A747" t="str">
            <v>CIVLA</v>
          </cell>
          <cell r="B747" t="str">
            <v>411-26421-002-0467</v>
          </cell>
          <cell r="J747">
            <v>-8225.15</v>
          </cell>
        </row>
        <row r="748">
          <cell r="A748" t="str">
            <v>CIVLA</v>
          </cell>
          <cell r="B748" t="str">
            <v>411-26422-000-0000</v>
          </cell>
          <cell r="J748">
            <v>-28961.439999999999</v>
          </cell>
        </row>
        <row r="749">
          <cell r="A749" t="str">
            <v>CIVLA</v>
          </cell>
          <cell r="B749" t="str">
            <v>411-26422-002-0000</v>
          </cell>
          <cell r="J749">
            <v>-28961.439999999999</v>
          </cell>
        </row>
        <row r="750">
          <cell r="A750" t="str">
            <v>CIVLA</v>
          </cell>
          <cell r="B750" t="str">
            <v>411-26422-002-0467</v>
          </cell>
          <cell r="J750">
            <v>-28961.439999999999</v>
          </cell>
        </row>
        <row r="751">
          <cell r="A751" t="str">
            <v>CIVLA</v>
          </cell>
          <cell r="B751" t="str">
            <v>411-26423-000-0000</v>
          </cell>
          <cell r="J751">
            <v>-8225.15</v>
          </cell>
        </row>
        <row r="752">
          <cell r="A752" t="str">
            <v>CIVLA</v>
          </cell>
          <cell r="B752" t="str">
            <v>411-26423-002-0000</v>
          </cell>
          <cell r="J752">
            <v>-8225.15</v>
          </cell>
        </row>
        <row r="753">
          <cell r="A753" t="str">
            <v>CIVLA</v>
          </cell>
          <cell r="B753" t="str">
            <v>411-26423-002-0467</v>
          </cell>
          <cell r="J753">
            <v>-8225.15</v>
          </cell>
        </row>
        <row r="754">
          <cell r="A754" t="str">
            <v>CIVLA</v>
          </cell>
          <cell r="B754" t="str">
            <v>411-26424-000-0000</v>
          </cell>
          <cell r="J754">
            <v>-12038.57</v>
          </cell>
        </row>
        <row r="755">
          <cell r="A755" t="str">
            <v>CIVLA</v>
          </cell>
          <cell r="B755" t="str">
            <v>411-26424-002-0000</v>
          </cell>
          <cell r="J755">
            <v>-12038.57</v>
          </cell>
        </row>
        <row r="756">
          <cell r="A756" t="str">
            <v>CIVLA</v>
          </cell>
          <cell r="B756" t="str">
            <v>411-26424-002-0467</v>
          </cell>
          <cell r="J756">
            <v>-12038.57</v>
          </cell>
        </row>
        <row r="757">
          <cell r="A757" t="str">
            <v>CIVLA</v>
          </cell>
          <cell r="B757" t="str">
            <v>411-26425-000-0000</v>
          </cell>
          <cell r="J757">
            <v>-3678.9</v>
          </cell>
        </row>
        <row r="758">
          <cell r="A758" t="str">
            <v>CIVLA</v>
          </cell>
          <cell r="B758" t="str">
            <v>411-26425-002-0000</v>
          </cell>
          <cell r="J758">
            <v>-3678.9</v>
          </cell>
        </row>
        <row r="759">
          <cell r="A759" t="str">
            <v>CIVLA</v>
          </cell>
          <cell r="B759" t="str">
            <v>411-26425-002-0467</v>
          </cell>
          <cell r="J759">
            <v>-3678.9</v>
          </cell>
        </row>
        <row r="760">
          <cell r="A760" t="str">
            <v>CIVLA</v>
          </cell>
          <cell r="B760" t="str">
            <v>411-26426-000-0000</v>
          </cell>
          <cell r="J760">
            <v>-3173.76</v>
          </cell>
        </row>
        <row r="761">
          <cell r="A761" t="str">
            <v>CIVLA</v>
          </cell>
          <cell r="B761" t="str">
            <v>411-26426-002-0000</v>
          </cell>
          <cell r="J761">
            <v>-3173.76</v>
          </cell>
        </row>
        <row r="762">
          <cell r="A762" t="str">
            <v>CIVLA</v>
          </cell>
          <cell r="B762" t="str">
            <v>411-26426-002-0467</v>
          </cell>
          <cell r="J762">
            <v>-3173.76</v>
          </cell>
        </row>
        <row r="763">
          <cell r="A763" t="str">
            <v>CIVLA</v>
          </cell>
          <cell r="B763" t="str">
            <v>411-26427-000-0000</v>
          </cell>
          <cell r="J763">
            <v>-17733.830000000002</v>
          </cell>
        </row>
        <row r="764">
          <cell r="A764" t="str">
            <v>CIVLA</v>
          </cell>
          <cell r="B764" t="str">
            <v>411-26427-002-0000</v>
          </cell>
          <cell r="J764">
            <v>-17733.830000000002</v>
          </cell>
        </row>
        <row r="765">
          <cell r="A765" t="str">
            <v>CIVLA</v>
          </cell>
          <cell r="B765" t="str">
            <v>411-26427-002-0467</v>
          </cell>
          <cell r="J765">
            <v>-17733.830000000002</v>
          </cell>
        </row>
        <row r="766">
          <cell r="A766" t="str">
            <v>CIVLA</v>
          </cell>
          <cell r="B766" t="str">
            <v>411-26428-000-0000</v>
          </cell>
          <cell r="J766">
            <v>-3173.76</v>
          </cell>
        </row>
        <row r="767">
          <cell r="A767" t="str">
            <v>CIVLA</v>
          </cell>
          <cell r="B767" t="str">
            <v>411-26428-002-0000</v>
          </cell>
          <cell r="J767">
            <v>-3173.76</v>
          </cell>
        </row>
        <row r="768">
          <cell r="A768" t="str">
            <v>CIVLA</v>
          </cell>
          <cell r="B768" t="str">
            <v>411-26428-002-0467</v>
          </cell>
          <cell r="J768">
            <v>-3173.76</v>
          </cell>
        </row>
        <row r="769">
          <cell r="A769" t="str">
            <v>CIVLA</v>
          </cell>
          <cell r="B769" t="str">
            <v>411-26429-000-0000</v>
          </cell>
          <cell r="J769">
            <v>-9508.67</v>
          </cell>
        </row>
        <row r="770">
          <cell r="A770" t="str">
            <v>CIVLA</v>
          </cell>
          <cell r="B770" t="str">
            <v>411-26429-002-0000</v>
          </cell>
          <cell r="J770">
            <v>-9508.67</v>
          </cell>
        </row>
        <row r="771">
          <cell r="A771" t="str">
            <v>CIVLA</v>
          </cell>
          <cell r="B771" t="str">
            <v>411-26429-002-0467</v>
          </cell>
          <cell r="J771">
            <v>-9508.67</v>
          </cell>
        </row>
        <row r="772">
          <cell r="A772" t="str">
            <v>CIVLA</v>
          </cell>
          <cell r="B772" t="str">
            <v>411-26430-000-0000</v>
          </cell>
          <cell r="J772">
            <v>-3173.76</v>
          </cell>
        </row>
        <row r="773">
          <cell r="A773" t="str">
            <v>CIVLA</v>
          </cell>
          <cell r="B773" t="str">
            <v>411-26430-002-0000</v>
          </cell>
          <cell r="J773">
            <v>-3173.76</v>
          </cell>
        </row>
        <row r="774">
          <cell r="A774" t="str">
            <v>CIVLA</v>
          </cell>
          <cell r="B774" t="str">
            <v>411-26430-002-0467</v>
          </cell>
          <cell r="J774">
            <v>-3173.76</v>
          </cell>
        </row>
        <row r="775">
          <cell r="A775" t="str">
            <v>CIVLA</v>
          </cell>
          <cell r="B775" t="str">
            <v>411-26431-000-0000</v>
          </cell>
          <cell r="J775">
            <v>-19017.349999999999</v>
          </cell>
        </row>
        <row r="776">
          <cell r="A776" t="str">
            <v>CIVLA</v>
          </cell>
          <cell r="B776" t="str">
            <v>411-26431-002-0000</v>
          </cell>
          <cell r="J776">
            <v>-19017.349999999999</v>
          </cell>
        </row>
        <row r="777">
          <cell r="A777" t="str">
            <v>CIVLA</v>
          </cell>
          <cell r="B777" t="str">
            <v>411-26431-002-0467</v>
          </cell>
          <cell r="J777">
            <v>-19017.349999999999</v>
          </cell>
        </row>
        <row r="778">
          <cell r="A778" t="str">
            <v>CIVLA</v>
          </cell>
          <cell r="B778" t="str">
            <v>411-26432-000-0000</v>
          </cell>
          <cell r="J778">
            <v>-10750.85</v>
          </cell>
        </row>
        <row r="779">
          <cell r="A779" t="str">
            <v>CIVLA</v>
          </cell>
          <cell r="B779" t="str">
            <v>411-26432-002-0000</v>
          </cell>
          <cell r="J779">
            <v>-10750.85</v>
          </cell>
        </row>
        <row r="780">
          <cell r="A780" t="str">
            <v>CIVLA</v>
          </cell>
          <cell r="B780" t="str">
            <v>411-26432-002-0467</v>
          </cell>
          <cell r="J780">
            <v>-10750.85</v>
          </cell>
        </row>
        <row r="781">
          <cell r="A781" t="str">
            <v>CIVLA</v>
          </cell>
          <cell r="B781" t="str">
            <v>411-26433-000-0000</v>
          </cell>
          <cell r="J781">
            <v>-1658.34</v>
          </cell>
        </row>
        <row r="782">
          <cell r="A782" t="str">
            <v>CIVLA</v>
          </cell>
          <cell r="B782" t="str">
            <v>411-26433-002-0000</v>
          </cell>
          <cell r="J782">
            <v>-1658.34</v>
          </cell>
        </row>
        <row r="783">
          <cell r="A783" t="str">
            <v>CIVLA</v>
          </cell>
          <cell r="B783" t="str">
            <v>411-26433-002-0467</v>
          </cell>
          <cell r="J783">
            <v>-1658.34</v>
          </cell>
        </row>
        <row r="784">
          <cell r="A784" t="str">
            <v>CIVLA</v>
          </cell>
          <cell r="B784" t="str">
            <v>411-26434-000-0000</v>
          </cell>
          <cell r="J784">
            <v>-1658.34</v>
          </cell>
        </row>
        <row r="785">
          <cell r="A785" t="str">
            <v>CIVLA</v>
          </cell>
          <cell r="B785" t="str">
            <v>411-26434-002-0000</v>
          </cell>
          <cell r="J785">
            <v>-1658.34</v>
          </cell>
        </row>
        <row r="786">
          <cell r="A786" t="str">
            <v>CIVLA</v>
          </cell>
          <cell r="B786" t="str">
            <v>411-26434-002-0467</v>
          </cell>
          <cell r="J786">
            <v>-1658.34</v>
          </cell>
        </row>
        <row r="787">
          <cell r="A787" t="str">
            <v>CIVLA</v>
          </cell>
          <cell r="B787" t="str">
            <v>411-26435-000-0000</v>
          </cell>
          <cell r="J787">
            <v>-2394.88</v>
          </cell>
        </row>
        <row r="788">
          <cell r="A788" t="str">
            <v>CIVLA</v>
          </cell>
          <cell r="B788" t="str">
            <v>411-26435-002-0000</v>
          </cell>
          <cell r="J788">
            <v>-2394.88</v>
          </cell>
        </row>
        <row r="789">
          <cell r="A789" t="str">
            <v>CIVLA</v>
          </cell>
          <cell r="B789" t="str">
            <v>411-26435-002-0467</v>
          </cell>
          <cell r="J789">
            <v>-2394.88</v>
          </cell>
        </row>
        <row r="790">
          <cell r="A790" t="str">
            <v>CIVLA</v>
          </cell>
          <cell r="B790" t="str">
            <v>411-26436-000-0000</v>
          </cell>
          <cell r="J790">
            <v>-8932.42</v>
          </cell>
        </row>
        <row r="791">
          <cell r="A791" t="str">
            <v>CIVLA</v>
          </cell>
          <cell r="B791" t="str">
            <v>411-26436-002-0000</v>
          </cell>
          <cell r="J791">
            <v>-8932.42</v>
          </cell>
        </row>
        <row r="792">
          <cell r="A792" t="str">
            <v>CIVLA</v>
          </cell>
          <cell r="B792" t="str">
            <v>411-26436-002-0467</v>
          </cell>
          <cell r="J792">
            <v>-8932.42</v>
          </cell>
        </row>
        <row r="793">
          <cell r="A793" t="str">
            <v>CIVLA</v>
          </cell>
          <cell r="B793" t="str">
            <v>411-26437-000-0000</v>
          </cell>
          <cell r="J793">
            <v>-20501.150000000001</v>
          </cell>
        </row>
        <row r="794">
          <cell r="A794" t="str">
            <v>CIVLA</v>
          </cell>
          <cell r="B794" t="str">
            <v>411-26437-002-0000</v>
          </cell>
          <cell r="J794">
            <v>-20501.150000000001</v>
          </cell>
        </row>
        <row r="795">
          <cell r="A795" t="str">
            <v>CIVLA</v>
          </cell>
          <cell r="B795" t="str">
            <v>411-26437-002-2872</v>
          </cell>
          <cell r="J795">
            <v>-20501.150000000001</v>
          </cell>
        </row>
        <row r="796">
          <cell r="A796" t="str">
            <v>CIVLA</v>
          </cell>
          <cell r="B796" t="str">
            <v>411-26438-000-0000</v>
          </cell>
          <cell r="J796">
            <v>-5186.62</v>
          </cell>
        </row>
        <row r="797">
          <cell r="A797" t="str">
            <v>CIVLA</v>
          </cell>
          <cell r="B797" t="str">
            <v>411-26438-002-0000</v>
          </cell>
          <cell r="J797">
            <v>-5186.62</v>
          </cell>
        </row>
        <row r="798">
          <cell r="A798" t="str">
            <v>CIVLA</v>
          </cell>
          <cell r="B798" t="str">
            <v>411-26438-002-0467</v>
          </cell>
          <cell r="J798">
            <v>-5186.62</v>
          </cell>
        </row>
        <row r="799">
          <cell r="A799" t="str">
            <v>CIVLA</v>
          </cell>
          <cell r="B799" t="str">
            <v>411-26439-000-0000</v>
          </cell>
          <cell r="J799">
            <v>-327.81</v>
          </cell>
        </row>
        <row r="800">
          <cell r="A800" t="str">
            <v>CIVLA</v>
          </cell>
          <cell r="B800" t="str">
            <v>411-26439-002-0000</v>
          </cell>
          <cell r="J800">
            <v>-327.81</v>
          </cell>
        </row>
        <row r="801">
          <cell r="A801" t="str">
            <v>CIVLA</v>
          </cell>
          <cell r="B801" t="str">
            <v>411-26439-002-0467</v>
          </cell>
          <cell r="J801">
            <v>-327.81</v>
          </cell>
        </row>
        <row r="802">
          <cell r="A802" t="str">
            <v>CIVLA</v>
          </cell>
          <cell r="B802" t="str">
            <v>411-26440-000-0000</v>
          </cell>
          <cell r="J802">
            <v>-8242.2999999999993</v>
          </cell>
        </row>
        <row r="803">
          <cell r="A803" t="str">
            <v>CIVLA</v>
          </cell>
          <cell r="B803" t="str">
            <v>411-26440-002-0000</v>
          </cell>
          <cell r="J803">
            <v>-8242.2999999999993</v>
          </cell>
        </row>
        <row r="804">
          <cell r="A804" t="str">
            <v>CIVLA</v>
          </cell>
          <cell r="B804" t="str">
            <v>411-26440-002-0467</v>
          </cell>
          <cell r="J804">
            <v>-8242.2999999999993</v>
          </cell>
        </row>
        <row r="805">
          <cell r="A805" t="str">
            <v>CIVLA</v>
          </cell>
          <cell r="B805" t="str">
            <v>411-26441-000-0000</v>
          </cell>
          <cell r="J805">
            <v>-2593.31</v>
          </cell>
        </row>
        <row r="806">
          <cell r="A806" t="str">
            <v>CIVLA</v>
          </cell>
          <cell r="B806" t="str">
            <v>411-26441-002-0000</v>
          </cell>
          <cell r="J806">
            <v>-2593.31</v>
          </cell>
        </row>
        <row r="807">
          <cell r="A807" t="str">
            <v>CIVLA</v>
          </cell>
          <cell r="B807" t="str">
            <v>411-26441-002-0467</v>
          </cell>
          <cell r="J807">
            <v>-2593.31</v>
          </cell>
        </row>
        <row r="808">
          <cell r="A808" t="str">
            <v>CIVLA</v>
          </cell>
          <cell r="B808" t="str">
            <v>411-26442-000-0000</v>
          </cell>
          <cell r="J808">
            <v>-13312.14</v>
          </cell>
        </row>
        <row r="809">
          <cell r="A809" t="str">
            <v>CIVLA</v>
          </cell>
          <cell r="B809" t="str">
            <v>411-26442-002-0000</v>
          </cell>
          <cell r="J809">
            <v>-13312.14</v>
          </cell>
        </row>
        <row r="810">
          <cell r="A810" t="str">
            <v>CIVLA</v>
          </cell>
          <cell r="B810" t="str">
            <v>411-26442-002-0467</v>
          </cell>
          <cell r="J810">
            <v>-13312.14</v>
          </cell>
        </row>
        <row r="811">
          <cell r="A811" t="str">
            <v>CIVLA</v>
          </cell>
          <cell r="B811" t="str">
            <v>411-26443-000-0000</v>
          </cell>
          <cell r="J811">
            <v>-2593.31</v>
          </cell>
        </row>
        <row r="812">
          <cell r="A812" t="str">
            <v>CIVLA</v>
          </cell>
          <cell r="B812" t="str">
            <v>411-26443-002-0000</v>
          </cell>
          <cell r="J812">
            <v>-2593.31</v>
          </cell>
        </row>
        <row r="813">
          <cell r="A813" t="str">
            <v>CIVLA</v>
          </cell>
          <cell r="B813" t="str">
            <v>411-26443-002-0467</v>
          </cell>
          <cell r="J813">
            <v>-2593.31</v>
          </cell>
        </row>
        <row r="814">
          <cell r="A814" t="str">
            <v>CIVLA</v>
          </cell>
          <cell r="B814" t="str">
            <v>411-26444-000-0000</v>
          </cell>
          <cell r="J814">
            <v>-2593.31</v>
          </cell>
        </row>
        <row r="815">
          <cell r="A815" t="str">
            <v>CIVLA</v>
          </cell>
          <cell r="B815" t="str">
            <v>411-26444-002-0000</v>
          </cell>
          <cell r="J815">
            <v>-2593.31</v>
          </cell>
        </row>
        <row r="816">
          <cell r="A816" t="str">
            <v>CIVLA</v>
          </cell>
          <cell r="B816" t="str">
            <v>411-26444-002-0467</v>
          </cell>
          <cell r="J816">
            <v>-2593.31</v>
          </cell>
        </row>
        <row r="817">
          <cell r="A817" t="str">
            <v>CIVLA</v>
          </cell>
          <cell r="B817" t="str">
            <v>411-26445-000-0000</v>
          </cell>
          <cell r="J817">
            <v>-9065.35</v>
          </cell>
        </row>
        <row r="818">
          <cell r="A818" t="str">
            <v>CIVLA</v>
          </cell>
          <cell r="B818" t="str">
            <v>411-26445-002-0000</v>
          </cell>
          <cell r="J818">
            <v>-9065.35</v>
          </cell>
        </row>
        <row r="819">
          <cell r="A819" t="str">
            <v>CIVLA</v>
          </cell>
          <cell r="B819" t="str">
            <v>411-26445-002-0467</v>
          </cell>
          <cell r="J819">
            <v>-9065.35</v>
          </cell>
        </row>
        <row r="820">
          <cell r="A820" t="str">
            <v>CIVLA</v>
          </cell>
          <cell r="B820" t="str">
            <v>411-26446-000-0000</v>
          </cell>
          <cell r="J820">
            <v>-4725.54</v>
          </cell>
        </row>
        <row r="821">
          <cell r="A821" t="str">
            <v>CIVLA</v>
          </cell>
          <cell r="B821" t="str">
            <v>411-26446-002-0000</v>
          </cell>
          <cell r="J821">
            <v>-4725.54</v>
          </cell>
        </row>
        <row r="822">
          <cell r="A822" t="str">
            <v>CIVLA</v>
          </cell>
          <cell r="B822" t="str">
            <v>411-26446-002-0467</v>
          </cell>
          <cell r="J822">
            <v>-4725.54</v>
          </cell>
        </row>
        <row r="823">
          <cell r="A823" t="str">
            <v>CIVLA</v>
          </cell>
          <cell r="B823" t="str">
            <v>411-26447-000-0000</v>
          </cell>
          <cell r="J823">
            <v>-15559.85</v>
          </cell>
        </row>
        <row r="824">
          <cell r="A824" t="str">
            <v>CIVLA</v>
          </cell>
          <cell r="B824" t="str">
            <v>411-26447-002-0000</v>
          </cell>
          <cell r="J824">
            <v>-15559.85</v>
          </cell>
        </row>
        <row r="825">
          <cell r="A825" t="str">
            <v>CIVLA</v>
          </cell>
          <cell r="B825" t="str">
            <v>411-26447-002-0467</v>
          </cell>
          <cell r="J825">
            <v>-15559.85</v>
          </cell>
        </row>
        <row r="826">
          <cell r="A826" t="str">
            <v>CIVLA</v>
          </cell>
          <cell r="B826" t="str">
            <v>411-26448-000-0000</v>
          </cell>
          <cell r="J826">
            <v>-10373.23</v>
          </cell>
        </row>
        <row r="827">
          <cell r="A827" t="str">
            <v>CIVLA</v>
          </cell>
          <cell r="B827" t="str">
            <v>411-26448-002-0000</v>
          </cell>
          <cell r="J827">
            <v>-10373.23</v>
          </cell>
        </row>
        <row r="828">
          <cell r="A828" t="str">
            <v>CIVLA</v>
          </cell>
          <cell r="B828" t="str">
            <v>411-26448-002-0467</v>
          </cell>
          <cell r="J828">
            <v>-10373.23</v>
          </cell>
        </row>
        <row r="829">
          <cell r="A829" t="str">
            <v>CIVLA</v>
          </cell>
          <cell r="B829" t="str">
            <v>411-26449-000-0000</v>
          </cell>
          <cell r="J829">
            <v>-5186.62</v>
          </cell>
        </row>
        <row r="830">
          <cell r="A830" t="str">
            <v>CIVLA</v>
          </cell>
          <cell r="B830" t="str">
            <v>411-26449-002-0000</v>
          </cell>
          <cell r="J830">
            <v>-5186.62</v>
          </cell>
        </row>
        <row r="831">
          <cell r="A831" t="str">
            <v>CIVLA</v>
          </cell>
          <cell r="B831" t="str">
            <v>411-26449-002-0467</v>
          </cell>
          <cell r="J831">
            <v>-5186.62</v>
          </cell>
        </row>
        <row r="832">
          <cell r="A832" t="str">
            <v>CIVLA</v>
          </cell>
          <cell r="B832" t="str">
            <v>411-26450-000-0000</v>
          </cell>
          <cell r="J832">
            <v>-8356.17</v>
          </cell>
        </row>
        <row r="833">
          <cell r="A833" t="str">
            <v>CIVLA</v>
          </cell>
          <cell r="B833" t="str">
            <v>411-26450-002-0000</v>
          </cell>
          <cell r="J833">
            <v>-8356.17</v>
          </cell>
        </row>
        <row r="834">
          <cell r="A834" t="str">
            <v>CIVLA</v>
          </cell>
          <cell r="B834" t="str">
            <v>411-26450-002-0467</v>
          </cell>
          <cell r="J834">
            <v>-8356.17</v>
          </cell>
        </row>
        <row r="835">
          <cell r="A835" t="str">
            <v>CIVLA</v>
          </cell>
          <cell r="B835" t="str">
            <v>411-26451-000-0000</v>
          </cell>
          <cell r="J835">
            <v>-24203.96</v>
          </cell>
        </row>
        <row r="836">
          <cell r="A836" t="str">
            <v>CIVLA</v>
          </cell>
          <cell r="B836" t="str">
            <v>411-26451-002-0000</v>
          </cell>
          <cell r="J836">
            <v>-24203.96</v>
          </cell>
        </row>
        <row r="837">
          <cell r="A837" t="str">
            <v>CIVLA</v>
          </cell>
          <cell r="B837" t="str">
            <v>411-26451-002-0467</v>
          </cell>
          <cell r="J837">
            <v>-24203.96</v>
          </cell>
        </row>
        <row r="838">
          <cell r="A838" t="str">
            <v>CIVLA</v>
          </cell>
          <cell r="B838" t="str">
            <v>411-26452-000-0000</v>
          </cell>
          <cell r="J838">
            <v>-11525.73</v>
          </cell>
        </row>
        <row r="839">
          <cell r="A839" t="str">
            <v>CIVLA</v>
          </cell>
          <cell r="B839" t="str">
            <v>411-26452-002-0000</v>
          </cell>
          <cell r="J839">
            <v>-11525.73</v>
          </cell>
        </row>
        <row r="840">
          <cell r="A840" t="str">
            <v>CIVLA</v>
          </cell>
          <cell r="B840" t="str">
            <v>411-26452-002-0467</v>
          </cell>
          <cell r="J840">
            <v>-11525.73</v>
          </cell>
        </row>
        <row r="841">
          <cell r="A841" t="str">
            <v>CIVLA</v>
          </cell>
          <cell r="B841" t="str">
            <v>411-26453-000-0000</v>
          </cell>
          <cell r="J841">
            <v>-5186.62</v>
          </cell>
        </row>
        <row r="842">
          <cell r="A842" t="str">
            <v>CIVLA</v>
          </cell>
          <cell r="B842" t="str">
            <v>411-26453-002-0000</v>
          </cell>
          <cell r="J842">
            <v>-5186.62</v>
          </cell>
        </row>
        <row r="843">
          <cell r="A843" t="str">
            <v>CIVLA</v>
          </cell>
          <cell r="B843" t="str">
            <v>411-26453-002-0467</v>
          </cell>
          <cell r="J843">
            <v>-5186.62</v>
          </cell>
        </row>
        <row r="844">
          <cell r="A844" t="str">
            <v>CIVLA</v>
          </cell>
          <cell r="B844" t="str">
            <v>411-26454-000-0000</v>
          </cell>
          <cell r="J844">
            <v>-2823.98</v>
          </cell>
        </row>
        <row r="845">
          <cell r="A845" t="str">
            <v>CIVLA</v>
          </cell>
          <cell r="B845" t="str">
            <v>411-26454-002-0000</v>
          </cell>
          <cell r="J845">
            <v>-2823.98</v>
          </cell>
        </row>
        <row r="846">
          <cell r="A846" t="str">
            <v>CIVLA</v>
          </cell>
          <cell r="B846" t="str">
            <v>411-26454-002-0467</v>
          </cell>
          <cell r="J846">
            <v>-2823.98</v>
          </cell>
        </row>
        <row r="847">
          <cell r="A847" t="str">
            <v>CIVLA</v>
          </cell>
          <cell r="B847" t="str">
            <v>411-26455-000-0000</v>
          </cell>
          <cell r="J847">
            <v>-4217.8999999999996</v>
          </cell>
        </row>
        <row r="848">
          <cell r="A848" t="str">
            <v>CIVLA</v>
          </cell>
          <cell r="B848" t="str">
            <v>411-26455-002-0000</v>
          </cell>
          <cell r="J848">
            <v>-4217.8999999999996</v>
          </cell>
        </row>
        <row r="849">
          <cell r="A849" t="str">
            <v>CIVLA</v>
          </cell>
          <cell r="B849" t="str">
            <v>411-26455-002-0467</v>
          </cell>
          <cell r="J849">
            <v>-4217.8999999999996</v>
          </cell>
        </row>
        <row r="850">
          <cell r="A850" t="str">
            <v>CIVLA</v>
          </cell>
          <cell r="B850" t="str">
            <v>411-26456-000-0000</v>
          </cell>
          <cell r="J850">
            <v>-1267.82</v>
          </cell>
        </row>
        <row r="851">
          <cell r="A851" t="str">
            <v>CIVLA</v>
          </cell>
          <cell r="B851" t="str">
            <v>411-26456-002-0000</v>
          </cell>
          <cell r="J851">
            <v>-1267.82</v>
          </cell>
        </row>
        <row r="852">
          <cell r="A852" t="str">
            <v>CIVLA</v>
          </cell>
          <cell r="B852" t="str">
            <v>411-26456-002-0467</v>
          </cell>
          <cell r="J852">
            <v>-1267.82</v>
          </cell>
        </row>
        <row r="853">
          <cell r="A853" t="str">
            <v>CIVLA</v>
          </cell>
          <cell r="B853" t="str">
            <v>411-26701-000-0000</v>
          </cell>
          <cell r="J853">
            <v>-8522.7199999999993</v>
          </cell>
        </row>
        <row r="854">
          <cell r="A854" t="str">
            <v>CIVLA</v>
          </cell>
          <cell r="B854" t="str">
            <v>411-26701-002-0000</v>
          </cell>
          <cell r="J854">
            <v>-8522.7199999999993</v>
          </cell>
        </row>
        <row r="855">
          <cell r="A855" t="str">
            <v>CIVLA</v>
          </cell>
          <cell r="B855" t="str">
            <v>411-26701-002-1127</v>
          </cell>
          <cell r="J855">
            <v>-8522.7199999999993</v>
          </cell>
        </row>
        <row r="856">
          <cell r="A856" t="str">
            <v>CIVLA</v>
          </cell>
          <cell r="B856" t="str">
            <v>411-26702-000-0000</v>
          </cell>
          <cell r="J856">
            <v>-7441.37</v>
          </cell>
        </row>
        <row r="857">
          <cell r="A857" t="str">
            <v>CIVLA</v>
          </cell>
          <cell r="B857" t="str">
            <v>411-26702-002-0000</v>
          </cell>
          <cell r="J857">
            <v>-7441.37</v>
          </cell>
        </row>
        <row r="858">
          <cell r="A858" t="str">
            <v>CIVLA</v>
          </cell>
          <cell r="B858" t="str">
            <v>411-26702-002-1127</v>
          </cell>
          <cell r="J858">
            <v>-7441.37</v>
          </cell>
        </row>
        <row r="859">
          <cell r="A859" t="str">
            <v>CIVLA</v>
          </cell>
          <cell r="B859" t="str">
            <v>411-26777-000-0000</v>
          </cell>
          <cell r="J859">
            <v>-22385173.780000001</v>
          </cell>
        </row>
        <row r="860">
          <cell r="A860" t="str">
            <v>CIVLA</v>
          </cell>
          <cell r="B860" t="str">
            <v>411-26777-004-0000</v>
          </cell>
          <cell r="J860">
            <v>-22385173.780000001</v>
          </cell>
        </row>
        <row r="861">
          <cell r="A861" t="str">
            <v>CIVLA</v>
          </cell>
          <cell r="B861" t="str">
            <v>411-26777-004-0467</v>
          </cell>
          <cell r="J861">
            <v>-1883488.98</v>
          </cell>
        </row>
        <row r="862">
          <cell r="A862" t="str">
            <v>CIVLA</v>
          </cell>
          <cell r="B862" t="str">
            <v>411-26777-004-0813</v>
          </cell>
          <cell r="J862">
            <v>-3385681.25</v>
          </cell>
        </row>
        <row r="863">
          <cell r="A863" t="str">
            <v>CIVLA</v>
          </cell>
          <cell r="B863" t="str">
            <v>411-26777-004-1127</v>
          </cell>
          <cell r="J863">
            <v>-3519572.37</v>
          </cell>
        </row>
        <row r="864">
          <cell r="A864" t="str">
            <v>CIVLA</v>
          </cell>
          <cell r="B864" t="str">
            <v>411-26777-004-1616</v>
          </cell>
          <cell r="J864">
            <v>2314.81</v>
          </cell>
        </row>
        <row r="865">
          <cell r="A865" t="str">
            <v>CIVLA</v>
          </cell>
          <cell r="B865" t="str">
            <v>411-26777-004-2872</v>
          </cell>
          <cell r="J865">
            <v>-13598745.99</v>
          </cell>
        </row>
        <row r="866">
          <cell r="A866" t="str">
            <v>CIVLA</v>
          </cell>
          <cell r="B866" t="str">
            <v>430-00000-000-0000</v>
          </cell>
          <cell r="J866">
            <v>-349028.86</v>
          </cell>
        </row>
        <row r="867">
          <cell r="A867" t="str">
            <v>CIVLA</v>
          </cell>
          <cell r="B867" t="str">
            <v>430-00001-000-0000</v>
          </cell>
          <cell r="J867">
            <v>-349028.86</v>
          </cell>
        </row>
        <row r="868">
          <cell r="A868" t="str">
            <v>CIVLA</v>
          </cell>
          <cell r="B868" t="str">
            <v>441-00000-000-0000</v>
          </cell>
          <cell r="J868">
            <v>-4582825.63</v>
          </cell>
        </row>
        <row r="869">
          <cell r="A869" t="str">
            <v>CIVLA</v>
          </cell>
          <cell r="B869" t="str">
            <v>441-21044-000-0000</v>
          </cell>
          <cell r="J869">
            <v>-4629.62</v>
          </cell>
        </row>
        <row r="870">
          <cell r="A870" t="str">
            <v>CIVLA</v>
          </cell>
          <cell r="B870" t="str">
            <v>441-21044-002-0000</v>
          </cell>
          <cell r="J870">
            <v>-4629.62</v>
          </cell>
        </row>
        <row r="871">
          <cell r="A871" t="str">
            <v>CIVLA</v>
          </cell>
          <cell r="B871" t="str">
            <v>441-21044-002-1616</v>
          </cell>
          <cell r="J871">
            <v>-4629.62</v>
          </cell>
        </row>
        <row r="872">
          <cell r="A872" t="str">
            <v>CIVLA</v>
          </cell>
          <cell r="B872" t="str">
            <v>441-26018-000-0000</v>
          </cell>
          <cell r="J872">
            <v>-633873.97</v>
          </cell>
        </row>
        <row r="873">
          <cell r="A873" t="str">
            <v>CIVLA</v>
          </cell>
          <cell r="B873" t="str">
            <v>441-26018-002-0000</v>
          </cell>
          <cell r="J873">
            <v>-633873.97</v>
          </cell>
        </row>
        <row r="874">
          <cell r="A874" t="str">
            <v>CIVLA</v>
          </cell>
          <cell r="B874" t="str">
            <v>441-26018-002-0813</v>
          </cell>
          <cell r="J874">
            <v>-633873.97</v>
          </cell>
        </row>
        <row r="875">
          <cell r="A875" t="str">
            <v>CIVLA</v>
          </cell>
          <cell r="B875" t="str">
            <v>441-26026-000-0000</v>
          </cell>
          <cell r="J875">
            <v>-84738.5</v>
          </cell>
        </row>
        <row r="876">
          <cell r="A876" t="str">
            <v>CIVLA</v>
          </cell>
          <cell r="B876" t="str">
            <v>441-26026-002-0000</v>
          </cell>
          <cell r="J876">
            <v>-84738.5</v>
          </cell>
        </row>
        <row r="877">
          <cell r="A877" t="str">
            <v>CIVLA</v>
          </cell>
          <cell r="B877" t="str">
            <v>441-26026-002-0813</v>
          </cell>
          <cell r="J877">
            <v>-84738.5</v>
          </cell>
        </row>
        <row r="878">
          <cell r="A878" t="str">
            <v>CIVLA</v>
          </cell>
          <cell r="B878" t="str">
            <v>441-26030-000-0000</v>
          </cell>
          <cell r="J878">
            <v>-3859583.54</v>
          </cell>
        </row>
        <row r="879">
          <cell r="A879" t="str">
            <v>CIVLA</v>
          </cell>
          <cell r="B879" t="str">
            <v>441-26030-002-0000</v>
          </cell>
          <cell r="J879">
            <v>-3859583.54</v>
          </cell>
        </row>
        <row r="880">
          <cell r="A880" t="str">
            <v>CIVLA</v>
          </cell>
          <cell r="B880" t="str">
            <v>441-26030-002-0813</v>
          </cell>
          <cell r="J880">
            <v>-3859583.54</v>
          </cell>
        </row>
        <row r="881">
          <cell r="A881" t="str">
            <v>CIVLA</v>
          </cell>
          <cell r="B881" t="str">
            <v>720-00000-000-0000</v>
          </cell>
          <cell r="J881">
            <v>-22982.3</v>
          </cell>
        </row>
        <row r="882">
          <cell r="A882" t="str">
            <v>CIVLA</v>
          </cell>
          <cell r="B882" t="str">
            <v>720-99999-000-0000</v>
          </cell>
          <cell r="J882">
            <v>-22982.3</v>
          </cell>
        </row>
        <row r="883">
          <cell r="A883" t="str">
            <v>CIVLA</v>
          </cell>
          <cell r="B883" t="str">
            <v>720-99999-001-0000</v>
          </cell>
          <cell r="J883">
            <v>-22982.3</v>
          </cell>
        </row>
        <row r="884">
          <cell r="A884" t="str">
            <v>CIVLA</v>
          </cell>
          <cell r="B884" t="str">
            <v>720-99999-001-0001</v>
          </cell>
          <cell r="J884">
            <v>-22982.3</v>
          </cell>
        </row>
        <row r="885">
          <cell r="A885" t="str">
            <v>CIVLA</v>
          </cell>
          <cell r="B885" t="str">
            <v>730-00000-000-0000</v>
          </cell>
          <cell r="J885">
            <v>-840605.89</v>
          </cell>
        </row>
        <row r="886">
          <cell r="A886" t="str">
            <v>CIVLA</v>
          </cell>
          <cell r="B886" t="str">
            <v>730-99999-000-0000</v>
          </cell>
          <cell r="J886">
            <v>-840605.89</v>
          </cell>
        </row>
        <row r="887">
          <cell r="A887" t="str">
            <v>CIVLA</v>
          </cell>
          <cell r="B887" t="str">
            <v>730-99999-002-0000</v>
          </cell>
          <cell r="J887">
            <v>-840605.89</v>
          </cell>
        </row>
        <row r="888">
          <cell r="A888" t="str">
            <v>CIVLA</v>
          </cell>
          <cell r="B888" t="str">
            <v>421-00000-000-0000</v>
          </cell>
          <cell r="J888">
            <v>2291.5300000000002</v>
          </cell>
        </row>
        <row r="889">
          <cell r="A889" t="str">
            <v>CIVLA</v>
          </cell>
          <cell r="B889" t="str">
            <v>421-21044-000-0000</v>
          </cell>
          <cell r="J889">
            <v>2291.5300000000002</v>
          </cell>
        </row>
        <row r="890">
          <cell r="A890" t="str">
            <v>CIVLA</v>
          </cell>
          <cell r="B890" t="str">
            <v>421-21044-004-0000</v>
          </cell>
          <cell r="J890">
            <v>2291.5300000000002</v>
          </cell>
        </row>
        <row r="891">
          <cell r="A891" t="str">
            <v>CIVLA</v>
          </cell>
          <cell r="B891" t="str">
            <v>421-21044-004-1616</v>
          </cell>
          <cell r="J891">
            <v>2291.5300000000002</v>
          </cell>
        </row>
        <row r="892">
          <cell r="A892" t="str">
            <v>CIVLA</v>
          </cell>
          <cell r="B892" t="str">
            <v>510-00000-000-0000</v>
          </cell>
          <cell r="J892">
            <v>57357234.359999999</v>
          </cell>
        </row>
        <row r="893">
          <cell r="A893" t="str">
            <v>CIVLA</v>
          </cell>
          <cell r="B893" t="str">
            <v>510-24014-000-0000</v>
          </cell>
          <cell r="J893">
            <v>217965.86</v>
          </cell>
        </row>
        <row r="894">
          <cell r="A894" t="str">
            <v>CIVLA</v>
          </cell>
          <cell r="B894" t="str">
            <v>510-24014-001-0000</v>
          </cell>
          <cell r="J894">
            <v>2379.1799999999998</v>
          </cell>
        </row>
        <row r="895">
          <cell r="A895" t="str">
            <v>CIVLA</v>
          </cell>
          <cell r="B895" t="str">
            <v>510-24014-001-0009</v>
          </cell>
          <cell r="J895">
            <v>1039.18</v>
          </cell>
        </row>
        <row r="896">
          <cell r="A896" t="str">
            <v>CIVLA</v>
          </cell>
          <cell r="B896" t="str">
            <v>510-24014-001-0010</v>
          </cell>
          <cell r="J896">
            <v>1340</v>
          </cell>
        </row>
        <row r="897">
          <cell r="A897" t="str">
            <v>CIVLA</v>
          </cell>
          <cell r="B897" t="str">
            <v>510-24014-002-0000</v>
          </cell>
          <cell r="J897">
            <v>288.38</v>
          </cell>
        </row>
        <row r="898">
          <cell r="A898" t="str">
            <v>CIVLA</v>
          </cell>
          <cell r="B898" t="str">
            <v>510-24014-002-0001</v>
          </cell>
          <cell r="J898">
            <v>91.8</v>
          </cell>
        </row>
        <row r="899">
          <cell r="A899" t="str">
            <v>CIVLA</v>
          </cell>
          <cell r="B899" t="str">
            <v>510-24014-002-0002</v>
          </cell>
          <cell r="J899">
            <v>102.16</v>
          </cell>
        </row>
        <row r="900">
          <cell r="A900" t="str">
            <v>CIVLA</v>
          </cell>
          <cell r="B900" t="str">
            <v>510-24014-002-0003</v>
          </cell>
          <cell r="J900">
            <v>63.25</v>
          </cell>
        </row>
        <row r="901">
          <cell r="A901" t="str">
            <v>CIVLA</v>
          </cell>
          <cell r="B901" t="str">
            <v>510-24014-002-0004</v>
          </cell>
          <cell r="J901">
            <v>31.17</v>
          </cell>
        </row>
        <row r="902">
          <cell r="A902" t="str">
            <v>CIVLA</v>
          </cell>
          <cell r="B902" t="str">
            <v>510-24014-007-0000</v>
          </cell>
          <cell r="J902">
            <v>215298.3</v>
          </cell>
        </row>
        <row r="903">
          <cell r="A903" t="str">
            <v>CIVLA</v>
          </cell>
          <cell r="B903" t="str">
            <v>510-24014-007-0010</v>
          </cell>
          <cell r="J903">
            <v>158647.42000000001</v>
          </cell>
        </row>
        <row r="904">
          <cell r="A904" t="str">
            <v>CIVLA</v>
          </cell>
          <cell r="B904" t="str">
            <v>510-24014-007-0060</v>
          </cell>
          <cell r="J904">
            <v>56650.879999999997</v>
          </cell>
        </row>
        <row r="905">
          <cell r="A905" t="str">
            <v>CIVLA</v>
          </cell>
          <cell r="B905" t="str">
            <v>510-24015-000-0000</v>
          </cell>
          <cell r="J905">
            <v>2013.44</v>
          </cell>
        </row>
        <row r="906">
          <cell r="A906" t="str">
            <v>CIVLA</v>
          </cell>
          <cell r="B906" t="str">
            <v>510-24015-001-0000</v>
          </cell>
          <cell r="J906">
            <v>1780.04</v>
          </cell>
        </row>
        <row r="907">
          <cell r="A907" t="str">
            <v>CIVLA</v>
          </cell>
          <cell r="B907" t="str">
            <v>510-24015-001-0009</v>
          </cell>
          <cell r="J907">
            <v>1017.04</v>
          </cell>
        </row>
        <row r="908">
          <cell r="A908" t="str">
            <v>CIVLA</v>
          </cell>
          <cell r="B908" t="str">
            <v>510-24015-001-0010</v>
          </cell>
          <cell r="J908">
            <v>763</v>
          </cell>
        </row>
        <row r="909">
          <cell r="A909" t="str">
            <v>CIVLA</v>
          </cell>
          <cell r="B909" t="str">
            <v>510-24015-002-0000</v>
          </cell>
          <cell r="J909">
            <v>233.4</v>
          </cell>
        </row>
        <row r="910">
          <cell r="A910" t="str">
            <v>CIVLA</v>
          </cell>
          <cell r="B910" t="str">
            <v>510-24015-002-0001</v>
          </cell>
          <cell r="J910">
            <v>109.35</v>
          </cell>
        </row>
        <row r="911">
          <cell r="A911" t="str">
            <v>CIVLA</v>
          </cell>
          <cell r="B911" t="str">
            <v>510-24015-002-0002</v>
          </cell>
          <cell r="J911">
            <v>57.77</v>
          </cell>
        </row>
        <row r="912">
          <cell r="A912" t="str">
            <v>CIVLA</v>
          </cell>
          <cell r="B912" t="str">
            <v>510-24015-002-0003</v>
          </cell>
          <cell r="J912">
            <v>35.770000000000003</v>
          </cell>
        </row>
        <row r="913">
          <cell r="A913" t="str">
            <v>CIVLA</v>
          </cell>
          <cell r="B913" t="str">
            <v>510-24015-002-0004</v>
          </cell>
          <cell r="J913">
            <v>30.51</v>
          </cell>
        </row>
        <row r="914">
          <cell r="A914" t="str">
            <v>CIVLA</v>
          </cell>
          <cell r="B914" t="str">
            <v>510-24043-000-0000</v>
          </cell>
          <cell r="J914">
            <v>23.98</v>
          </cell>
        </row>
        <row r="915">
          <cell r="A915" t="str">
            <v>CIVLA</v>
          </cell>
          <cell r="B915" t="str">
            <v>510-24043-001-0000</v>
          </cell>
          <cell r="J915">
            <v>21.43</v>
          </cell>
        </row>
        <row r="916">
          <cell r="A916" t="str">
            <v>CIVLA</v>
          </cell>
          <cell r="B916" t="str">
            <v>510-24043-001-0009</v>
          </cell>
          <cell r="J916">
            <v>12.43</v>
          </cell>
        </row>
        <row r="917">
          <cell r="A917" t="str">
            <v>CIVLA</v>
          </cell>
          <cell r="B917" t="str">
            <v>510-24043-001-0010</v>
          </cell>
          <cell r="J917">
            <v>9</v>
          </cell>
        </row>
        <row r="918">
          <cell r="A918" t="str">
            <v>CIVLA</v>
          </cell>
          <cell r="B918" t="str">
            <v>510-24043-002-0000</v>
          </cell>
          <cell r="J918">
            <v>2.5499999999999998</v>
          </cell>
        </row>
        <row r="919">
          <cell r="A919" t="str">
            <v>CIVLA</v>
          </cell>
          <cell r="B919" t="str">
            <v>510-24043-002-0001</v>
          </cell>
          <cell r="J919">
            <v>0.7</v>
          </cell>
        </row>
        <row r="920">
          <cell r="A920" t="str">
            <v>CIVLA</v>
          </cell>
          <cell r="B920" t="str">
            <v>510-24043-002-0002</v>
          </cell>
          <cell r="J920">
            <v>0.95</v>
          </cell>
        </row>
        <row r="921">
          <cell r="A921" t="str">
            <v>CIVLA</v>
          </cell>
          <cell r="B921" t="str">
            <v>510-24043-002-0003</v>
          </cell>
          <cell r="J921">
            <v>0.59</v>
          </cell>
        </row>
        <row r="922">
          <cell r="A922" t="str">
            <v>CIVLA</v>
          </cell>
          <cell r="B922" t="str">
            <v>510-24043-002-0004</v>
          </cell>
          <cell r="J922">
            <v>0.31</v>
          </cell>
        </row>
        <row r="923">
          <cell r="A923" t="str">
            <v>CIVLA</v>
          </cell>
          <cell r="B923" t="str">
            <v>510-24047-000-0000</v>
          </cell>
          <cell r="J923">
            <v>1192.3900000000001</v>
          </cell>
        </row>
        <row r="924">
          <cell r="A924" t="str">
            <v>CIVLA</v>
          </cell>
          <cell r="B924" t="str">
            <v>510-24047-001-0000</v>
          </cell>
          <cell r="J924">
            <v>736</v>
          </cell>
        </row>
        <row r="925">
          <cell r="A925" t="str">
            <v>CIVLA</v>
          </cell>
          <cell r="B925" t="str">
            <v>510-24047-001-0011</v>
          </cell>
          <cell r="J925">
            <v>736</v>
          </cell>
        </row>
        <row r="926">
          <cell r="A926" t="str">
            <v>CIVLA</v>
          </cell>
          <cell r="B926" t="str">
            <v>510-24047-003-0000</v>
          </cell>
          <cell r="J926">
            <v>456.39</v>
          </cell>
        </row>
        <row r="927">
          <cell r="A927" t="str">
            <v>CIVLA</v>
          </cell>
          <cell r="B927" t="str">
            <v>510-24076-000-0000</v>
          </cell>
          <cell r="J927">
            <v>1718.97</v>
          </cell>
        </row>
        <row r="928">
          <cell r="A928" t="str">
            <v>CIVLA</v>
          </cell>
          <cell r="B928" t="str">
            <v>510-24076-001-0000</v>
          </cell>
          <cell r="J928">
            <v>1490.74</v>
          </cell>
        </row>
        <row r="929">
          <cell r="A929" t="str">
            <v>CIVLA</v>
          </cell>
          <cell r="B929" t="str">
            <v>510-24076-001-0009</v>
          </cell>
          <cell r="J929">
            <v>869.67</v>
          </cell>
        </row>
        <row r="930">
          <cell r="A930" t="str">
            <v>CIVLA</v>
          </cell>
          <cell r="B930" t="str">
            <v>510-24076-001-0010</v>
          </cell>
          <cell r="J930">
            <v>621.07000000000005</v>
          </cell>
        </row>
        <row r="931">
          <cell r="A931" t="str">
            <v>CIVLA</v>
          </cell>
          <cell r="B931" t="str">
            <v>510-24076-002-0000</v>
          </cell>
          <cell r="J931">
            <v>228.23</v>
          </cell>
        </row>
        <row r="932">
          <cell r="A932" t="str">
            <v>CIVLA</v>
          </cell>
          <cell r="B932" t="str">
            <v>510-24076-002-0001</v>
          </cell>
          <cell r="J932">
            <v>82.46</v>
          </cell>
        </row>
        <row r="933">
          <cell r="A933" t="str">
            <v>CIVLA</v>
          </cell>
          <cell r="B933" t="str">
            <v>510-24076-002-0002</v>
          </cell>
          <cell r="J933">
            <v>73.069999999999993</v>
          </cell>
        </row>
        <row r="934">
          <cell r="A934" t="str">
            <v>CIVLA</v>
          </cell>
          <cell r="B934" t="str">
            <v>510-24076-002-0003</v>
          </cell>
          <cell r="J934">
            <v>45.62</v>
          </cell>
        </row>
        <row r="935">
          <cell r="A935" t="str">
            <v>CIVLA</v>
          </cell>
          <cell r="B935" t="str">
            <v>510-24076-002-0004</v>
          </cell>
          <cell r="J935">
            <v>27.08</v>
          </cell>
        </row>
        <row r="936">
          <cell r="A936" t="str">
            <v>CIVLA</v>
          </cell>
          <cell r="B936" t="str">
            <v>510-25002-000-0000</v>
          </cell>
          <cell r="J936">
            <v>484.07</v>
          </cell>
        </row>
        <row r="937">
          <cell r="A937" t="str">
            <v>CIVLA</v>
          </cell>
          <cell r="B937" t="str">
            <v>510-25002-001-0000</v>
          </cell>
          <cell r="J937">
            <v>408.5</v>
          </cell>
        </row>
        <row r="938">
          <cell r="A938" t="str">
            <v>CIVLA</v>
          </cell>
          <cell r="B938" t="str">
            <v>510-25002-001-0009</v>
          </cell>
          <cell r="J938">
            <v>246.5</v>
          </cell>
        </row>
        <row r="939">
          <cell r="A939" t="str">
            <v>CIVLA</v>
          </cell>
          <cell r="B939" t="str">
            <v>510-25002-001-0010</v>
          </cell>
          <cell r="J939">
            <v>162</v>
          </cell>
        </row>
        <row r="940">
          <cell r="A940" t="str">
            <v>CIVLA</v>
          </cell>
          <cell r="B940" t="str">
            <v>510-25002-002-0000</v>
          </cell>
          <cell r="J940">
            <v>75.569999999999993</v>
          </cell>
        </row>
        <row r="941">
          <cell r="A941" t="str">
            <v>CIVLA</v>
          </cell>
          <cell r="B941" t="str">
            <v>510-25002-002-0001</v>
          </cell>
          <cell r="J941">
            <v>23.03</v>
          </cell>
        </row>
        <row r="942">
          <cell r="A942" t="str">
            <v>CIVLA</v>
          </cell>
          <cell r="B942" t="str">
            <v>510-25002-002-0002</v>
          </cell>
          <cell r="J942">
            <v>28.09</v>
          </cell>
        </row>
        <row r="943">
          <cell r="A943" t="str">
            <v>CIVLA</v>
          </cell>
          <cell r="B943" t="str">
            <v>510-25002-002-0003</v>
          </cell>
          <cell r="J943">
            <v>17.37</v>
          </cell>
        </row>
        <row r="944">
          <cell r="A944" t="str">
            <v>CIVLA</v>
          </cell>
          <cell r="B944" t="str">
            <v>510-25002-002-0004</v>
          </cell>
          <cell r="J944">
            <v>7.08</v>
          </cell>
        </row>
        <row r="945">
          <cell r="A945" t="str">
            <v>CIVLA</v>
          </cell>
          <cell r="B945" t="str">
            <v>510-25004-000-0000</v>
          </cell>
          <cell r="J945">
            <v>204320.75</v>
          </cell>
        </row>
        <row r="946">
          <cell r="A946" t="str">
            <v>CIVLA</v>
          </cell>
          <cell r="B946" t="str">
            <v>510-25004-001-0000</v>
          </cell>
          <cell r="J946">
            <v>5262.42</v>
          </cell>
        </row>
        <row r="947">
          <cell r="A947" t="str">
            <v>CIVLA</v>
          </cell>
          <cell r="B947" t="str">
            <v>510-25004-001-0009</v>
          </cell>
          <cell r="J947">
            <v>2819.42</v>
          </cell>
        </row>
        <row r="948">
          <cell r="A948" t="str">
            <v>CIVLA</v>
          </cell>
          <cell r="B948" t="str">
            <v>510-25004-001-0010</v>
          </cell>
          <cell r="J948">
            <v>2443</v>
          </cell>
        </row>
        <row r="949">
          <cell r="A949" t="str">
            <v>CIVLA</v>
          </cell>
          <cell r="B949" t="str">
            <v>510-25004-002-0000</v>
          </cell>
          <cell r="J949">
            <v>831.46</v>
          </cell>
        </row>
        <row r="950">
          <cell r="A950" t="str">
            <v>CIVLA</v>
          </cell>
          <cell r="B950" t="str">
            <v>510-25004-002-0001</v>
          </cell>
          <cell r="J950">
            <v>257.43</v>
          </cell>
        </row>
        <row r="951">
          <cell r="A951" t="str">
            <v>CIVLA</v>
          </cell>
          <cell r="B951" t="str">
            <v>510-25004-002-0002</v>
          </cell>
          <cell r="J951">
            <v>303.29000000000002</v>
          </cell>
        </row>
        <row r="952">
          <cell r="A952" t="str">
            <v>CIVLA</v>
          </cell>
          <cell r="B952" t="str">
            <v>510-25004-002-0003</v>
          </cell>
          <cell r="J952">
            <v>185.49</v>
          </cell>
        </row>
        <row r="953">
          <cell r="A953" t="str">
            <v>CIVLA</v>
          </cell>
          <cell r="B953" t="str">
            <v>510-25004-002-0004</v>
          </cell>
          <cell r="J953">
            <v>85.25</v>
          </cell>
        </row>
        <row r="954">
          <cell r="A954" t="str">
            <v>CIVLA</v>
          </cell>
          <cell r="B954" t="str">
            <v>510-25004-007-0000</v>
          </cell>
          <cell r="J954">
            <v>198226.87</v>
          </cell>
        </row>
        <row r="955">
          <cell r="A955" t="str">
            <v>CIVLA</v>
          </cell>
          <cell r="B955" t="str">
            <v>510-25004-007-0010</v>
          </cell>
          <cell r="J955">
            <v>-4971.3999999999996</v>
          </cell>
        </row>
        <row r="956">
          <cell r="A956" t="str">
            <v>CIVLA</v>
          </cell>
          <cell r="B956" t="str">
            <v>510-25004-007-0030</v>
          </cell>
          <cell r="J956">
            <v>-50.8</v>
          </cell>
        </row>
        <row r="957">
          <cell r="A957" t="str">
            <v>CIVLA</v>
          </cell>
          <cell r="B957" t="str">
            <v>510-25004-007-0050</v>
          </cell>
          <cell r="J957">
            <v>203249.07</v>
          </cell>
        </row>
        <row r="958">
          <cell r="A958" t="str">
            <v>CIVLA</v>
          </cell>
          <cell r="B958" t="str">
            <v>510-25005-000-0000</v>
          </cell>
          <cell r="J958">
            <v>12721.95</v>
          </cell>
        </row>
        <row r="959">
          <cell r="A959" t="str">
            <v>CIVLA</v>
          </cell>
          <cell r="B959" t="str">
            <v>510-25005-007-0000</v>
          </cell>
          <cell r="J959">
            <v>12721.95</v>
          </cell>
        </row>
        <row r="960">
          <cell r="A960" t="str">
            <v>CIVLA</v>
          </cell>
          <cell r="B960" t="str">
            <v>510-25005-007-0050</v>
          </cell>
          <cell r="J960">
            <v>12721.95</v>
          </cell>
        </row>
        <row r="961">
          <cell r="A961" t="str">
            <v>CIVLA</v>
          </cell>
          <cell r="B961" t="str">
            <v>510-25007-000-0000</v>
          </cell>
          <cell r="J961">
            <v>-1261.03</v>
          </cell>
        </row>
        <row r="962">
          <cell r="A962" t="str">
            <v>CIVLA</v>
          </cell>
          <cell r="B962" t="str">
            <v>510-25007-007-0000</v>
          </cell>
          <cell r="J962">
            <v>-1261.03</v>
          </cell>
        </row>
        <row r="963">
          <cell r="A963" t="str">
            <v>CIVLA</v>
          </cell>
          <cell r="B963" t="str">
            <v>510-25007-007-0020</v>
          </cell>
          <cell r="J963">
            <v>-1261.03</v>
          </cell>
        </row>
        <row r="964">
          <cell r="A964" t="str">
            <v>CIVLA</v>
          </cell>
          <cell r="B964" t="str">
            <v>510-25008-000-0000</v>
          </cell>
          <cell r="J964">
            <v>54.53</v>
          </cell>
        </row>
        <row r="965">
          <cell r="A965" t="str">
            <v>CIVLA</v>
          </cell>
          <cell r="B965" t="str">
            <v>510-25008-001-0000</v>
          </cell>
          <cell r="J965">
            <v>47.67</v>
          </cell>
        </row>
        <row r="966">
          <cell r="A966" t="str">
            <v>CIVLA</v>
          </cell>
          <cell r="B966" t="str">
            <v>510-25008-001-0009</v>
          </cell>
          <cell r="J966">
            <v>26.67</v>
          </cell>
        </row>
        <row r="967">
          <cell r="A967" t="str">
            <v>CIVLA</v>
          </cell>
          <cell r="B967" t="str">
            <v>510-25008-001-0010</v>
          </cell>
          <cell r="J967">
            <v>21</v>
          </cell>
        </row>
        <row r="968">
          <cell r="A968" t="str">
            <v>CIVLA</v>
          </cell>
          <cell r="B968" t="str">
            <v>510-25008-002-0000</v>
          </cell>
          <cell r="J968">
            <v>6.86</v>
          </cell>
        </row>
        <row r="969">
          <cell r="A969" t="str">
            <v>CIVLA</v>
          </cell>
          <cell r="B969" t="str">
            <v>510-25008-002-0001</v>
          </cell>
          <cell r="J969">
            <v>1.93</v>
          </cell>
        </row>
        <row r="970">
          <cell r="A970" t="str">
            <v>CIVLA</v>
          </cell>
          <cell r="B970" t="str">
            <v>510-25008-002-0002</v>
          </cell>
          <cell r="J970">
            <v>2.58</v>
          </cell>
        </row>
        <row r="971">
          <cell r="A971" t="str">
            <v>CIVLA</v>
          </cell>
          <cell r="B971" t="str">
            <v>510-25008-002-0003</v>
          </cell>
          <cell r="J971">
            <v>1.61</v>
          </cell>
        </row>
        <row r="972">
          <cell r="A972" t="str">
            <v>CIVLA</v>
          </cell>
          <cell r="B972" t="str">
            <v>510-25008-002-0004</v>
          </cell>
          <cell r="J972">
            <v>0.74</v>
          </cell>
        </row>
        <row r="973">
          <cell r="A973" t="str">
            <v>CIVLA</v>
          </cell>
          <cell r="B973" t="str">
            <v>510-25009-000-0000</v>
          </cell>
          <cell r="J973">
            <v>-9902.8799999999992</v>
          </cell>
        </row>
        <row r="974">
          <cell r="A974" t="str">
            <v>CIVLA</v>
          </cell>
          <cell r="B974" t="str">
            <v>510-25009-001-0000</v>
          </cell>
          <cell r="J974">
            <v>124.16</v>
          </cell>
        </row>
        <row r="975">
          <cell r="A975" t="str">
            <v>CIVLA</v>
          </cell>
          <cell r="B975" t="str">
            <v>510-25009-001-0009</v>
          </cell>
          <cell r="J975">
            <v>61.16</v>
          </cell>
        </row>
        <row r="976">
          <cell r="A976" t="str">
            <v>CIVLA</v>
          </cell>
          <cell r="B976" t="str">
            <v>510-25009-001-0010</v>
          </cell>
          <cell r="J976">
            <v>63</v>
          </cell>
        </row>
        <row r="977">
          <cell r="A977" t="str">
            <v>CIVLA</v>
          </cell>
          <cell r="B977" t="str">
            <v>510-25009-002-0000</v>
          </cell>
          <cell r="J977">
            <v>16.79</v>
          </cell>
        </row>
        <row r="978">
          <cell r="A978" t="str">
            <v>CIVLA</v>
          </cell>
          <cell r="B978" t="str">
            <v>510-25009-002-0001</v>
          </cell>
          <cell r="J978">
            <v>4.45</v>
          </cell>
        </row>
        <row r="979">
          <cell r="A979" t="str">
            <v>CIVLA</v>
          </cell>
          <cell r="B979" t="str">
            <v>510-25009-002-0002</v>
          </cell>
          <cell r="J979">
            <v>6.95</v>
          </cell>
        </row>
        <row r="980">
          <cell r="A980" t="str">
            <v>CIVLA</v>
          </cell>
          <cell r="B980" t="str">
            <v>510-25009-002-0003</v>
          </cell>
          <cell r="J980">
            <v>3.71</v>
          </cell>
        </row>
        <row r="981">
          <cell r="A981" t="str">
            <v>CIVLA</v>
          </cell>
          <cell r="B981" t="str">
            <v>510-25009-002-0004</v>
          </cell>
          <cell r="J981">
            <v>1.68</v>
          </cell>
        </row>
        <row r="982">
          <cell r="A982" t="str">
            <v>CIVLA</v>
          </cell>
          <cell r="B982" t="str">
            <v>510-25009-007-0000</v>
          </cell>
          <cell r="J982">
            <v>-10043.83</v>
          </cell>
        </row>
        <row r="983">
          <cell r="A983" t="str">
            <v>CIVLA</v>
          </cell>
          <cell r="B983" t="str">
            <v>510-25009-007-0020</v>
          </cell>
          <cell r="J983">
            <v>-10043.83</v>
          </cell>
        </row>
        <row r="984">
          <cell r="A984" t="str">
            <v>CIVLA</v>
          </cell>
          <cell r="B984" t="str">
            <v>510-25010-000-0000</v>
          </cell>
          <cell r="J984">
            <v>-21034.58</v>
          </cell>
        </row>
        <row r="985">
          <cell r="A985" t="str">
            <v>CIVLA</v>
          </cell>
          <cell r="B985" t="str">
            <v>510-25010-001-0000</v>
          </cell>
          <cell r="J985">
            <v>492.88</v>
          </cell>
        </row>
        <row r="986">
          <cell r="A986" t="str">
            <v>CIVLA</v>
          </cell>
          <cell r="B986" t="str">
            <v>510-25010-001-0009</v>
          </cell>
          <cell r="J986">
            <v>235.88</v>
          </cell>
        </row>
        <row r="987">
          <cell r="A987" t="str">
            <v>CIVLA</v>
          </cell>
          <cell r="B987" t="str">
            <v>510-25010-001-0010</v>
          </cell>
          <cell r="J987">
            <v>257</v>
          </cell>
        </row>
        <row r="988">
          <cell r="A988" t="str">
            <v>CIVLA</v>
          </cell>
          <cell r="B988" t="str">
            <v>510-25010-002-0000</v>
          </cell>
          <cell r="J988">
            <v>70.34</v>
          </cell>
        </row>
        <row r="989">
          <cell r="A989" t="str">
            <v>CIVLA</v>
          </cell>
          <cell r="B989" t="str">
            <v>510-25010-002-0001</v>
          </cell>
          <cell r="J989">
            <v>20.45</v>
          </cell>
        </row>
        <row r="990">
          <cell r="A990" t="str">
            <v>CIVLA</v>
          </cell>
          <cell r="B990" t="str">
            <v>510-25010-002-0002</v>
          </cell>
          <cell r="J990">
            <v>26.47</v>
          </cell>
        </row>
        <row r="991">
          <cell r="A991" t="str">
            <v>CIVLA</v>
          </cell>
          <cell r="B991" t="str">
            <v>510-25010-002-0003</v>
          </cell>
          <cell r="J991">
            <v>16.690000000000001</v>
          </cell>
        </row>
        <row r="992">
          <cell r="A992" t="str">
            <v>CIVLA</v>
          </cell>
          <cell r="B992" t="str">
            <v>510-25010-002-0004</v>
          </cell>
          <cell r="J992">
            <v>6.73</v>
          </cell>
        </row>
        <row r="993">
          <cell r="A993" t="str">
            <v>CIVLA</v>
          </cell>
          <cell r="B993" t="str">
            <v>510-25010-007-0000</v>
          </cell>
          <cell r="J993">
            <v>-21597.8</v>
          </cell>
        </row>
        <row r="994">
          <cell r="A994" t="str">
            <v>CIVLA</v>
          </cell>
          <cell r="B994" t="str">
            <v>510-25010-007-0020</v>
          </cell>
          <cell r="J994">
            <v>-14609.2</v>
          </cell>
        </row>
        <row r="995">
          <cell r="A995" t="str">
            <v>CIVLA</v>
          </cell>
          <cell r="B995" t="str">
            <v>510-25010-007-0070</v>
          </cell>
          <cell r="J995">
            <v>-6988.6</v>
          </cell>
        </row>
        <row r="996">
          <cell r="A996" t="str">
            <v>CIVLA</v>
          </cell>
          <cell r="B996" t="str">
            <v>510-25011-000-0000</v>
          </cell>
          <cell r="J996">
            <v>171.49</v>
          </cell>
        </row>
        <row r="997">
          <cell r="A997" t="str">
            <v>CIVLA</v>
          </cell>
          <cell r="B997" t="str">
            <v>510-25011-001-0000</v>
          </cell>
          <cell r="J997">
            <v>150.4</v>
          </cell>
        </row>
        <row r="998">
          <cell r="A998" t="str">
            <v>CIVLA</v>
          </cell>
          <cell r="B998" t="str">
            <v>510-25011-001-0009</v>
          </cell>
          <cell r="J998">
            <v>75.400000000000006</v>
          </cell>
        </row>
        <row r="999">
          <cell r="A999" t="str">
            <v>CIVLA</v>
          </cell>
          <cell r="B999" t="str">
            <v>510-25011-001-0010</v>
          </cell>
          <cell r="J999">
            <v>75</v>
          </cell>
        </row>
        <row r="1000">
          <cell r="A1000" t="str">
            <v>CIVLA</v>
          </cell>
          <cell r="B1000" t="str">
            <v>510-25011-002-0000</v>
          </cell>
          <cell r="J1000">
            <v>21.09</v>
          </cell>
        </row>
        <row r="1001">
          <cell r="A1001" t="str">
            <v>CIVLA</v>
          </cell>
          <cell r="B1001" t="str">
            <v>510-25011-002-0001</v>
          </cell>
          <cell r="J1001">
            <v>5.68</v>
          </cell>
        </row>
        <row r="1002">
          <cell r="A1002" t="str">
            <v>CIVLA</v>
          </cell>
          <cell r="B1002" t="str">
            <v>510-25011-002-0002</v>
          </cell>
          <cell r="J1002">
            <v>8.58</v>
          </cell>
        </row>
        <row r="1003">
          <cell r="A1003" t="str">
            <v>CIVLA</v>
          </cell>
          <cell r="B1003" t="str">
            <v>510-25011-002-0003</v>
          </cell>
          <cell r="J1003">
            <v>4.72</v>
          </cell>
        </row>
        <row r="1004">
          <cell r="A1004" t="str">
            <v>CIVLA</v>
          </cell>
          <cell r="B1004" t="str">
            <v>510-25011-002-0004</v>
          </cell>
          <cell r="J1004">
            <v>2.11</v>
          </cell>
        </row>
        <row r="1005">
          <cell r="A1005" t="str">
            <v>CIVLA</v>
          </cell>
          <cell r="B1005" t="str">
            <v>510-25012-000-0000</v>
          </cell>
          <cell r="J1005">
            <v>387.04</v>
          </cell>
        </row>
        <row r="1006">
          <cell r="A1006" t="str">
            <v>CIVLA</v>
          </cell>
          <cell r="B1006" t="str">
            <v>510-25012-001-0000</v>
          </cell>
          <cell r="J1006">
            <v>331.28</v>
          </cell>
        </row>
        <row r="1007">
          <cell r="A1007" t="str">
            <v>CIVLA</v>
          </cell>
          <cell r="B1007" t="str">
            <v>510-25012-001-0009</v>
          </cell>
          <cell r="J1007">
            <v>201.28</v>
          </cell>
        </row>
        <row r="1008">
          <cell r="A1008" t="str">
            <v>CIVLA</v>
          </cell>
          <cell r="B1008" t="str">
            <v>510-25012-001-0010</v>
          </cell>
          <cell r="J1008">
            <v>130</v>
          </cell>
        </row>
        <row r="1009">
          <cell r="A1009" t="str">
            <v>CIVLA</v>
          </cell>
          <cell r="B1009" t="str">
            <v>510-25012-002-0000</v>
          </cell>
          <cell r="J1009">
            <v>55.76</v>
          </cell>
        </row>
        <row r="1010">
          <cell r="A1010" t="str">
            <v>CIVLA</v>
          </cell>
          <cell r="B1010" t="str">
            <v>510-25012-002-0001</v>
          </cell>
          <cell r="J1010">
            <v>16.190000000000001</v>
          </cell>
        </row>
        <row r="1011">
          <cell r="A1011" t="str">
            <v>CIVLA</v>
          </cell>
          <cell r="B1011" t="str">
            <v>510-25012-002-0002</v>
          </cell>
          <cell r="J1011">
            <v>21.19</v>
          </cell>
        </row>
        <row r="1012">
          <cell r="A1012" t="str">
            <v>CIVLA</v>
          </cell>
          <cell r="B1012" t="str">
            <v>510-25012-002-0003</v>
          </cell>
          <cell r="J1012">
            <v>12.87</v>
          </cell>
        </row>
        <row r="1013">
          <cell r="A1013" t="str">
            <v>CIVLA</v>
          </cell>
          <cell r="B1013" t="str">
            <v>510-25012-002-0004</v>
          </cell>
          <cell r="J1013">
            <v>5.51</v>
          </cell>
        </row>
        <row r="1014">
          <cell r="A1014" t="str">
            <v>CIVLA</v>
          </cell>
          <cell r="B1014" t="str">
            <v>510-25013-000-0000</v>
          </cell>
          <cell r="J1014">
            <v>18433.16</v>
          </cell>
        </row>
        <row r="1015">
          <cell r="A1015" t="str">
            <v>CIVLA</v>
          </cell>
          <cell r="B1015" t="str">
            <v>510-25013-007-0000</v>
          </cell>
          <cell r="J1015">
            <v>18433.16</v>
          </cell>
        </row>
        <row r="1016">
          <cell r="A1016" t="str">
            <v>CIVLA</v>
          </cell>
          <cell r="B1016" t="str">
            <v>510-25013-007-0010</v>
          </cell>
          <cell r="J1016">
            <v>12793.71</v>
          </cell>
        </row>
        <row r="1017">
          <cell r="A1017" t="str">
            <v>CIVLA</v>
          </cell>
          <cell r="B1017" t="str">
            <v>510-25013-007-0060</v>
          </cell>
          <cell r="J1017">
            <v>5639.45</v>
          </cell>
        </row>
        <row r="1018">
          <cell r="A1018" t="str">
            <v>CIVLA</v>
          </cell>
          <cell r="B1018" t="str">
            <v>510-25014-000-0000</v>
          </cell>
          <cell r="J1018">
            <v>23.98</v>
          </cell>
        </row>
        <row r="1019">
          <cell r="A1019" t="str">
            <v>CIVLA</v>
          </cell>
          <cell r="B1019" t="str">
            <v>510-25014-001-0000</v>
          </cell>
          <cell r="J1019">
            <v>21.43</v>
          </cell>
        </row>
        <row r="1020">
          <cell r="A1020" t="str">
            <v>CIVLA</v>
          </cell>
          <cell r="B1020" t="str">
            <v>510-25014-001-0009</v>
          </cell>
          <cell r="J1020">
            <v>12.43</v>
          </cell>
        </row>
        <row r="1021">
          <cell r="A1021" t="str">
            <v>CIVLA</v>
          </cell>
          <cell r="B1021" t="str">
            <v>510-25014-001-0010</v>
          </cell>
          <cell r="J1021">
            <v>9</v>
          </cell>
        </row>
        <row r="1022">
          <cell r="A1022" t="str">
            <v>CIVLA</v>
          </cell>
          <cell r="B1022" t="str">
            <v>510-25014-002-0000</v>
          </cell>
          <cell r="J1022">
            <v>2.5499999999999998</v>
          </cell>
        </row>
        <row r="1023">
          <cell r="A1023" t="str">
            <v>CIVLA</v>
          </cell>
          <cell r="B1023" t="str">
            <v>510-25014-002-0001</v>
          </cell>
          <cell r="J1023">
            <v>0.7</v>
          </cell>
        </row>
        <row r="1024">
          <cell r="A1024" t="str">
            <v>CIVLA</v>
          </cell>
          <cell r="B1024" t="str">
            <v>510-25014-002-0002</v>
          </cell>
          <cell r="J1024">
            <v>0.95</v>
          </cell>
        </row>
        <row r="1025">
          <cell r="A1025" t="str">
            <v>CIVLA</v>
          </cell>
          <cell r="B1025" t="str">
            <v>510-25014-002-0003</v>
          </cell>
          <cell r="J1025">
            <v>0.59</v>
          </cell>
        </row>
        <row r="1026">
          <cell r="A1026" t="str">
            <v>CIVLA</v>
          </cell>
          <cell r="B1026" t="str">
            <v>510-25014-002-0004</v>
          </cell>
          <cell r="J1026">
            <v>0.31</v>
          </cell>
        </row>
        <row r="1027">
          <cell r="A1027" t="str">
            <v>CIVLA</v>
          </cell>
          <cell r="B1027" t="str">
            <v>510-25017-000-0000</v>
          </cell>
          <cell r="J1027">
            <v>73.97</v>
          </cell>
        </row>
        <row r="1028">
          <cell r="A1028" t="str">
            <v>CIVLA</v>
          </cell>
          <cell r="B1028" t="str">
            <v>510-25017-001-0000</v>
          </cell>
          <cell r="J1028">
            <v>63.29</v>
          </cell>
        </row>
        <row r="1029">
          <cell r="A1029" t="str">
            <v>CIVLA</v>
          </cell>
          <cell r="B1029" t="str">
            <v>510-25017-001-0009</v>
          </cell>
          <cell r="J1029">
            <v>38.29</v>
          </cell>
        </row>
        <row r="1030">
          <cell r="A1030" t="str">
            <v>CIVLA</v>
          </cell>
          <cell r="B1030" t="str">
            <v>510-25017-001-0010</v>
          </cell>
          <cell r="J1030">
            <v>25</v>
          </cell>
        </row>
        <row r="1031">
          <cell r="A1031" t="str">
            <v>CIVLA</v>
          </cell>
          <cell r="B1031" t="str">
            <v>510-25017-002-0000</v>
          </cell>
          <cell r="J1031">
            <v>10.68</v>
          </cell>
        </row>
        <row r="1032">
          <cell r="A1032" t="str">
            <v>CIVLA</v>
          </cell>
          <cell r="B1032" t="str">
            <v>510-25017-002-0001</v>
          </cell>
          <cell r="J1032">
            <v>3.11</v>
          </cell>
        </row>
        <row r="1033">
          <cell r="A1033" t="str">
            <v>CIVLA</v>
          </cell>
          <cell r="B1033" t="str">
            <v>510-25017-002-0002</v>
          </cell>
          <cell r="J1033">
            <v>3.85</v>
          </cell>
        </row>
        <row r="1034">
          <cell r="A1034" t="str">
            <v>CIVLA</v>
          </cell>
          <cell r="B1034" t="str">
            <v>510-25017-002-0003</v>
          </cell>
          <cell r="J1034">
            <v>2.78</v>
          </cell>
        </row>
        <row r="1035">
          <cell r="A1035" t="str">
            <v>CIVLA</v>
          </cell>
          <cell r="B1035" t="str">
            <v>510-25017-002-0004</v>
          </cell>
          <cell r="J1035">
            <v>0.94</v>
          </cell>
        </row>
        <row r="1036">
          <cell r="A1036" t="str">
            <v>CIVLA</v>
          </cell>
          <cell r="B1036" t="str">
            <v>510-25018-000-0000</v>
          </cell>
          <cell r="J1036">
            <v>48.97</v>
          </cell>
        </row>
        <row r="1037">
          <cell r="A1037" t="str">
            <v>CIVLA</v>
          </cell>
          <cell r="B1037" t="str">
            <v>510-25018-001-0000</v>
          </cell>
          <cell r="J1037">
            <v>42.86</v>
          </cell>
        </row>
        <row r="1038">
          <cell r="A1038" t="str">
            <v>CIVLA</v>
          </cell>
          <cell r="B1038" t="str">
            <v>510-25018-001-0009</v>
          </cell>
          <cell r="J1038">
            <v>25.86</v>
          </cell>
        </row>
        <row r="1039">
          <cell r="A1039" t="str">
            <v>CIVLA</v>
          </cell>
          <cell r="B1039" t="str">
            <v>510-25018-001-0010</v>
          </cell>
          <cell r="J1039">
            <v>17</v>
          </cell>
        </row>
        <row r="1040">
          <cell r="A1040" t="str">
            <v>CIVLA</v>
          </cell>
          <cell r="B1040" t="str">
            <v>510-25018-002-0000</v>
          </cell>
          <cell r="J1040">
            <v>6.11</v>
          </cell>
        </row>
        <row r="1041">
          <cell r="A1041" t="str">
            <v>CIVLA</v>
          </cell>
          <cell r="B1041" t="str">
            <v>510-25018-002-0001</v>
          </cell>
          <cell r="J1041">
            <v>1.4</v>
          </cell>
        </row>
        <row r="1042">
          <cell r="A1042" t="str">
            <v>CIVLA</v>
          </cell>
          <cell r="B1042" t="str">
            <v>510-25018-002-0002</v>
          </cell>
          <cell r="J1042">
            <v>2.9</v>
          </cell>
        </row>
        <row r="1043">
          <cell r="A1043" t="str">
            <v>CIVLA</v>
          </cell>
          <cell r="B1043" t="str">
            <v>510-25018-002-0003</v>
          </cell>
          <cell r="J1043">
            <v>1.18</v>
          </cell>
        </row>
        <row r="1044">
          <cell r="A1044" t="str">
            <v>CIVLA</v>
          </cell>
          <cell r="B1044" t="str">
            <v>510-25018-002-0004</v>
          </cell>
          <cell r="J1044">
            <v>0.63</v>
          </cell>
        </row>
        <row r="1045">
          <cell r="A1045" t="str">
            <v>CIVLA</v>
          </cell>
          <cell r="B1045" t="str">
            <v>510-25022-000-0000</v>
          </cell>
          <cell r="J1045">
            <v>132.08000000000001</v>
          </cell>
        </row>
        <row r="1046">
          <cell r="A1046" t="str">
            <v>CIVLA</v>
          </cell>
          <cell r="B1046" t="str">
            <v>510-25022-001-0000</v>
          </cell>
          <cell r="J1046">
            <v>106.58</v>
          </cell>
        </row>
        <row r="1047">
          <cell r="A1047" t="str">
            <v>CIVLA</v>
          </cell>
          <cell r="B1047" t="str">
            <v>510-25022-001-0009</v>
          </cell>
          <cell r="J1047">
            <v>89.58</v>
          </cell>
        </row>
        <row r="1048">
          <cell r="A1048" t="str">
            <v>CIVLA</v>
          </cell>
          <cell r="B1048" t="str">
            <v>510-25022-001-0010</v>
          </cell>
          <cell r="J1048">
            <v>17</v>
          </cell>
        </row>
        <row r="1049">
          <cell r="A1049" t="str">
            <v>CIVLA</v>
          </cell>
          <cell r="B1049" t="str">
            <v>510-25022-002-0000</v>
          </cell>
          <cell r="J1049">
            <v>25.5</v>
          </cell>
        </row>
        <row r="1050">
          <cell r="A1050" t="str">
            <v>CIVLA</v>
          </cell>
          <cell r="B1050" t="str">
            <v>510-25022-002-0001</v>
          </cell>
          <cell r="J1050">
            <v>8.19</v>
          </cell>
        </row>
        <row r="1051">
          <cell r="A1051" t="str">
            <v>CIVLA</v>
          </cell>
          <cell r="B1051" t="str">
            <v>510-25022-002-0002</v>
          </cell>
          <cell r="J1051">
            <v>9.5500000000000007</v>
          </cell>
        </row>
        <row r="1052">
          <cell r="A1052" t="str">
            <v>CIVLA</v>
          </cell>
          <cell r="B1052" t="str">
            <v>510-25022-002-0003</v>
          </cell>
          <cell r="J1052">
            <v>5.55</v>
          </cell>
        </row>
        <row r="1053">
          <cell r="A1053" t="str">
            <v>CIVLA</v>
          </cell>
          <cell r="B1053" t="str">
            <v>510-25022-002-0004</v>
          </cell>
          <cell r="J1053">
            <v>2.21</v>
          </cell>
        </row>
        <row r="1054">
          <cell r="A1054" t="str">
            <v>CIVLA</v>
          </cell>
          <cell r="B1054" t="str">
            <v>510-25023-000-0000</v>
          </cell>
          <cell r="J1054">
            <v>38137.71</v>
          </cell>
        </row>
        <row r="1055">
          <cell r="A1055" t="str">
            <v>CIVLA</v>
          </cell>
          <cell r="B1055" t="str">
            <v>510-25023-001-0000</v>
          </cell>
          <cell r="J1055">
            <v>338.55</v>
          </cell>
        </row>
        <row r="1056">
          <cell r="A1056" t="str">
            <v>CIVLA</v>
          </cell>
          <cell r="B1056" t="str">
            <v>510-25023-001-0009</v>
          </cell>
          <cell r="J1056">
            <v>87.03</v>
          </cell>
        </row>
        <row r="1057">
          <cell r="A1057" t="str">
            <v>CIVLA</v>
          </cell>
          <cell r="B1057" t="str">
            <v>510-25023-001-0010</v>
          </cell>
          <cell r="J1057">
            <v>81</v>
          </cell>
        </row>
        <row r="1058">
          <cell r="A1058" t="str">
            <v>CIVLA</v>
          </cell>
          <cell r="B1058" t="str">
            <v>510-25023-001-0011</v>
          </cell>
          <cell r="J1058">
            <v>170.52</v>
          </cell>
        </row>
        <row r="1059">
          <cell r="A1059" t="str">
            <v>CIVLA</v>
          </cell>
          <cell r="B1059" t="str">
            <v>510-25023-002-0000</v>
          </cell>
          <cell r="J1059">
            <v>23.91</v>
          </cell>
        </row>
        <row r="1060">
          <cell r="A1060" t="str">
            <v>CIVLA</v>
          </cell>
          <cell r="B1060" t="str">
            <v>510-25023-002-0001</v>
          </cell>
          <cell r="J1060">
            <v>6.86</v>
          </cell>
        </row>
        <row r="1061">
          <cell r="A1061" t="str">
            <v>CIVLA</v>
          </cell>
          <cell r="B1061" t="str">
            <v>510-25023-002-0002</v>
          </cell>
          <cell r="J1061">
            <v>8.85</v>
          </cell>
        </row>
        <row r="1062">
          <cell r="A1062" t="str">
            <v>CIVLA</v>
          </cell>
          <cell r="B1062" t="str">
            <v>510-25023-002-0003</v>
          </cell>
          <cell r="J1062">
            <v>5.89</v>
          </cell>
        </row>
        <row r="1063">
          <cell r="A1063" t="str">
            <v>CIVLA</v>
          </cell>
          <cell r="B1063" t="str">
            <v>510-25023-002-0004</v>
          </cell>
          <cell r="J1063">
            <v>2.31</v>
          </cell>
        </row>
        <row r="1064">
          <cell r="A1064" t="str">
            <v>CIVLA</v>
          </cell>
          <cell r="B1064" t="str">
            <v>510-25023-003-0000</v>
          </cell>
          <cell r="J1064">
            <v>33.76</v>
          </cell>
        </row>
        <row r="1065">
          <cell r="A1065" t="str">
            <v>CIVLA</v>
          </cell>
          <cell r="B1065" t="str">
            <v>510-25023-007-0000</v>
          </cell>
          <cell r="J1065">
            <v>37741.49</v>
          </cell>
        </row>
        <row r="1066">
          <cell r="A1066" t="str">
            <v>CIVLA</v>
          </cell>
          <cell r="B1066" t="str">
            <v>510-25023-007-0020</v>
          </cell>
          <cell r="J1066">
            <v>34213.4</v>
          </cell>
        </row>
        <row r="1067">
          <cell r="A1067" t="str">
            <v>CIVLA</v>
          </cell>
          <cell r="B1067" t="str">
            <v>510-25023-007-0060</v>
          </cell>
          <cell r="J1067">
            <v>3528.09</v>
          </cell>
        </row>
        <row r="1068">
          <cell r="A1068" t="str">
            <v>CIVLA</v>
          </cell>
          <cell r="B1068" t="str">
            <v>510-25024-000-0000</v>
          </cell>
          <cell r="J1068">
            <v>2096.31</v>
          </cell>
        </row>
        <row r="1069">
          <cell r="A1069" t="str">
            <v>CIVLA</v>
          </cell>
          <cell r="B1069" t="str">
            <v>510-25024-001-0000</v>
          </cell>
          <cell r="J1069">
            <v>1807.14</v>
          </cell>
        </row>
        <row r="1070">
          <cell r="A1070" t="str">
            <v>CIVLA</v>
          </cell>
          <cell r="B1070" t="str">
            <v>510-25024-001-0009</v>
          </cell>
          <cell r="J1070">
            <v>959.14</v>
          </cell>
        </row>
        <row r="1071">
          <cell r="A1071" t="str">
            <v>CIVLA</v>
          </cell>
          <cell r="B1071" t="str">
            <v>510-25024-001-0010</v>
          </cell>
          <cell r="J1071">
            <v>848</v>
          </cell>
        </row>
        <row r="1072">
          <cell r="A1072" t="str">
            <v>CIVLA</v>
          </cell>
          <cell r="B1072" t="str">
            <v>510-25024-002-0000</v>
          </cell>
          <cell r="J1072">
            <v>289.17</v>
          </cell>
        </row>
        <row r="1073">
          <cell r="A1073" t="str">
            <v>CIVLA</v>
          </cell>
          <cell r="B1073" t="str">
            <v>510-25024-002-0001</v>
          </cell>
          <cell r="J1073">
            <v>89.58</v>
          </cell>
        </row>
        <row r="1074">
          <cell r="A1074" t="str">
            <v>CIVLA</v>
          </cell>
          <cell r="B1074" t="str">
            <v>510-25024-002-0002</v>
          </cell>
          <cell r="J1074">
            <v>105.96</v>
          </cell>
        </row>
        <row r="1075">
          <cell r="A1075" t="str">
            <v>CIVLA</v>
          </cell>
          <cell r="B1075" t="str">
            <v>510-25024-002-0003</v>
          </cell>
          <cell r="J1075">
            <v>64.95</v>
          </cell>
        </row>
        <row r="1076">
          <cell r="A1076" t="str">
            <v>CIVLA</v>
          </cell>
          <cell r="B1076" t="str">
            <v>510-25024-002-0004</v>
          </cell>
          <cell r="J1076">
            <v>28.68</v>
          </cell>
        </row>
        <row r="1077">
          <cell r="A1077" t="str">
            <v>CIVLA</v>
          </cell>
          <cell r="B1077" t="str">
            <v>510-25025-000-0000</v>
          </cell>
          <cell r="J1077">
            <v>1137932.6299999999</v>
          </cell>
        </row>
        <row r="1078">
          <cell r="A1078" t="str">
            <v>CIVLA</v>
          </cell>
          <cell r="B1078" t="str">
            <v>510-25025-001-0000</v>
          </cell>
          <cell r="J1078">
            <v>13135.48</v>
          </cell>
        </row>
        <row r="1079">
          <cell r="A1079" t="str">
            <v>CIVLA</v>
          </cell>
          <cell r="B1079" t="str">
            <v>510-25025-001-0001</v>
          </cell>
          <cell r="J1079">
            <v>6004.12</v>
          </cell>
        </row>
        <row r="1080">
          <cell r="A1080" t="str">
            <v>CIVLA</v>
          </cell>
          <cell r="B1080" t="str">
            <v>510-25025-001-0002</v>
          </cell>
          <cell r="J1080">
            <v>628.98</v>
          </cell>
        </row>
        <row r="1081">
          <cell r="A1081" t="str">
            <v>CIVLA</v>
          </cell>
          <cell r="B1081" t="str">
            <v>510-25025-001-0005</v>
          </cell>
          <cell r="J1081">
            <v>129.91</v>
          </cell>
        </row>
        <row r="1082">
          <cell r="A1082" t="str">
            <v>CIVLA</v>
          </cell>
          <cell r="B1082" t="str">
            <v>510-25025-001-0006</v>
          </cell>
          <cell r="J1082">
            <v>129.91</v>
          </cell>
        </row>
        <row r="1083">
          <cell r="A1083" t="str">
            <v>CIVLA</v>
          </cell>
          <cell r="B1083" t="str">
            <v>510-25025-001-0009</v>
          </cell>
          <cell r="J1083">
            <v>2982.56</v>
          </cell>
        </row>
        <row r="1084">
          <cell r="A1084" t="str">
            <v>CIVLA</v>
          </cell>
          <cell r="B1084" t="str">
            <v>510-25025-001-0010</v>
          </cell>
          <cell r="J1084">
            <v>351</v>
          </cell>
        </row>
        <row r="1085">
          <cell r="A1085" t="str">
            <v>CIVLA</v>
          </cell>
          <cell r="B1085" t="str">
            <v>510-25025-001-0011</v>
          </cell>
          <cell r="J1085">
            <v>2909</v>
          </cell>
        </row>
        <row r="1086">
          <cell r="A1086" t="str">
            <v>CIVLA</v>
          </cell>
          <cell r="B1086" t="str">
            <v>510-25025-002-0000</v>
          </cell>
          <cell r="J1086">
            <v>1733.67</v>
          </cell>
        </row>
        <row r="1087">
          <cell r="A1087" t="str">
            <v>CIVLA</v>
          </cell>
          <cell r="B1087" t="str">
            <v>510-25025-002-0001</v>
          </cell>
          <cell r="J1087">
            <v>1292.2</v>
          </cell>
        </row>
        <row r="1088">
          <cell r="A1088" t="str">
            <v>CIVLA</v>
          </cell>
          <cell r="B1088" t="str">
            <v>510-25025-002-0002</v>
          </cell>
          <cell r="J1088">
            <v>89.71</v>
          </cell>
        </row>
        <row r="1089">
          <cell r="A1089" t="str">
            <v>CIVLA</v>
          </cell>
          <cell r="B1089" t="str">
            <v>510-25025-002-0003</v>
          </cell>
          <cell r="J1089">
            <v>55.16</v>
          </cell>
        </row>
        <row r="1090">
          <cell r="A1090" t="str">
            <v>CIVLA</v>
          </cell>
          <cell r="B1090" t="str">
            <v>510-25025-002-0004</v>
          </cell>
          <cell r="J1090">
            <v>296.60000000000002</v>
          </cell>
        </row>
        <row r="1091">
          <cell r="A1091" t="str">
            <v>CIVLA</v>
          </cell>
          <cell r="B1091" t="str">
            <v>510-25025-003-0000</v>
          </cell>
          <cell r="J1091">
            <v>2322.34</v>
          </cell>
        </row>
        <row r="1092">
          <cell r="A1092" t="str">
            <v>CIVLA</v>
          </cell>
          <cell r="B1092" t="str">
            <v>510-25025-007-0000</v>
          </cell>
          <cell r="J1092">
            <v>1119914.2</v>
          </cell>
        </row>
        <row r="1093">
          <cell r="A1093" t="str">
            <v>CIVLA</v>
          </cell>
          <cell r="B1093" t="str">
            <v>510-25025-007-0010</v>
          </cell>
          <cell r="J1093">
            <v>429370.73</v>
          </cell>
        </row>
        <row r="1094">
          <cell r="A1094" t="str">
            <v>CIVLA</v>
          </cell>
          <cell r="B1094" t="str">
            <v>510-25025-007-0030</v>
          </cell>
          <cell r="J1094">
            <v>235073.84</v>
          </cell>
        </row>
        <row r="1095">
          <cell r="A1095" t="str">
            <v>CIVLA</v>
          </cell>
          <cell r="B1095" t="str">
            <v>510-25025-007-0050</v>
          </cell>
          <cell r="J1095">
            <v>163336.17000000001</v>
          </cell>
        </row>
        <row r="1096">
          <cell r="A1096" t="str">
            <v>CIVLA</v>
          </cell>
          <cell r="B1096" t="str">
            <v>510-25025-007-0060</v>
          </cell>
          <cell r="J1096">
            <v>289884.87</v>
          </cell>
        </row>
        <row r="1097">
          <cell r="A1097" t="str">
            <v>CIVLA</v>
          </cell>
          <cell r="B1097" t="str">
            <v>510-25025-007-0070</v>
          </cell>
          <cell r="J1097">
            <v>2248.59</v>
          </cell>
        </row>
        <row r="1098">
          <cell r="A1098" t="str">
            <v>CIVLA</v>
          </cell>
          <cell r="B1098" t="str">
            <v>510-25025-061-0000</v>
          </cell>
          <cell r="J1098">
            <v>826.94</v>
          </cell>
        </row>
        <row r="1099">
          <cell r="A1099" t="str">
            <v>CIVLA</v>
          </cell>
          <cell r="B1099" t="str">
            <v>510-25026-000-0000</v>
          </cell>
          <cell r="J1099">
            <v>104.51</v>
          </cell>
        </row>
        <row r="1100">
          <cell r="A1100" t="str">
            <v>CIVLA</v>
          </cell>
          <cell r="B1100" t="str">
            <v>510-25026-001-0000</v>
          </cell>
          <cell r="J1100">
            <v>89.53</v>
          </cell>
        </row>
        <row r="1101">
          <cell r="A1101" t="str">
            <v>CIVLA</v>
          </cell>
          <cell r="B1101" t="str">
            <v>510-25026-001-0009</v>
          </cell>
          <cell r="J1101">
            <v>52.53</v>
          </cell>
        </row>
        <row r="1102">
          <cell r="A1102" t="str">
            <v>CIVLA</v>
          </cell>
          <cell r="B1102" t="str">
            <v>510-25026-001-0010</v>
          </cell>
          <cell r="J1102">
            <v>37</v>
          </cell>
        </row>
        <row r="1103">
          <cell r="A1103" t="str">
            <v>CIVLA</v>
          </cell>
          <cell r="B1103" t="str">
            <v>510-25026-002-0000</v>
          </cell>
          <cell r="J1103">
            <v>14.98</v>
          </cell>
        </row>
        <row r="1104">
          <cell r="A1104" t="str">
            <v>CIVLA</v>
          </cell>
          <cell r="B1104" t="str">
            <v>510-25026-002-0001</v>
          </cell>
          <cell r="J1104">
            <v>4.34</v>
          </cell>
        </row>
        <row r="1105">
          <cell r="A1105" t="str">
            <v>CIVLA</v>
          </cell>
          <cell r="B1105" t="str">
            <v>510-25026-002-0002</v>
          </cell>
          <cell r="J1105">
            <v>5.48</v>
          </cell>
        </row>
        <row r="1106">
          <cell r="A1106" t="str">
            <v>CIVLA</v>
          </cell>
          <cell r="B1106" t="str">
            <v>510-25026-002-0003</v>
          </cell>
          <cell r="J1106">
            <v>3.79</v>
          </cell>
        </row>
        <row r="1107">
          <cell r="A1107" t="str">
            <v>CIVLA</v>
          </cell>
          <cell r="B1107" t="str">
            <v>510-25026-002-0004</v>
          </cell>
          <cell r="J1107">
            <v>1.37</v>
          </cell>
        </row>
        <row r="1108">
          <cell r="A1108" t="str">
            <v>CIVLA</v>
          </cell>
          <cell r="B1108" t="str">
            <v>510-25027-000-0000</v>
          </cell>
          <cell r="J1108">
            <v>304.89</v>
          </cell>
        </row>
        <row r="1109">
          <cell r="A1109" t="str">
            <v>CIVLA</v>
          </cell>
          <cell r="B1109" t="str">
            <v>510-25027-001-0000</v>
          </cell>
          <cell r="J1109">
            <v>262.20999999999998</v>
          </cell>
        </row>
        <row r="1110">
          <cell r="A1110" t="str">
            <v>CIVLA</v>
          </cell>
          <cell r="B1110" t="str">
            <v>510-25027-001-0009</v>
          </cell>
          <cell r="J1110">
            <v>141.21</v>
          </cell>
        </row>
        <row r="1111">
          <cell r="A1111" t="str">
            <v>CIVLA</v>
          </cell>
          <cell r="B1111" t="str">
            <v>510-25027-001-0010</v>
          </cell>
          <cell r="J1111">
            <v>121</v>
          </cell>
        </row>
        <row r="1112">
          <cell r="A1112" t="str">
            <v>CIVLA</v>
          </cell>
          <cell r="B1112" t="str">
            <v>510-25027-002-0000</v>
          </cell>
          <cell r="J1112">
            <v>42.68</v>
          </cell>
        </row>
        <row r="1113">
          <cell r="A1113" t="str">
            <v>CIVLA</v>
          </cell>
          <cell r="B1113" t="str">
            <v>510-25027-002-0001</v>
          </cell>
          <cell r="J1113">
            <v>12.54</v>
          </cell>
        </row>
        <row r="1114">
          <cell r="A1114" t="str">
            <v>CIVLA</v>
          </cell>
          <cell r="B1114" t="str">
            <v>510-25027-002-0002</v>
          </cell>
          <cell r="J1114">
            <v>16.47</v>
          </cell>
        </row>
        <row r="1115">
          <cell r="A1115" t="str">
            <v>CIVLA</v>
          </cell>
          <cell r="B1115" t="str">
            <v>510-25027-002-0003</v>
          </cell>
          <cell r="J1115">
            <v>9.8800000000000008</v>
          </cell>
        </row>
        <row r="1116">
          <cell r="A1116" t="str">
            <v>CIVLA</v>
          </cell>
          <cell r="B1116" t="str">
            <v>510-25027-002-0004</v>
          </cell>
          <cell r="J1116">
            <v>3.79</v>
          </cell>
        </row>
        <row r="1117">
          <cell r="A1117" t="str">
            <v>CIVLA</v>
          </cell>
          <cell r="B1117" t="str">
            <v>510-25028-000-0000</v>
          </cell>
          <cell r="J1117">
            <v>98.96</v>
          </cell>
        </row>
        <row r="1118">
          <cell r="A1118" t="str">
            <v>CIVLA</v>
          </cell>
          <cell r="B1118" t="str">
            <v>510-25028-001-0000</v>
          </cell>
          <cell r="J1118">
            <v>85.73</v>
          </cell>
        </row>
        <row r="1119">
          <cell r="A1119" t="str">
            <v>CIVLA</v>
          </cell>
          <cell r="B1119" t="str">
            <v>510-25028-001-0009</v>
          </cell>
          <cell r="J1119">
            <v>51.73</v>
          </cell>
        </row>
        <row r="1120">
          <cell r="A1120" t="str">
            <v>CIVLA</v>
          </cell>
          <cell r="B1120" t="str">
            <v>510-25028-001-0010</v>
          </cell>
          <cell r="J1120">
            <v>34</v>
          </cell>
        </row>
        <row r="1121">
          <cell r="A1121" t="str">
            <v>CIVLA</v>
          </cell>
          <cell r="B1121" t="str">
            <v>510-25028-002-0000</v>
          </cell>
          <cell r="J1121">
            <v>13.23</v>
          </cell>
        </row>
        <row r="1122">
          <cell r="A1122" t="str">
            <v>CIVLA</v>
          </cell>
          <cell r="B1122" t="str">
            <v>510-25028-002-0001</v>
          </cell>
          <cell r="J1122">
            <v>3.81</v>
          </cell>
        </row>
        <row r="1123">
          <cell r="A1123" t="str">
            <v>CIVLA</v>
          </cell>
          <cell r="B1123" t="str">
            <v>510-25028-002-0002</v>
          </cell>
          <cell r="J1123">
            <v>4.8</v>
          </cell>
        </row>
        <row r="1124">
          <cell r="A1124" t="str">
            <v>CIVLA</v>
          </cell>
          <cell r="B1124" t="str">
            <v>510-25028-002-0003</v>
          </cell>
          <cell r="J1124">
            <v>3.37</v>
          </cell>
        </row>
        <row r="1125">
          <cell r="A1125" t="str">
            <v>CIVLA</v>
          </cell>
          <cell r="B1125" t="str">
            <v>510-25028-002-0004</v>
          </cell>
          <cell r="J1125">
            <v>1.25</v>
          </cell>
        </row>
        <row r="1126">
          <cell r="A1126" t="str">
            <v>CIVLA</v>
          </cell>
          <cell r="B1126" t="str">
            <v>510-25029-000-0000</v>
          </cell>
          <cell r="J1126">
            <v>402.84</v>
          </cell>
        </row>
        <row r="1127">
          <cell r="A1127" t="str">
            <v>CIVLA</v>
          </cell>
          <cell r="B1127" t="str">
            <v>510-25029-001-0000</v>
          </cell>
          <cell r="J1127">
            <v>344.76</v>
          </cell>
        </row>
        <row r="1128">
          <cell r="A1128" t="str">
            <v>CIVLA</v>
          </cell>
          <cell r="B1128" t="str">
            <v>510-25029-001-0009</v>
          </cell>
          <cell r="J1128">
            <v>197.76</v>
          </cell>
        </row>
        <row r="1129">
          <cell r="A1129" t="str">
            <v>CIVLA</v>
          </cell>
          <cell r="B1129" t="str">
            <v>510-25029-001-0010</v>
          </cell>
          <cell r="J1129">
            <v>147</v>
          </cell>
        </row>
        <row r="1130">
          <cell r="A1130" t="str">
            <v>CIVLA</v>
          </cell>
          <cell r="B1130" t="str">
            <v>510-25029-002-0000</v>
          </cell>
          <cell r="J1130">
            <v>58.08</v>
          </cell>
        </row>
        <row r="1131">
          <cell r="A1131" t="str">
            <v>CIVLA</v>
          </cell>
          <cell r="B1131" t="str">
            <v>510-25029-002-0001</v>
          </cell>
          <cell r="J1131">
            <v>16.420000000000002</v>
          </cell>
        </row>
        <row r="1132">
          <cell r="A1132" t="str">
            <v>CIVLA</v>
          </cell>
          <cell r="B1132" t="str">
            <v>510-25029-002-0002</v>
          </cell>
          <cell r="J1132">
            <v>21.59</v>
          </cell>
        </row>
        <row r="1133">
          <cell r="A1133" t="str">
            <v>CIVLA</v>
          </cell>
          <cell r="B1133" t="str">
            <v>510-25029-002-0003</v>
          </cell>
          <cell r="J1133">
            <v>13.89</v>
          </cell>
        </row>
        <row r="1134">
          <cell r="A1134" t="str">
            <v>CIVLA</v>
          </cell>
          <cell r="B1134" t="str">
            <v>510-25029-002-0004</v>
          </cell>
          <cell r="J1134">
            <v>6.18</v>
          </cell>
        </row>
        <row r="1135">
          <cell r="A1135" t="str">
            <v>CIVLA</v>
          </cell>
          <cell r="B1135" t="str">
            <v>510-25030-000-0000</v>
          </cell>
          <cell r="J1135">
            <v>82.94</v>
          </cell>
        </row>
        <row r="1136">
          <cell r="A1136" t="str">
            <v>CIVLA</v>
          </cell>
          <cell r="B1136" t="str">
            <v>510-25030-001-0000</v>
          </cell>
          <cell r="J1136">
            <v>70.16</v>
          </cell>
        </row>
        <row r="1137">
          <cell r="A1137" t="str">
            <v>CIVLA</v>
          </cell>
          <cell r="B1137" t="str">
            <v>510-25030-001-0009</v>
          </cell>
          <cell r="J1137">
            <v>52.16</v>
          </cell>
        </row>
        <row r="1138">
          <cell r="A1138" t="str">
            <v>CIVLA</v>
          </cell>
          <cell r="B1138" t="str">
            <v>510-25030-001-0010</v>
          </cell>
          <cell r="J1138">
            <v>18</v>
          </cell>
        </row>
        <row r="1139">
          <cell r="A1139" t="str">
            <v>CIVLA</v>
          </cell>
          <cell r="B1139" t="str">
            <v>510-25030-002-0000</v>
          </cell>
          <cell r="J1139">
            <v>12.78</v>
          </cell>
        </row>
        <row r="1140">
          <cell r="A1140" t="str">
            <v>CIVLA</v>
          </cell>
          <cell r="B1140" t="str">
            <v>510-25030-002-0001</v>
          </cell>
          <cell r="J1140">
            <v>3.51</v>
          </cell>
        </row>
        <row r="1141">
          <cell r="A1141" t="str">
            <v>CIVLA</v>
          </cell>
          <cell r="B1141" t="str">
            <v>510-25030-002-0002</v>
          </cell>
          <cell r="J1141">
            <v>4.75</v>
          </cell>
        </row>
        <row r="1142">
          <cell r="A1142" t="str">
            <v>CIVLA</v>
          </cell>
          <cell r="B1142" t="str">
            <v>510-25030-002-0003</v>
          </cell>
          <cell r="J1142">
            <v>2.96</v>
          </cell>
        </row>
        <row r="1143">
          <cell r="A1143" t="str">
            <v>CIVLA</v>
          </cell>
          <cell r="B1143" t="str">
            <v>510-25030-002-0004</v>
          </cell>
          <cell r="J1143">
            <v>1.56</v>
          </cell>
        </row>
        <row r="1144">
          <cell r="A1144" t="str">
            <v>CIVLA</v>
          </cell>
          <cell r="B1144" t="str">
            <v>510-25031-000-0000</v>
          </cell>
          <cell r="J1144">
            <v>379.86</v>
          </cell>
        </row>
        <row r="1145">
          <cell r="A1145" t="str">
            <v>CIVLA</v>
          </cell>
          <cell r="B1145" t="str">
            <v>510-25031-001-0000</v>
          </cell>
          <cell r="J1145">
            <v>326.5</v>
          </cell>
        </row>
        <row r="1146">
          <cell r="A1146" t="str">
            <v>CIVLA</v>
          </cell>
          <cell r="B1146" t="str">
            <v>510-25031-001-0009</v>
          </cell>
          <cell r="J1146">
            <v>180.5</v>
          </cell>
        </row>
        <row r="1147">
          <cell r="A1147" t="str">
            <v>CIVLA</v>
          </cell>
          <cell r="B1147" t="str">
            <v>510-25031-001-0010</v>
          </cell>
          <cell r="J1147">
            <v>146</v>
          </cell>
        </row>
        <row r="1148">
          <cell r="A1148" t="str">
            <v>CIVLA</v>
          </cell>
          <cell r="B1148" t="str">
            <v>510-25031-002-0000</v>
          </cell>
          <cell r="J1148">
            <v>53.36</v>
          </cell>
        </row>
        <row r="1149">
          <cell r="A1149" t="str">
            <v>CIVLA</v>
          </cell>
          <cell r="B1149" t="str">
            <v>510-25031-002-0001</v>
          </cell>
          <cell r="J1149">
            <v>15.65</v>
          </cell>
        </row>
        <row r="1150">
          <cell r="A1150" t="str">
            <v>CIVLA</v>
          </cell>
          <cell r="B1150" t="str">
            <v>510-25031-002-0002</v>
          </cell>
          <cell r="J1150">
            <v>20.32</v>
          </cell>
        </row>
        <row r="1151">
          <cell r="A1151" t="str">
            <v>CIVLA</v>
          </cell>
          <cell r="B1151" t="str">
            <v>510-25031-002-0003</v>
          </cell>
          <cell r="J1151">
            <v>12.66</v>
          </cell>
        </row>
        <row r="1152">
          <cell r="A1152" t="str">
            <v>CIVLA</v>
          </cell>
          <cell r="B1152" t="str">
            <v>510-25031-002-0004</v>
          </cell>
          <cell r="J1152">
            <v>4.7300000000000004</v>
          </cell>
        </row>
        <row r="1153">
          <cell r="A1153" t="str">
            <v>CIVLA</v>
          </cell>
          <cell r="B1153" t="str">
            <v>510-25032-000-0000</v>
          </cell>
          <cell r="J1153">
            <v>189.43</v>
          </cell>
        </row>
        <row r="1154">
          <cell r="A1154" t="str">
            <v>CIVLA</v>
          </cell>
          <cell r="B1154" t="str">
            <v>510-25032-001-0000</v>
          </cell>
          <cell r="J1154">
            <v>162.75</v>
          </cell>
        </row>
        <row r="1155">
          <cell r="A1155" t="str">
            <v>CIVLA</v>
          </cell>
          <cell r="B1155" t="str">
            <v>510-25032-001-0009</v>
          </cell>
          <cell r="J1155">
            <v>89.75</v>
          </cell>
        </row>
        <row r="1156">
          <cell r="A1156" t="str">
            <v>CIVLA</v>
          </cell>
          <cell r="B1156" t="str">
            <v>510-25032-001-0010</v>
          </cell>
          <cell r="J1156">
            <v>73</v>
          </cell>
        </row>
        <row r="1157">
          <cell r="A1157" t="str">
            <v>CIVLA</v>
          </cell>
          <cell r="B1157" t="str">
            <v>510-25032-002-0000</v>
          </cell>
          <cell r="J1157">
            <v>26.68</v>
          </cell>
        </row>
        <row r="1158">
          <cell r="A1158" t="str">
            <v>CIVLA</v>
          </cell>
          <cell r="B1158" t="str">
            <v>510-25032-002-0001</v>
          </cell>
          <cell r="J1158">
            <v>7.33</v>
          </cell>
        </row>
        <row r="1159">
          <cell r="A1159" t="str">
            <v>CIVLA</v>
          </cell>
          <cell r="B1159" t="str">
            <v>510-25032-002-0002</v>
          </cell>
          <cell r="J1159">
            <v>10.66</v>
          </cell>
        </row>
        <row r="1160">
          <cell r="A1160" t="str">
            <v>CIVLA</v>
          </cell>
          <cell r="B1160" t="str">
            <v>510-25032-002-0003</v>
          </cell>
          <cell r="J1160">
            <v>6.33</v>
          </cell>
        </row>
        <row r="1161">
          <cell r="A1161" t="str">
            <v>CIVLA</v>
          </cell>
          <cell r="B1161" t="str">
            <v>510-25032-002-0004</v>
          </cell>
          <cell r="J1161">
            <v>2.36</v>
          </cell>
        </row>
        <row r="1162">
          <cell r="A1162" t="str">
            <v>CIVLA</v>
          </cell>
          <cell r="B1162" t="str">
            <v>510-25033-000-0000</v>
          </cell>
          <cell r="J1162">
            <v>18996.29</v>
          </cell>
        </row>
        <row r="1163">
          <cell r="A1163" t="str">
            <v>CIVLA</v>
          </cell>
          <cell r="B1163" t="str">
            <v>510-25033-001-0000</v>
          </cell>
          <cell r="J1163">
            <v>6548.72</v>
          </cell>
        </row>
        <row r="1164">
          <cell r="A1164" t="str">
            <v>CIVLA</v>
          </cell>
          <cell r="B1164" t="str">
            <v>510-25033-001-0001</v>
          </cell>
          <cell r="J1164">
            <v>4147.2299999999996</v>
          </cell>
        </row>
        <row r="1165">
          <cell r="A1165" t="str">
            <v>CIVLA</v>
          </cell>
          <cell r="B1165" t="str">
            <v>510-25033-001-0002</v>
          </cell>
          <cell r="J1165">
            <v>383.17</v>
          </cell>
        </row>
        <row r="1166">
          <cell r="A1166" t="str">
            <v>CIVLA</v>
          </cell>
          <cell r="B1166" t="str">
            <v>510-25033-001-0005</v>
          </cell>
          <cell r="J1166">
            <v>131.34</v>
          </cell>
        </row>
        <row r="1167">
          <cell r="A1167" t="str">
            <v>CIVLA</v>
          </cell>
          <cell r="B1167" t="str">
            <v>510-25033-001-0006</v>
          </cell>
          <cell r="J1167">
            <v>131.34</v>
          </cell>
        </row>
        <row r="1168">
          <cell r="A1168" t="str">
            <v>CIVLA</v>
          </cell>
          <cell r="B1168" t="str">
            <v>510-25033-001-0009</v>
          </cell>
          <cell r="J1168">
            <v>913.64</v>
          </cell>
        </row>
        <row r="1169">
          <cell r="A1169" t="str">
            <v>CIVLA</v>
          </cell>
          <cell r="B1169" t="str">
            <v>510-25033-001-0010</v>
          </cell>
          <cell r="J1169">
            <v>263</v>
          </cell>
        </row>
        <row r="1170">
          <cell r="A1170" t="str">
            <v>CIVLA</v>
          </cell>
          <cell r="B1170" t="str">
            <v>510-25033-001-0011</v>
          </cell>
          <cell r="J1170">
            <v>579</v>
          </cell>
        </row>
        <row r="1171">
          <cell r="A1171" t="str">
            <v>CIVLA</v>
          </cell>
          <cell r="B1171" t="str">
            <v>510-25033-002-0000</v>
          </cell>
          <cell r="J1171">
            <v>1334.28</v>
          </cell>
        </row>
        <row r="1172">
          <cell r="A1172" t="str">
            <v>CIVLA</v>
          </cell>
          <cell r="B1172" t="str">
            <v>510-25033-002-0001</v>
          </cell>
          <cell r="J1172">
            <v>550.41</v>
          </cell>
        </row>
        <row r="1173">
          <cell r="A1173" t="str">
            <v>CIVLA</v>
          </cell>
          <cell r="B1173" t="str">
            <v>510-25033-002-0002</v>
          </cell>
          <cell r="J1173">
            <v>379.78</v>
          </cell>
        </row>
        <row r="1174">
          <cell r="A1174" t="str">
            <v>CIVLA</v>
          </cell>
          <cell r="B1174" t="str">
            <v>510-25033-002-0003</v>
          </cell>
          <cell r="J1174">
            <v>233.03</v>
          </cell>
        </row>
        <row r="1175">
          <cell r="A1175" t="str">
            <v>CIVLA</v>
          </cell>
          <cell r="B1175" t="str">
            <v>510-25033-002-0004</v>
          </cell>
          <cell r="J1175">
            <v>171.06</v>
          </cell>
        </row>
        <row r="1176">
          <cell r="A1176" t="str">
            <v>CIVLA</v>
          </cell>
          <cell r="B1176" t="str">
            <v>510-25033-003-0000</v>
          </cell>
          <cell r="J1176">
            <v>759.44</v>
          </cell>
        </row>
        <row r="1177">
          <cell r="A1177" t="str">
            <v>CIVLA</v>
          </cell>
          <cell r="B1177" t="str">
            <v>510-25033-007-0000</v>
          </cell>
          <cell r="J1177">
            <v>10361.43</v>
          </cell>
        </row>
        <row r="1178">
          <cell r="A1178" t="str">
            <v>CIVLA</v>
          </cell>
          <cell r="B1178" t="str">
            <v>510-25033-007-0010</v>
          </cell>
          <cell r="J1178">
            <v>6913.12</v>
          </cell>
        </row>
        <row r="1179">
          <cell r="A1179" t="str">
            <v>CIVLA</v>
          </cell>
          <cell r="B1179" t="str">
            <v>510-25033-007-0060</v>
          </cell>
          <cell r="J1179">
            <v>3448.31</v>
          </cell>
        </row>
        <row r="1180">
          <cell r="A1180" t="str">
            <v>CIVLA</v>
          </cell>
          <cell r="B1180" t="str">
            <v>510-25033-061-0000</v>
          </cell>
          <cell r="J1180">
            <v>-7.58</v>
          </cell>
        </row>
        <row r="1181">
          <cell r="A1181" t="str">
            <v>CIVLA</v>
          </cell>
          <cell r="B1181" t="str">
            <v>510-25034-000-0000</v>
          </cell>
          <cell r="J1181">
            <v>52822.78</v>
          </cell>
        </row>
        <row r="1182">
          <cell r="A1182" t="str">
            <v>CIVLA</v>
          </cell>
          <cell r="B1182" t="str">
            <v>510-25034-001-0000</v>
          </cell>
          <cell r="J1182">
            <v>7621.73</v>
          </cell>
        </row>
        <row r="1183">
          <cell r="A1183" t="str">
            <v>CIVLA</v>
          </cell>
          <cell r="B1183" t="str">
            <v>510-25034-001-0001</v>
          </cell>
          <cell r="J1183">
            <v>5729.56</v>
          </cell>
        </row>
        <row r="1184">
          <cell r="A1184" t="str">
            <v>CIVLA</v>
          </cell>
          <cell r="B1184" t="str">
            <v>510-25034-001-0002</v>
          </cell>
          <cell r="J1184">
            <v>615.48</v>
          </cell>
        </row>
        <row r="1185">
          <cell r="A1185" t="str">
            <v>CIVLA</v>
          </cell>
          <cell r="B1185" t="str">
            <v>510-25034-001-0005</v>
          </cell>
          <cell r="J1185">
            <v>252.79</v>
          </cell>
        </row>
        <row r="1186">
          <cell r="A1186" t="str">
            <v>CIVLA</v>
          </cell>
          <cell r="B1186" t="str">
            <v>510-25034-001-0006</v>
          </cell>
          <cell r="J1186">
            <v>252.79</v>
          </cell>
        </row>
        <row r="1187">
          <cell r="A1187" t="str">
            <v>CIVLA</v>
          </cell>
          <cell r="B1187" t="str">
            <v>510-25034-001-0009</v>
          </cell>
          <cell r="J1187">
            <v>771.11</v>
          </cell>
        </row>
        <row r="1188">
          <cell r="A1188" t="str">
            <v>CIVLA</v>
          </cell>
          <cell r="B1188" t="str">
            <v>510-25034-002-0000</v>
          </cell>
          <cell r="J1188">
            <v>1649.64</v>
          </cell>
        </row>
        <row r="1189">
          <cell r="A1189" t="str">
            <v>CIVLA</v>
          </cell>
          <cell r="B1189" t="str">
            <v>510-25034-002-0001</v>
          </cell>
          <cell r="J1189">
            <v>796.16</v>
          </cell>
        </row>
        <row r="1190">
          <cell r="A1190" t="str">
            <v>CIVLA</v>
          </cell>
          <cell r="B1190" t="str">
            <v>510-25034-002-0002</v>
          </cell>
          <cell r="J1190">
            <v>388.72</v>
          </cell>
        </row>
        <row r="1191">
          <cell r="A1191" t="str">
            <v>CIVLA</v>
          </cell>
          <cell r="B1191" t="str">
            <v>510-25034-002-0003</v>
          </cell>
          <cell r="J1191">
            <v>236.11</v>
          </cell>
        </row>
        <row r="1192">
          <cell r="A1192" t="str">
            <v>CIVLA</v>
          </cell>
          <cell r="B1192" t="str">
            <v>510-25034-002-0004</v>
          </cell>
          <cell r="J1192">
            <v>228.65</v>
          </cell>
        </row>
        <row r="1193">
          <cell r="A1193" t="str">
            <v>CIVLA</v>
          </cell>
          <cell r="B1193" t="str">
            <v>510-25034-003-0000</v>
          </cell>
          <cell r="J1193">
            <v>1020.38</v>
          </cell>
        </row>
        <row r="1194">
          <cell r="A1194" t="str">
            <v>CIVLA</v>
          </cell>
          <cell r="B1194" t="str">
            <v>510-25034-007-0000</v>
          </cell>
          <cell r="J1194">
            <v>42188.4</v>
          </cell>
        </row>
        <row r="1195">
          <cell r="A1195" t="str">
            <v>CIVLA</v>
          </cell>
          <cell r="B1195" t="str">
            <v>510-25034-007-0010</v>
          </cell>
          <cell r="J1195">
            <v>22048.81</v>
          </cell>
        </row>
        <row r="1196">
          <cell r="A1196" t="str">
            <v>CIVLA</v>
          </cell>
          <cell r="B1196" t="str">
            <v>510-25034-007-0030</v>
          </cell>
          <cell r="J1196">
            <v>6229.45</v>
          </cell>
        </row>
        <row r="1197">
          <cell r="A1197" t="str">
            <v>CIVLA</v>
          </cell>
          <cell r="B1197" t="str">
            <v>510-25034-007-0060</v>
          </cell>
          <cell r="J1197">
            <v>13910.14</v>
          </cell>
        </row>
        <row r="1198">
          <cell r="A1198" t="str">
            <v>CIVLA</v>
          </cell>
          <cell r="B1198" t="str">
            <v>510-25034-061-0000</v>
          </cell>
          <cell r="J1198">
            <v>342.63</v>
          </cell>
        </row>
        <row r="1199">
          <cell r="A1199" t="str">
            <v>CIVLA</v>
          </cell>
          <cell r="B1199" t="str">
            <v>510-25035-000-0000</v>
          </cell>
          <cell r="J1199">
            <v>-3253.9</v>
          </cell>
        </row>
        <row r="1200">
          <cell r="A1200" t="str">
            <v>CIVLA</v>
          </cell>
          <cell r="B1200" t="str">
            <v>510-25035-001-0000</v>
          </cell>
          <cell r="J1200">
            <v>1957.7</v>
          </cell>
        </row>
        <row r="1201">
          <cell r="A1201" t="str">
            <v>CIVLA</v>
          </cell>
          <cell r="B1201" t="str">
            <v>510-25035-001-0001</v>
          </cell>
          <cell r="J1201">
            <v>958.34</v>
          </cell>
        </row>
        <row r="1202">
          <cell r="A1202" t="str">
            <v>CIVLA</v>
          </cell>
          <cell r="B1202" t="str">
            <v>510-25035-001-0002</v>
          </cell>
          <cell r="J1202">
            <v>125.07</v>
          </cell>
        </row>
        <row r="1203">
          <cell r="A1203" t="str">
            <v>CIVLA</v>
          </cell>
          <cell r="B1203" t="str">
            <v>510-25035-001-0005</v>
          </cell>
          <cell r="J1203">
            <v>66.78</v>
          </cell>
        </row>
        <row r="1204">
          <cell r="A1204" t="str">
            <v>CIVLA</v>
          </cell>
          <cell r="B1204" t="str">
            <v>510-25035-001-0006</v>
          </cell>
          <cell r="J1204">
            <v>66.78</v>
          </cell>
        </row>
        <row r="1205">
          <cell r="A1205" t="str">
            <v>CIVLA</v>
          </cell>
          <cell r="B1205" t="str">
            <v>510-25035-001-0009</v>
          </cell>
          <cell r="J1205">
            <v>447.73</v>
          </cell>
        </row>
        <row r="1206">
          <cell r="A1206" t="str">
            <v>CIVLA</v>
          </cell>
          <cell r="B1206" t="str">
            <v>510-25035-001-0010</v>
          </cell>
          <cell r="J1206">
            <v>71</v>
          </cell>
        </row>
        <row r="1207">
          <cell r="A1207" t="str">
            <v>CIVLA</v>
          </cell>
          <cell r="B1207" t="str">
            <v>510-25035-001-0011</v>
          </cell>
          <cell r="J1207">
            <v>222</v>
          </cell>
        </row>
        <row r="1208">
          <cell r="A1208" t="str">
            <v>CIVLA</v>
          </cell>
          <cell r="B1208" t="str">
            <v>510-25035-002-0000</v>
          </cell>
          <cell r="J1208">
            <v>267.39</v>
          </cell>
        </row>
        <row r="1209">
          <cell r="A1209" t="str">
            <v>CIVLA</v>
          </cell>
          <cell r="B1209" t="str">
            <v>510-25035-002-0001</v>
          </cell>
          <cell r="J1209">
            <v>200.6</v>
          </cell>
        </row>
        <row r="1210">
          <cell r="A1210" t="str">
            <v>CIVLA</v>
          </cell>
          <cell r="B1210" t="str">
            <v>510-25035-002-0002</v>
          </cell>
          <cell r="J1210">
            <v>10.15</v>
          </cell>
        </row>
        <row r="1211">
          <cell r="A1211" t="str">
            <v>CIVLA</v>
          </cell>
          <cell r="B1211" t="str">
            <v>510-25035-002-0003</v>
          </cell>
          <cell r="J1211">
            <v>6.23</v>
          </cell>
        </row>
        <row r="1212">
          <cell r="A1212" t="str">
            <v>CIVLA</v>
          </cell>
          <cell r="B1212" t="str">
            <v>510-25035-002-0004</v>
          </cell>
          <cell r="J1212">
            <v>50.41</v>
          </cell>
        </row>
        <row r="1213">
          <cell r="A1213" t="str">
            <v>CIVLA</v>
          </cell>
          <cell r="B1213" t="str">
            <v>510-25035-007-0000</v>
          </cell>
          <cell r="J1213">
            <v>-5478.99</v>
          </cell>
        </row>
        <row r="1214">
          <cell r="A1214" t="str">
            <v>CIVLA</v>
          </cell>
          <cell r="B1214" t="str">
            <v>510-25035-007-0010</v>
          </cell>
          <cell r="J1214">
            <v>-6975.56</v>
          </cell>
        </row>
        <row r="1215">
          <cell r="A1215" t="str">
            <v>CIVLA</v>
          </cell>
          <cell r="B1215" t="str">
            <v>510-25035-007-0030</v>
          </cell>
          <cell r="J1215">
            <v>1477.69</v>
          </cell>
        </row>
        <row r="1216">
          <cell r="A1216" t="str">
            <v>CIVLA</v>
          </cell>
          <cell r="B1216" t="str">
            <v>510-25035-007-0060</v>
          </cell>
          <cell r="J1216">
            <v>18.88</v>
          </cell>
        </row>
        <row r="1217">
          <cell r="A1217" t="str">
            <v>CIVLA</v>
          </cell>
          <cell r="B1217" t="str">
            <v>510-25036-000-0000</v>
          </cell>
          <cell r="J1217">
            <v>255.12</v>
          </cell>
        </row>
        <row r="1218">
          <cell r="A1218" t="str">
            <v>CIVLA</v>
          </cell>
          <cell r="B1218" t="str">
            <v>510-25036-001-0000</v>
          </cell>
          <cell r="J1218">
            <v>122.18</v>
          </cell>
        </row>
        <row r="1219">
          <cell r="A1219" t="str">
            <v>CIVLA</v>
          </cell>
          <cell r="B1219" t="str">
            <v>510-25036-001-0009</v>
          </cell>
          <cell r="J1219">
            <v>81.180000000000007</v>
          </cell>
        </row>
        <row r="1220">
          <cell r="A1220" t="str">
            <v>CIVLA</v>
          </cell>
          <cell r="B1220" t="str">
            <v>510-25036-001-0010</v>
          </cell>
          <cell r="J1220">
            <v>41</v>
          </cell>
        </row>
        <row r="1221">
          <cell r="A1221" t="str">
            <v>CIVLA</v>
          </cell>
          <cell r="B1221" t="str">
            <v>510-25036-002-0000</v>
          </cell>
          <cell r="J1221">
            <v>18.23</v>
          </cell>
        </row>
        <row r="1222">
          <cell r="A1222" t="str">
            <v>CIVLA</v>
          </cell>
          <cell r="B1222" t="str">
            <v>510-25036-002-0001</v>
          </cell>
          <cell r="J1222">
            <v>7</v>
          </cell>
        </row>
        <row r="1223">
          <cell r="A1223" t="str">
            <v>CIVLA</v>
          </cell>
          <cell r="B1223" t="str">
            <v>510-25036-002-0002</v>
          </cell>
          <cell r="J1223">
            <v>5.68</v>
          </cell>
        </row>
        <row r="1224">
          <cell r="A1224" t="str">
            <v>CIVLA</v>
          </cell>
          <cell r="B1224" t="str">
            <v>510-25036-002-0003</v>
          </cell>
          <cell r="J1224">
            <v>3.48</v>
          </cell>
        </row>
        <row r="1225">
          <cell r="A1225" t="str">
            <v>CIVLA</v>
          </cell>
          <cell r="B1225" t="str">
            <v>510-25036-002-0004</v>
          </cell>
          <cell r="J1225">
            <v>2.0699999999999998</v>
          </cell>
        </row>
        <row r="1226">
          <cell r="A1226" t="str">
            <v>CIVLA</v>
          </cell>
          <cell r="B1226" t="str">
            <v>510-25036-007-0000</v>
          </cell>
          <cell r="J1226">
            <v>114.71</v>
          </cell>
        </row>
        <row r="1227">
          <cell r="A1227" t="str">
            <v>CIVLA</v>
          </cell>
          <cell r="B1227" t="str">
            <v>510-25036-007-0010</v>
          </cell>
          <cell r="J1227">
            <v>114.71</v>
          </cell>
        </row>
        <row r="1228">
          <cell r="A1228" t="str">
            <v>CIVLA</v>
          </cell>
          <cell r="B1228" t="str">
            <v>510-25038-000-0000</v>
          </cell>
          <cell r="J1228">
            <v>16540.96</v>
          </cell>
        </row>
        <row r="1229">
          <cell r="A1229" t="str">
            <v>CIVLA</v>
          </cell>
          <cell r="B1229" t="str">
            <v>510-25038-007-0000</v>
          </cell>
          <cell r="J1229">
            <v>16540.96</v>
          </cell>
        </row>
        <row r="1230">
          <cell r="A1230" t="str">
            <v>CIVLA</v>
          </cell>
          <cell r="B1230" t="str">
            <v>510-25038-007-0010</v>
          </cell>
          <cell r="J1230">
            <v>864.83</v>
          </cell>
        </row>
        <row r="1231">
          <cell r="A1231" t="str">
            <v>CIVLA</v>
          </cell>
          <cell r="B1231" t="str">
            <v>510-25038-007-0070</v>
          </cell>
          <cell r="J1231">
            <v>15676.13</v>
          </cell>
        </row>
        <row r="1232">
          <cell r="A1232" t="str">
            <v>CIVLA</v>
          </cell>
          <cell r="B1232" t="str">
            <v>510-25039-000-0000</v>
          </cell>
          <cell r="J1232">
            <v>1371544.14</v>
          </cell>
        </row>
        <row r="1233">
          <cell r="A1233" t="str">
            <v>CIVLA</v>
          </cell>
          <cell r="B1233" t="str">
            <v>510-25039-001-0000</v>
          </cell>
          <cell r="J1233">
            <v>71222.850000000006</v>
          </cell>
        </row>
        <row r="1234">
          <cell r="A1234" t="str">
            <v>CIVLA</v>
          </cell>
          <cell r="B1234" t="str">
            <v>510-25039-001-0001</v>
          </cell>
          <cell r="J1234">
            <v>55889.3</v>
          </cell>
        </row>
        <row r="1235">
          <cell r="A1235" t="str">
            <v>CIVLA</v>
          </cell>
          <cell r="B1235" t="str">
            <v>510-25039-001-0002</v>
          </cell>
          <cell r="J1235">
            <v>5577.04</v>
          </cell>
        </row>
        <row r="1236">
          <cell r="A1236" t="str">
            <v>CIVLA</v>
          </cell>
          <cell r="B1236" t="str">
            <v>510-25039-001-0005</v>
          </cell>
          <cell r="J1236">
            <v>2312.02</v>
          </cell>
        </row>
        <row r="1237">
          <cell r="A1237" t="str">
            <v>CIVLA</v>
          </cell>
          <cell r="B1237" t="str">
            <v>510-25039-001-0006</v>
          </cell>
          <cell r="J1237">
            <v>2312.02</v>
          </cell>
        </row>
        <row r="1238">
          <cell r="A1238" t="str">
            <v>CIVLA</v>
          </cell>
          <cell r="B1238" t="str">
            <v>510-25039-001-0009</v>
          </cell>
          <cell r="J1238">
            <v>75.47</v>
          </cell>
        </row>
        <row r="1239">
          <cell r="A1239" t="str">
            <v>CIVLA</v>
          </cell>
          <cell r="B1239" t="str">
            <v>510-25039-001-0010</v>
          </cell>
          <cell r="J1239">
            <v>39</v>
          </cell>
        </row>
        <row r="1240">
          <cell r="A1240" t="str">
            <v>CIVLA</v>
          </cell>
          <cell r="B1240" t="str">
            <v>510-25039-001-0011</v>
          </cell>
          <cell r="J1240">
            <v>5018</v>
          </cell>
        </row>
        <row r="1241">
          <cell r="A1241" t="str">
            <v>CIVLA</v>
          </cell>
          <cell r="B1241" t="str">
            <v>510-25039-002-0000</v>
          </cell>
          <cell r="J1241">
            <v>15788.29</v>
          </cell>
        </row>
        <row r="1242">
          <cell r="A1242" t="str">
            <v>CIVLA</v>
          </cell>
          <cell r="B1242" t="str">
            <v>510-25039-002-0001</v>
          </cell>
          <cell r="J1242">
            <v>6108.97</v>
          </cell>
        </row>
        <row r="1243">
          <cell r="A1243" t="str">
            <v>CIVLA</v>
          </cell>
          <cell r="B1243" t="str">
            <v>510-25039-002-0002</v>
          </cell>
          <cell r="J1243">
            <v>4767.83</v>
          </cell>
        </row>
        <row r="1244">
          <cell r="A1244" t="str">
            <v>CIVLA</v>
          </cell>
          <cell r="B1244" t="str">
            <v>510-25039-002-0003</v>
          </cell>
          <cell r="J1244">
            <v>2926.51</v>
          </cell>
        </row>
        <row r="1245">
          <cell r="A1245" t="str">
            <v>CIVLA</v>
          </cell>
          <cell r="B1245" t="str">
            <v>510-25039-002-0004</v>
          </cell>
          <cell r="J1245">
            <v>1984.98</v>
          </cell>
        </row>
        <row r="1246">
          <cell r="A1246" t="str">
            <v>CIVLA</v>
          </cell>
          <cell r="B1246" t="str">
            <v>510-25039-003-0000</v>
          </cell>
          <cell r="J1246">
            <v>9337.23</v>
          </cell>
        </row>
        <row r="1247">
          <cell r="A1247" t="str">
            <v>CIVLA</v>
          </cell>
          <cell r="B1247" t="str">
            <v>510-25039-007-0000</v>
          </cell>
          <cell r="J1247">
            <v>1276451.8</v>
          </cell>
        </row>
        <row r="1248">
          <cell r="A1248" t="str">
            <v>CIVLA</v>
          </cell>
          <cell r="B1248" t="str">
            <v>510-25039-007-0010</v>
          </cell>
          <cell r="J1248">
            <v>403054.94</v>
          </cell>
        </row>
        <row r="1249">
          <cell r="A1249" t="str">
            <v>CIVLA</v>
          </cell>
          <cell r="B1249" t="str">
            <v>510-25039-007-0020</v>
          </cell>
          <cell r="J1249">
            <v>4.33</v>
          </cell>
        </row>
        <row r="1250">
          <cell r="A1250" t="str">
            <v>CIVLA</v>
          </cell>
          <cell r="B1250" t="str">
            <v>510-25039-007-0030</v>
          </cell>
          <cell r="J1250">
            <v>309534.21000000002</v>
          </cell>
        </row>
        <row r="1251">
          <cell r="A1251" t="str">
            <v>CIVLA</v>
          </cell>
          <cell r="B1251" t="str">
            <v>510-25039-007-0050</v>
          </cell>
          <cell r="J1251">
            <v>405345.12</v>
          </cell>
        </row>
        <row r="1252">
          <cell r="A1252" t="str">
            <v>CIVLA</v>
          </cell>
          <cell r="B1252" t="str">
            <v>510-25039-007-0060</v>
          </cell>
          <cell r="J1252">
            <v>151769.04999999999</v>
          </cell>
        </row>
        <row r="1253">
          <cell r="A1253" t="str">
            <v>CIVLA</v>
          </cell>
          <cell r="B1253" t="str">
            <v>510-25039-007-0070</v>
          </cell>
          <cell r="J1253">
            <v>6744.15</v>
          </cell>
        </row>
        <row r="1254">
          <cell r="A1254" t="str">
            <v>CIVLA</v>
          </cell>
          <cell r="B1254" t="str">
            <v>510-25039-061-0000</v>
          </cell>
          <cell r="J1254">
            <v>-1256.03</v>
          </cell>
        </row>
        <row r="1255">
          <cell r="A1255" t="str">
            <v>CIVLA</v>
          </cell>
          <cell r="B1255" t="str">
            <v>510-25040-000-0000</v>
          </cell>
          <cell r="J1255">
            <v>7372703.5099999998</v>
          </cell>
        </row>
        <row r="1256">
          <cell r="A1256" t="str">
            <v>CIVLA</v>
          </cell>
          <cell r="B1256" t="str">
            <v>510-25040-001-0000</v>
          </cell>
          <cell r="J1256">
            <v>4039.36</v>
          </cell>
        </row>
        <row r="1257">
          <cell r="A1257" t="str">
            <v>CIVLA</v>
          </cell>
          <cell r="B1257" t="str">
            <v>510-25040-001-0001</v>
          </cell>
          <cell r="J1257">
            <v>3510.29</v>
          </cell>
        </row>
        <row r="1258">
          <cell r="A1258" t="str">
            <v>CIVLA</v>
          </cell>
          <cell r="B1258" t="str">
            <v>510-25040-001-0002</v>
          </cell>
          <cell r="J1258">
            <v>312.55</v>
          </cell>
        </row>
        <row r="1259">
          <cell r="A1259" t="str">
            <v>CIVLA</v>
          </cell>
          <cell r="B1259" t="str">
            <v>510-25040-001-0005</v>
          </cell>
          <cell r="J1259">
            <v>108.26</v>
          </cell>
        </row>
        <row r="1260">
          <cell r="A1260" t="str">
            <v>CIVLA</v>
          </cell>
          <cell r="B1260" t="str">
            <v>510-25040-001-0006</v>
          </cell>
          <cell r="J1260">
            <v>108.26</v>
          </cell>
        </row>
        <row r="1261">
          <cell r="A1261" t="str">
            <v>CIVLA</v>
          </cell>
          <cell r="B1261" t="str">
            <v>510-25040-002-0000</v>
          </cell>
          <cell r="J1261">
            <v>617.14</v>
          </cell>
        </row>
        <row r="1262">
          <cell r="A1262" t="str">
            <v>CIVLA</v>
          </cell>
          <cell r="B1262" t="str">
            <v>510-25040-002-0001</v>
          </cell>
          <cell r="J1262">
            <v>493.29</v>
          </cell>
        </row>
        <row r="1263">
          <cell r="A1263" t="str">
            <v>CIVLA</v>
          </cell>
          <cell r="B1263" t="str">
            <v>510-25040-002-0004</v>
          </cell>
          <cell r="J1263">
            <v>123.85</v>
          </cell>
        </row>
        <row r="1264">
          <cell r="A1264" t="str">
            <v>CIVLA</v>
          </cell>
          <cell r="B1264" t="str">
            <v>510-25040-003-0000</v>
          </cell>
          <cell r="J1264">
            <v>22.02</v>
          </cell>
        </row>
        <row r="1265">
          <cell r="A1265" t="str">
            <v>CIVLA</v>
          </cell>
          <cell r="B1265" t="str">
            <v>510-25040-007-0000</v>
          </cell>
          <cell r="J1265">
            <v>7368380.3399999999</v>
          </cell>
        </row>
        <row r="1266">
          <cell r="A1266" t="str">
            <v>CIVLA</v>
          </cell>
          <cell r="B1266" t="str">
            <v>510-25040-007-0010</v>
          </cell>
          <cell r="J1266">
            <v>7180218.7000000002</v>
          </cell>
        </row>
        <row r="1267">
          <cell r="A1267" t="str">
            <v>CIVLA</v>
          </cell>
          <cell r="B1267" t="str">
            <v>510-25040-007-0020</v>
          </cell>
          <cell r="J1267">
            <v>3.5</v>
          </cell>
        </row>
        <row r="1268">
          <cell r="A1268" t="str">
            <v>CIVLA</v>
          </cell>
          <cell r="B1268" t="str">
            <v>510-25040-007-0030</v>
          </cell>
          <cell r="J1268">
            <v>366.9</v>
          </cell>
        </row>
        <row r="1269">
          <cell r="A1269" t="str">
            <v>CIVLA</v>
          </cell>
          <cell r="B1269" t="str">
            <v>510-25040-007-0050</v>
          </cell>
          <cell r="J1269">
            <v>152733.56</v>
          </cell>
        </row>
        <row r="1270">
          <cell r="A1270" t="str">
            <v>CIVLA</v>
          </cell>
          <cell r="B1270" t="str">
            <v>510-25040-007-0060</v>
          </cell>
          <cell r="J1270">
            <v>5519.79</v>
          </cell>
        </row>
        <row r="1271">
          <cell r="A1271" t="str">
            <v>CIVLA</v>
          </cell>
          <cell r="B1271" t="str">
            <v>510-25040-007-0070</v>
          </cell>
          <cell r="J1271">
            <v>29537.89</v>
          </cell>
        </row>
        <row r="1272">
          <cell r="A1272" t="str">
            <v>CIVLA</v>
          </cell>
          <cell r="B1272" t="str">
            <v>510-25040-061-0000</v>
          </cell>
          <cell r="J1272">
            <v>-355.35</v>
          </cell>
        </row>
        <row r="1273">
          <cell r="A1273" t="str">
            <v>CIVLA</v>
          </cell>
          <cell r="B1273" t="str">
            <v>510-25041-000-0000</v>
          </cell>
          <cell r="J1273">
            <v>432454.12</v>
          </cell>
        </row>
        <row r="1274">
          <cell r="A1274" t="str">
            <v>CIVLA</v>
          </cell>
          <cell r="B1274" t="str">
            <v>510-25041-001-0000</v>
          </cell>
          <cell r="J1274">
            <v>105.52</v>
          </cell>
        </row>
        <row r="1275">
          <cell r="A1275" t="str">
            <v>CIVLA</v>
          </cell>
          <cell r="B1275" t="str">
            <v>510-25041-001-0011</v>
          </cell>
          <cell r="J1275">
            <v>105.52</v>
          </cell>
        </row>
        <row r="1276">
          <cell r="A1276" t="str">
            <v>CIVLA</v>
          </cell>
          <cell r="B1276" t="str">
            <v>510-25041-007-0000</v>
          </cell>
          <cell r="J1276">
            <v>432348.6</v>
          </cell>
        </row>
        <row r="1277">
          <cell r="A1277" t="str">
            <v>CIVLA</v>
          </cell>
          <cell r="B1277" t="str">
            <v>510-25041-007-0010</v>
          </cell>
          <cell r="J1277">
            <v>327.08</v>
          </cell>
        </row>
        <row r="1278">
          <cell r="A1278" t="str">
            <v>CIVLA</v>
          </cell>
          <cell r="B1278" t="str">
            <v>510-25041-007-0020</v>
          </cell>
          <cell r="J1278">
            <v>293278.40999999997</v>
          </cell>
        </row>
        <row r="1279">
          <cell r="A1279" t="str">
            <v>CIVLA</v>
          </cell>
          <cell r="B1279" t="str">
            <v>510-25041-007-0050</v>
          </cell>
          <cell r="J1279">
            <v>-5979.03</v>
          </cell>
        </row>
        <row r="1280">
          <cell r="A1280" t="str">
            <v>CIVLA</v>
          </cell>
          <cell r="B1280" t="str">
            <v>510-25041-007-0060</v>
          </cell>
          <cell r="J1280">
            <v>144722.14000000001</v>
          </cell>
        </row>
        <row r="1281">
          <cell r="A1281" t="str">
            <v>CIVLA</v>
          </cell>
          <cell r="B1281" t="str">
            <v>510-25042-000-0000</v>
          </cell>
          <cell r="J1281">
            <v>292035.09000000003</v>
          </cell>
        </row>
        <row r="1282">
          <cell r="A1282" t="str">
            <v>CIVLA</v>
          </cell>
          <cell r="B1282" t="str">
            <v>510-25042-001-0000</v>
          </cell>
          <cell r="J1282">
            <v>9528.56</v>
          </cell>
        </row>
        <row r="1283">
          <cell r="A1283" t="str">
            <v>CIVLA</v>
          </cell>
          <cell r="B1283" t="str">
            <v>510-25042-001-0001</v>
          </cell>
          <cell r="J1283">
            <v>4575.58</v>
          </cell>
        </row>
        <row r="1284">
          <cell r="A1284" t="str">
            <v>CIVLA</v>
          </cell>
          <cell r="B1284" t="str">
            <v>510-25042-001-0002</v>
          </cell>
          <cell r="J1284">
            <v>499.47</v>
          </cell>
        </row>
        <row r="1285">
          <cell r="A1285" t="str">
            <v>CIVLA</v>
          </cell>
          <cell r="B1285" t="str">
            <v>510-25042-001-0005</v>
          </cell>
          <cell r="J1285">
            <v>129.91</v>
          </cell>
        </row>
        <row r="1286">
          <cell r="A1286" t="str">
            <v>CIVLA</v>
          </cell>
          <cell r="B1286" t="str">
            <v>510-25042-001-0006</v>
          </cell>
          <cell r="J1286">
            <v>129.91</v>
          </cell>
        </row>
        <row r="1287">
          <cell r="A1287" t="str">
            <v>CIVLA</v>
          </cell>
          <cell r="B1287" t="str">
            <v>510-25042-001-0009</v>
          </cell>
          <cell r="J1287">
            <v>1523.36</v>
          </cell>
        </row>
        <row r="1288">
          <cell r="A1288" t="str">
            <v>CIVLA</v>
          </cell>
          <cell r="B1288" t="str">
            <v>510-25042-001-0010</v>
          </cell>
          <cell r="J1288">
            <v>105.33</v>
          </cell>
        </row>
        <row r="1289">
          <cell r="A1289" t="str">
            <v>CIVLA</v>
          </cell>
          <cell r="B1289" t="str">
            <v>510-25042-001-0011</v>
          </cell>
          <cell r="J1289">
            <v>2565</v>
          </cell>
        </row>
        <row r="1290">
          <cell r="A1290" t="str">
            <v>CIVLA</v>
          </cell>
          <cell r="B1290" t="str">
            <v>510-25042-002-0000</v>
          </cell>
          <cell r="J1290">
            <v>1128.06</v>
          </cell>
        </row>
        <row r="1291">
          <cell r="A1291" t="str">
            <v>CIVLA</v>
          </cell>
          <cell r="B1291" t="str">
            <v>510-25042-002-0001</v>
          </cell>
          <cell r="J1291">
            <v>919.15</v>
          </cell>
        </row>
        <row r="1292">
          <cell r="A1292" t="str">
            <v>CIVLA</v>
          </cell>
          <cell r="B1292" t="str">
            <v>510-25042-002-0004</v>
          </cell>
          <cell r="J1292">
            <v>208.91</v>
          </cell>
        </row>
        <row r="1293">
          <cell r="A1293" t="str">
            <v>CIVLA</v>
          </cell>
          <cell r="B1293" t="str">
            <v>510-25042-003-0000</v>
          </cell>
          <cell r="J1293">
            <v>612.84</v>
          </cell>
        </row>
        <row r="1294">
          <cell r="A1294" t="str">
            <v>CIVLA</v>
          </cell>
          <cell r="B1294" t="str">
            <v>510-25042-007-0000</v>
          </cell>
          <cell r="J1294">
            <v>280315.40999999997</v>
          </cell>
        </row>
        <row r="1295">
          <cell r="A1295" t="str">
            <v>CIVLA</v>
          </cell>
          <cell r="B1295" t="str">
            <v>510-25042-007-0010</v>
          </cell>
          <cell r="J1295">
            <v>98690.98</v>
          </cell>
        </row>
        <row r="1296">
          <cell r="A1296" t="str">
            <v>CIVLA</v>
          </cell>
          <cell r="B1296" t="str">
            <v>510-25042-007-0030</v>
          </cell>
          <cell r="J1296">
            <v>178131.55</v>
          </cell>
        </row>
        <row r="1297">
          <cell r="A1297" t="str">
            <v>CIVLA</v>
          </cell>
          <cell r="B1297" t="str">
            <v>510-25042-007-0060</v>
          </cell>
          <cell r="J1297">
            <v>3390.5</v>
          </cell>
        </row>
        <row r="1298">
          <cell r="A1298" t="str">
            <v>CIVLA</v>
          </cell>
          <cell r="B1298" t="str">
            <v>510-25042-007-0070</v>
          </cell>
          <cell r="J1298">
            <v>102.38</v>
          </cell>
        </row>
        <row r="1299">
          <cell r="A1299" t="str">
            <v>CIVLA</v>
          </cell>
          <cell r="B1299" t="str">
            <v>510-25042-061-0000</v>
          </cell>
          <cell r="J1299">
            <v>450.22</v>
          </cell>
        </row>
        <row r="1300">
          <cell r="A1300" t="str">
            <v>CIVLA</v>
          </cell>
          <cell r="B1300" t="str">
            <v>510-25043-000-0000</v>
          </cell>
          <cell r="J1300">
            <v>-48884</v>
          </cell>
        </row>
        <row r="1301">
          <cell r="A1301" t="str">
            <v>CIVLA</v>
          </cell>
          <cell r="B1301" t="str">
            <v>510-25043-007-0000</v>
          </cell>
          <cell r="J1301">
            <v>-48884</v>
          </cell>
        </row>
        <row r="1302">
          <cell r="A1302" t="str">
            <v>CIVLA</v>
          </cell>
          <cell r="B1302" t="str">
            <v>510-25043-007-0020</v>
          </cell>
          <cell r="J1302">
            <v>-48888.07</v>
          </cell>
        </row>
        <row r="1303">
          <cell r="A1303" t="str">
            <v>CIVLA</v>
          </cell>
          <cell r="B1303" t="str">
            <v>510-25043-007-0060</v>
          </cell>
          <cell r="J1303">
            <v>4.07</v>
          </cell>
        </row>
        <row r="1304">
          <cell r="A1304" t="str">
            <v>CIVLA</v>
          </cell>
          <cell r="B1304" t="str">
            <v>510-25044-000-0000</v>
          </cell>
          <cell r="J1304">
            <v>7647656.29</v>
          </cell>
        </row>
        <row r="1305">
          <cell r="A1305" t="str">
            <v>CIVLA</v>
          </cell>
          <cell r="B1305" t="str">
            <v>510-25044-007-0000</v>
          </cell>
          <cell r="J1305">
            <v>7647656.29</v>
          </cell>
        </row>
        <row r="1306">
          <cell r="A1306" t="str">
            <v>CIVLA</v>
          </cell>
          <cell r="B1306" t="str">
            <v>510-25044-007-0010</v>
          </cell>
          <cell r="J1306">
            <v>-1685.75</v>
          </cell>
        </row>
        <row r="1307">
          <cell r="A1307" t="str">
            <v>CIVLA</v>
          </cell>
          <cell r="B1307" t="str">
            <v>510-25044-007-0050</v>
          </cell>
          <cell r="J1307">
            <v>5198.24</v>
          </cell>
        </row>
        <row r="1308">
          <cell r="A1308" t="str">
            <v>CIVLA</v>
          </cell>
          <cell r="B1308" t="str">
            <v>510-25044-007-0070</v>
          </cell>
          <cell r="J1308">
            <v>7644143.7999999998</v>
          </cell>
        </row>
        <row r="1309">
          <cell r="A1309" t="str">
            <v>CIVLA</v>
          </cell>
          <cell r="B1309" t="str">
            <v>510-25045-000-0000</v>
          </cell>
          <cell r="J1309">
            <v>-884503.99</v>
          </cell>
        </row>
        <row r="1310">
          <cell r="A1310" t="str">
            <v>CIVLA</v>
          </cell>
          <cell r="B1310" t="str">
            <v>510-25045-007-0000</v>
          </cell>
          <cell r="J1310">
            <v>-884503.99</v>
          </cell>
        </row>
        <row r="1311">
          <cell r="A1311" t="str">
            <v>CIVLA</v>
          </cell>
          <cell r="B1311" t="str">
            <v>510-25045-007-0010</v>
          </cell>
          <cell r="J1311">
            <v>-55203.44</v>
          </cell>
        </row>
        <row r="1312">
          <cell r="A1312" t="str">
            <v>CIVLA</v>
          </cell>
          <cell r="B1312" t="str">
            <v>510-25045-007-0030</v>
          </cell>
          <cell r="J1312">
            <v>4071</v>
          </cell>
        </row>
        <row r="1313">
          <cell r="A1313" t="str">
            <v>CIVLA</v>
          </cell>
          <cell r="B1313" t="str">
            <v>510-25045-007-0050</v>
          </cell>
          <cell r="J1313">
            <v>-798722.17</v>
          </cell>
        </row>
        <row r="1314">
          <cell r="A1314" t="str">
            <v>CIVLA</v>
          </cell>
          <cell r="B1314" t="str">
            <v>510-25045-007-0060</v>
          </cell>
          <cell r="J1314">
            <v>-34649.379999999997</v>
          </cell>
        </row>
        <row r="1315">
          <cell r="A1315" t="str">
            <v>CIVLA</v>
          </cell>
          <cell r="B1315" t="str">
            <v>510-25046-000-0000</v>
          </cell>
          <cell r="J1315">
            <v>2274068.7000000002</v>
          </cell>
        </row>
        <row r="1316">
          <cell r="A1316" t="str">
            <v>CIVLA</v>
          </cell>
          <cell r="B1316" t="str">
            <v>510-25046-001-0000</v>
          </cell>
          <cell r="J1316">
            <v>90730.4</v>
          </cell>
        </row>
        <row r="1317">
          <cell r="A1317" t="str">
            <v>CIVLA</v>
          </cell>
          <cell r="B1317" t="str">
            <v>510-25046-001-0001</v>
          </cell>
          <cell r="J1317">
            <v>71695.17</v>
          </cell>
        </row>
        <row r="1318">
          <cell r="A1318" t="str">
            <v>CIVLA</v>
          </cell>
          <cell r="B1318" t="str">
            <v>510-25046-001-0002</v>
          </cell>
          <cell r="J1318">
            <v>6873.63</v>
          </cell>
        </row>
        <row r="1319">
          <cell r="A1319" t="str">
            <v>CIVLA</v>
          </cell>
          <cell r="B1319" t="str">
            <v>510-25046-001-0005</v>
          </cell>
          <cell r="J1319">
            <v>2340.4299999999998</v>
          </cell>
        </row>
        <row r="1320">
          <cell r="A1320" t="str">
            <v>CIVLA</v>
          </cell>
          <cell r="B1320" t="str">
            <v>510-25046-001-0006</v>
          </cell>
          <cell r="J1320">
            <v>2340.4299999999998</v>
          </cell>
        </row>
        <row r="1321">
          <cell r="A1321" t="str">
            <v>CIVLA</v>
          </cell>
          <cell r="B1321" t="str">
            <v>510-25046-001-0009</v>
          </cell>
          <cell r="J1321">
            <v>1080.4100000000001</v>
          </cell>
        </row>
        <row r="1322">
          <cell r="A1322" t="str">
            <v>CIVLA</v>
          </cell>
          <cell r="B1322" t="str">
            <v>510-25046-001-0010</v>
          </cell>
          <cell r="J1322">
            <v>105.33</v>
          </cell>
        </row>
        <row r="1323">
          <cell r="A1323" t="str">
            <v>CIVLA</v>
          </cell>
          <cell r="B1323" t="str">
            <v>510-25046-001-0011</v>
          </cell>
          <cell r="J1323">
            <v>6295</v>
          </cell>
        </row>
        <row r="1324">
          <cell r="A1324" t="str">
            <v>CIVLA</v>
          </cell>
          <cell r="B1324" t="str">
            <v>510-25046-002-0000</v>
          </cell>
          <cell r="J1324">
            <v>19330.650000000001</v>
          </cell>
        </row>
        <row r="1325">
          <cell r="A1325" t="str">
            <v>CIVLA</v>
          </cell>
          <cell r="B1325" t="str">
            <v>510-25046-002-0001</v>
          </cell>
          <cell r="J1325">
            <v>8075.95</v>
          </cell>
        </row>
        <row r="1326">
          <cell r="A1326" t="str">
            <v>CIVLA</v>
          </cell>
          <cell r="B1326" t="str">
            <v>510-25046-002-0002</v>
          </cell>
          <cell r="J1326">
            <v>5397.1</v>
          </cell>
        </row>
        <row r="1327">
          <cell r="A1327" t="str">
            <v>CIVLA</v>
          </cell>
          <cell r="B1327" t="str">
            <v>510-25046-002-0003</v>
          </cell>
          <cell r="J1327">
            <v>3324.54</v>
          </cell>
        </row>
        <row r="1328">
          <cell r="A1328" t="str">
            <v>CIVLA</v>
          </cell>
          <cell r="B1328" t="str">
            <v>510-25046-002-0004</v>
          </cell>
          <cell r="J1328">
            <v>2533.06</v>
          </cell>
        </row>
        <row r="1329">
          <cell r="A1329" t="str">
            <v>CIVLA</v>
          </cell>
          <cell r="B1329" t="str">
            <v>510-25046-003-0000</v>
          </cell>
          <cell r="J1329">
            <v>6556.95</v>
          </cell>
        </row>
        <row r="1330">
          <cell r="A1330" t="str">
            <v>CIVLA</v>
          </cell>
          <cell r="B1330" t="str">
            <v>510-25046-007-0000</v>
          </cell>
          <cell r="J1330">
            <v>2159878.44</v>
          </cell>
        </row>
        <row r="1331">
          <cell r="A1331" t="str">
            <v>CIVLA</v>
          </cell>
          <cell r="B1331" t="str">
            <v>510-25046-007-0010</v>
          </cell>
          <cell r="J1331">
            <v>22950.12</v>
          </cell>
        </row>
        <row r="1332">
          <cell r="A1332" t="str">
            <v>CIVLA</v>
          </cell>
          <cell r="B1332" t="str">
            <v>510-25046-007-0020</v>
          </cell>
          <cell r="J1332">
            <v>1912.25</v>
          </cell>
        </row>
        <row r="1333">
          <cell r="A1333" t="str">
            <v>CIVLA</v>
          </cell>
          <cell r="B1333" t="str">
            <v>510-25046-007-0030</v>
          </cell>
          <cell r="J1333">
            <v>39754</v>
          </cell>
        </row>
        <row r="1334">
          <cell r="A1334" t="str">
            <v>CIVLA</v>
          </cell>
          <cell r="B1334" t="str">
            <v>510-25046-007-0050</v>
          </cell>
          <cell r="J1334">
            <v>2069073.32</v>
          </cell>
        </row>
        <row r="1335">
          <cell r="A1335" t="str">
            <v>CIVLA</v>
          </cell>
          <cell r="B1335" t="str">
            <v>510-25046-007-0060</v>
          </cell>
          <cell r="J1335">
            <v>25984</v>
          </cell>
        </row>
        <row r="1336">
          <cell r="A1336" t="str">
            <v>CIVLA</v>
          </cell>
          <cell r="B1336" t="str">
            <v>510-25046-007-0070</v>
          </cell>
          <cell r="J1336">
            <v>204.75</v>
          </cell>
        </row>
        <row r="1337">
          <cell r="A1337" t="str">
            <v>CIVLA</v>
          </cell>
          <cell r="B1337" t="str">
            <v>510-25046-061-0000</v>
          </cell>
          <cell r="J1337">
            <v>-2427.7399999999998</v>
          </cell>
        </row>
        <row r="1338">
          <cell r="A1338" t="str">
            <v>CIVLA</v>
          </cell>
          <cell r="B1338" t="str">
            <v>510-25047-000-0000</v>
          </cell>
          <cell r="J1338">
            <v>1308808.93</v>
          </cell>
        </row>
        <row r="1339">
          <cell r="A1339" t="str">
            <v>CIVLA</v>
          </cell>
          <cell r="B1339" t="str">
            <v>510-25047-001-0000</v>
          </cell>
          <cell r="J1339">
            <v>38955.97</v>
          </cell>
        </row>
        <row r="1340">
          <cell r="A1340" t="str">
            <v>CIVLA</v>
          </cell>
          <cell r="B1340" t="str">
            <v>510-25047-001-0001</v>
          </cell>
          <cell r="J1340">
            <v>28592.19</v>
          </cell>
        </row>
        <row r="1341">
          <cell r="A1341" t="str">
            <v>CIVLA</v>
          </cell>
          <cell r="B1341" t="str">
            <v>510-25047-001-0002</v>
          </cell>
          <cell r="J1341">
            <v>3034.11</v>
          </cell>
        </row>
        <row r="1342">
          <cell r="A1342" t="str">
            <v>CIVLA</v>
          </cell>
          <cell r="B1342" t="str">
            <v>510-25047-001-0005</v>
          </cell>
          <cell r="J1342">
            <v>1273.01</v>
          </cell>
        </row>
        <row r="1343">
          <cell r="A1343" t="str">
            <v>CIVLA</v>
          </cell>
          <cell r="B1343" t="str">
            <v>510-25047-001-0006</v>
          </cell>
          <cell r="J1343">
            <v>1273.01</v>
          </cell>
        </row>
        <row r="1344">
          <cell r="A1344" t="str">
            <v>CIVLA</v>
          </cell>
          <cell r="B1344" t="str">
            <v>510-25047-001-0009</v>
          </cell>
          <cell r="J1344">
            <v>3810.98</v>
          </cell>
        </row>
        <row r="1345">
          <cell r="A1345" t="str">
            <v>CIVLA</v>
          </cell>
          <cell r="B1345" t="str">
            <v>510-25047-001-0010</v>
          </cell>
          <cell r="J1345">
            <v>210.67</v>
          </cell>
        </row>
        <row r="1346">
          <cell r="A1346" t="str">
            <v>CIVLA</v>
          </cell>
          <cell r="B1346" t="str">
            <v>510-25047-001-0011</v>
          </cell>
          <cell r="J1346">
            <v>762</v>
          </cell>
        </row>
        <row r="1347">
          <cell r="A1347" t="str">
            <v>CIVLA</v>
          </cell>
          <cell r="B1347" t="str">
            <v>510-25047-002-0000</v>
          </cell>
          <cell r="J1347">
            <v>6652.05</v>
          </cell>
        </row>
        <row r="1348">
          <cell r="A1348" t="str">
            <v>CIVLA</v>
          </cell>
          <cell r="B1348" t="str">
            <v>510-25047-002-0001</v>
          </cell>
          <cell r="J1348">
            <v>4436.6099999999997</v>
          </cell>
        </row>
        <row r="1349">
          <cell r="A1349" t="str">
            <v>CIVLA</v>
          </cell>
          <cell r="B1349" t="str">
            <v>510-25047-002-0002</v>
          </cell>
          <cell r="J1349">
            <v>662.82</v>
          </cell>
        </row>
        <row r="1350">
          <cell r="A1350" t="str">
            <v>CIVLA</v>
          </cell>
          <cell r="B1350" t="str">
            <v>510-25047-002-0003</v>
          </cell>
          <cell r="J1350">
            <v>406.86</v>
          </cell>
        </row>
        <row r="1351">
          <cell r="A1351" t="str">
            <v>CIVLA</v>
          </cell>
          <cell r="B1351" t="str">
            <v>510-25047-002-0004</v>
          </cell>
          <cell r="J1351">
            <v>1145.76</v>
          </cell>
        </row>
        <row r="1352">
          <cell r="A1352" t="str">
            <v>CIVLA</v>
          </cell>
          <cell r="B1352" t="str">
            <v>510-25047-003-0000</v>
          </cell>
          <cell r="J1352">
            <v>1668.81</v>
          </cell>
        </row>
        <row r="1353">
          <cell r="A1353" t="str">
            <v>CIVLA</v>
          </cell>
          <cell r="B1353" t="str">
            <v>510-25047-007-0000</v>
          </cell>
          <cell r="J1353">
            <v>1261527.49</v>
          </cell>
        </row>
        <row r="1354">
          <cell r="A1354" t="str">
            <v>CIVLA</v>
          </cell>
          <cell r="B1354" t="str">
            <v>510-25047-007-0010</v>
          </cell>
          <cell r="J1354">
            <v>795503.62</v>
          </cell>
        </row>
        <row r="1355">
          <cell r="A1355" t="str">
            <v>CIVLA</v>
          </cell>
          <cell r="B1355" t="str">
            <v>510-25047-007-0020</v>
          </cell>
          <cell r="J1355">
            <v>26454.59</v>
          </cell>
        </row>
        <row r="1356">
          <cell r="A1356" t="str">
            <v>CIVLA</v>
          </cell>
          <cell r="B1356" t="str">
            <v>510-25047-007-0030</v>
          </cell>
          <cell r="J1356">
            <v>20332.79</v>
          </cell>
        </row>
        <row r="1357">
          <cell r="A1357" t="str">
            <v>CIVLA</v>
          </cell>
          <cell r="B1357" t="str">
            <v>510-25047-007-0050</v>
          </cell>
          <cell r="J1357">
            <v>70218.16</v>
          </cell>
        </row>
        <row r="1358">
          <cell r="A1358" t="str">
            <v>CIVLA</v>
          </cell>
          <cell r="B1358" t="str">
            <v>510-25047-007-0060</v>
          </cell>
          <cell r="J1358">
            <v>346504.75</v>
          </cell>
        </row>
        <row r="1359">
          <cell r="A1359" t="str">
            <v>CIVLA</v>
          </cell>
          <cell r="B1359" t="str">
            <v>510-25047-007-0070</v>
          </cell>
          <cell r="J1359">
            <v>2513.58</v>
          </cell>
        </row>
        <row r="1360">
          <cell r="A1360" t="str">
            <v>CIVLA</v>
          </cell>
          <cell r="B1360" t="str">
            <v>510-25047-061-0000</v>
          </cell>
          <cell r="J1360">
            <v>4.6100000000000003</v>
          </cell>
        </row>
        <row r="1361">
          <cell r="A1361" t="str">
            <v>CIVLA</v>
          </cell>
          <cell r="B1361" t="str">
            <v>510-25365-000-0000</v>
          </cell>
          <cell r="J1361">
            <v>32.92</v>
          </cell>
        </row>
        <row r="1362">
          <cell r="A1362" t="str">
            <v>CIVLA</v>
          </cell>
          <cell r="B1362" t="str">
            <v>510-25365-001-0000</v>
          </cell>
          <cell r="J1362">
            <v>27.87</v>
          </cell>
        </row>
        <row r="1363">
          <cell r="A1363" t="str">
            <v>CIVLA</v>
          </cell>
          <cell r="B1363" t="str">
            <v>510-25365-001-0009</v>
          </cell>
          <cell r="J1363">
            <v>18.87</v>
          </cell>
        </row>
        <row r="1364">
          <cell r="A1364" t="str">
            <v>CIVLA</v>
          </cell>
          <cell r="B1364" t="str">
            <v>510-25365-001-0010</v>
          </cell>
          <cell r="J1364">
            <v>9</v>
          </cell>
        </row>
        <row r="1365">
          <cell r="A1365" t="str">
            <v>CIVLA</v>
          </cell>
          <cell r="B1365" t="str">
            <v>510-25365-002-0000</v>
          </cell>
          <cell r="J1365">
            <v>5.05</v>
          </cell>
        </row>
        <row r="1366">
          <cell r="A1366" t="str">
            <v>CIVLA</v>
          </cell>
          <cell r="B1366" t="str">
            <v>510-25365-002-0001</v>
          </cell>
          <cell r="J1366">
            <v>1.85</v>
          </cell>
        </row>
        <row r="1367">
          <cell r="A1367" t="str">
            <v>CIVLA</v>
          </cell>
          <cell r="B1367" t="str">
            <v>510-25365-002-0002</v>
          </cell>
          <cell r="J1367">
            <v>1.63</v>
          </cell>
        </row>
        <row r="1368">
          <cell r="A1368" t="str">
            <v>CIVLA</v>
          </cell>
          <cell r="B1368" t="str">
            <v>510-25365-002-0003</v>
          </cell>
          <cell r="J1368">
            <v>1.01</v>
          </cell>
        </row>
        <row r="1369">
          <cell r="A1369" t="str">
            <v>CIVLA</v>
          </cell>
          <cell r="B1369" t="str">
            <v>510-25365-002-0004</v>
          </cell>
          <cell r="J1369">
            <v>0.56000000000000005</v>
          </cell>
        </row>
        <row r="1370">
          <cell r="A1370" t="str">
            <v>CIVLA</v>
          </cell>
          <cell r="B1370" t="str">
            <v>510-25366-000-0000</v>
          </cell>
          <cell r="J1370">
            <v>167.63</v>
          </cell>
        </row>
        <row r="1371">
          <cell r="A1371" t="str">
            <v>CIVLA</v>
          </cell>
          <cell r="B1371" t="str">
            <v>510-25366-001-0000</v>
          </cell>
          <cell r="J1371">
            <v>142.33000000000001</v>
          </cell>
        </row>
        <row r="1372">
          <cell r="A1372" t="str">
            <v>CIVLA</v>
          </cell>
          <cell r="B1372" t="str">
            <v>510-25366-001-0009</v>
          </cell>
          <cell r="J1372">
            <v>94.33</v>
          </cell>
        </row>
        <row r="1373">
          <cell r="A1373" t="str">
            <v>CIVLA</v>
          </cell>
          <cell r="B1373" t="str">
            <v>510-25366-001-0010</v>
          </cell>
          <cell r="J1373">
            <v>48</v>
          </cell>
        </row>
        <row r="1374">
          <cell r="A1374" t="str">
            <v>CIVLA</v>
          </cell>
          <cell r="B1374" t="str">
            <v>510-25366-002-0000</v>
          </cell>
          <cell r="J1374">
            <v>25.3</v>
          </cell>
        </row>
        <row r="1375">
          <cell r="A1375" t="str">
            <v>CIVLA</v>
          </cell>
          <cell r="B1375" t="str">
            <v>510-25366-002-0001</v>
          </cell>
          <cell r="J1375">
            <v>9.27</v>
          </cell>
        </row>
        <row r="1376">
          <cell r="A1376" t="str">
            <v>CIVLA</v>
          </cell>
          <cell r="B1376" t="str">
            <v>510-25366-002-0002</v>
          </cell>
          <cell r="J1376">
            <v>8.1300000000000008</v>
          </cell>
        </row>
        <row r="1377">
          <cell r="A1377" t="str">
            <v>CIVLA</v>
          </cell>
          <cell r="B1377" t="str">
            <v>510-25366-002-0003</v>
          </cell>
          <cell r="J1377">
            <v>5.07</v>
          </cell>
        </row>
        <row r="1378">
          <cell r="A1378" t="str">
            <v>CIVLA</v>
          </cell>
          <cell r="B1378" t="str">
            <v>510-25366-002-0004</v>
          </cell>
          <cell r="J1378">
            <v>2.83</v>
          </cell>
        </row>
        <row r="1379">
          <cell r="A1379" t="str">
            <v>CIVLA</v>
          </cell>
          <cell r="B1379" t="str">
            <v>510-25367-000-0000</v>
          </cell>
          <cell r="J1379">
            <v>32.92</v>
          </cell>
        </row>
        <row r="1380">
          <cell r="A1380" t="str">
            <v>CIVLA</v>
          </cell>
          <cell r="B1380" t="str">
            <v>510-25367-001-0000</v>
          </cell>
          <cell r="J1380">
            <v>27.87</v>
          </cell>
        </row>
        <row r="1381">
          <cell r="A1381" t="str">
            <v>CIVLA</v>
          </cell>
          <cell r="B1381" t="str">
            <v>510-25367-001-0009</v>
          </cell>
          <cell r="J1381">
            <v>18.87</v>
          </cell>
        </row>
        <row r="1382">
          <cell r="A1382" t="str">
            <v>CIVLA</v>
          </cell>
          <cell r="B1382" t="str">
            <v>510-25367-001-0010</v>
          </cell>
          <cell r="J1382">
            <v>9</v>
          </cell>
        </row>
        <row r="1383">
          <cell r="A1383" t="str">
            <v>CIVLA</v>
          </cell>
          <cell r="B1383" t="str">
            <v>510-25367-002-0000</v>
          </cell>
          <cell r="J1383">
            <v>5.05</v>
          </cell>
        </row>
        <row r="1384">
          <cell r="A1384" t="str">
            <v>CIVLA</v>
          </cell>
          <cell r="B1384" t="str">
            <v>510-25367-002-0001</v>
          </cell>
          <cell r="J1384">
            <v>1.85</v>
          </cell>
        </row>
        <row r="1385">
          <cell r="A1385" t="str">
            <v>CIVLA</v>
          </cell>
          <cell r="B1385" t="str">
            <v>510-25367-002-0002</v>
          </cell>
          <cell r="J1385">
            <v>1.63</v>
          </cell>
        </row>
        <row r="1386">
          <cell r="A1386" t="str">
            <v>CIVLA</v>
          </cell>
          <cell r="B1386" t="str">
            <v>510-25367-002-0003</v>
          </cell>
          <cell r="J1386">
            <v>1.01</v>
          </cell>
        </row>
        <row r="1387">
          <cell r="A1387" t="str">
            <v>CIVLA</v>
          </cell>
          <cell r="B1387" t="str">
            <v>510-25367-002-0004</v>
          </cell>
          <cell r="J1387">
            <v>0.56000000000000005</v>
          </cell>
        </row>
        <row r="1388">
          <cell r="A1388" t="str">
            <v>CIVLA</v>
          </cell>
          <cell r="B1388" t="str">
            <v>510-25403-000-0000</v>
          </cell>
          <cell r="J1388">
            <v>171.98</v>
          </cell>
        </row>
        <row r="1389">
          <cell r="A1389" t="str">
            <v>CIVLA</v>
          </cell>
          <cell r="B1389" t="str">
            <v>510-25403-001-0000</v>
          </cell>
          <cell r="J1389">
            <v>148.15</v>
          </cell>
        </row>
        <row r="1390">
          <cell r="A1390" t="str">
            <v>CIVLA</v>
          </cell>
          <cell r="B1390" t="str">
            <v>510-25403-001-0009</v>
          </cell>
          <cell r="J1390">
            <v>92.15</v>
          </cell>
        </row>
        <row r="1391">
          <cell r="A1391" t="str">
            <v>CIVLA</v>
          </cell>
          <cell r="B1391" t="str">
            <v>510-25403-001-0010</v>
          </cell>
          <cell r="J1391">
            <v>56</v>
          </cell>
        </row>
        <row r="1392">
          <cell r="A1392" t="str">
            <v>CIVLA</v>
          </cell>
          <cell r="B1392" t="str">
            <v>510-25403-002-0000</v>
          </cell>
          <cell r="J1392">
            <v>23.83</v>
          </cell>
        </row>
        <row r="1393">
          <cell r="A1393" t="str">
            <v>CIVLA</v>
          </cell>
          <cell r="B1393" t="str">
            <v>510-25403-002-0001</v>
          </cell>
          <cell r="J1393">
            <v>8.93</v>
          </cell>
        </row>
        <row r="1394">
          <cell r="A1394" t="str">
            <v>CIVLA</v>
          </cell>
          <cell r="B1394" t="str">
            <v>510-25403-002-0002</v>
          </cell>
          <cell r="J1394">
            <v>7.61</v>
          </cell>
        </row>
        <row r="1395">
          <cell r="A1395" t="str">
            <v>CIVLA</v>
          </cell>
          <cell r="B1395" t="str">
            <v>510-25403-002-0003</v>
          </cell>
          <cell r="J1395">
            <v>4.71</v>
          </cell>
        </row>
        <row r="1396">
          <cell r="A1396" t="str">
            <v>CIVLA</v>
          </cell>
          <cell r="B1396" t="str">
            <v>510-25403-002-0004</v>
          </cell>
          <cell r="J1396">
            <v>2.58</v>
          </cell>
        </row>
        <row r="1397">
          <cell r="A1397" t="str">
            <v>CIVLA</v>
          </cell>
          <cell r="B1397" t="str">
            <v>510-25404-000-0000</v>
          </cell>
          <cell r="J1397">
            <v>106.51</v>
          </cell>
        </row>
        <row r="1398">
          <cell r="A1398" t="str">
            <v>CIVLA</v>
          </cell>
          <cell r="B1398" t="str">
            <v>510-25404-001-0000</v>
          </cell>
          <cell r="J1398">
            <v>93.32</v>
          </cell>
        </row>
        <row r="1399">
          <cell r="A1399" t="str">
            <v>CIVLA</v>
          </cell>
          <cell r="B1399" t="str">
            <v>510-25404-001-0009</v>
          </cell>
          <cell r="J1399">
            <v>62.32</v>
          </cell>
        </row>
        <row r="1400">
          <cell r="A1400" t="str">
            <v>CIVLA</v>
          </cell>
          <cell r="B1400" t="str">
            <v>510-25404-001-0010</v>
          </cell>
          <cell r="J1400">
            <v>31</v>
          </cell>
        </row>
        <row r="1401">
          <cell r="A1401" t="str">
            <v>CIVLA</v>
          </cell>
          <cell r="B1401" t="str">
            <v>510-25404-002-0000</v>
          </cell>
          <cell r="J1401">
            <v>13.19</v>
          </cell>
        </row>
        <row r="1402">
          <cell r="A1402" t="str">
            <v>CIVLA</v>
          </cell>
          <cell r="B1402" t="str">
            <v>510-25404-002-0001</v>
          </cell>
          <cell r="J1402">
            <v>5.15</v>
          </cell>
        </row>
        <row r="1403">
          <cell r="A1403" t="str">
            <v>CIVLA</v>
          </cell>
          <cell r="B1403" t="str">
            <v>510-25404-002-0002</v>
          </cell>
          <cell r="J1403">
            <v>4.0599999999999996</v>
          </cell>
        </row>
        <row r="1404">
          <cell r="A1404" t="str">
            <v>CIVLA</v>
          </cell>
          <cell r="B1404" t="str">
            <v>510-25404-002-0003</v>
          </cell>
          <cell r="J1404">
            <v>2.4700000000000002</v>
          </cell>
        </row>
        <row r="1405">
          <cell r="A1405" t="str">
            <v>CIVLA</v>
          </cell>
          <cell r="B1405" t="str">
            <v>510-25404-002-0004</v>
          </cell>
          <cell r="J1405">
            <v>1.51</v>
          </cell>
        </row>
        <row r="1406">
          <cell r="A1406" t="str">
            <v>CIVLA</v>
          </cell>
          <cell r="B1406" t="str">
            <v>510-25406-000-0000</v>
          </cell>
          <cell r="J1406">
            <v>97779.02</v>
          </cell>
        </row>
        <row r="1407">
          <cell r="A1407" t="str">
            <v>CIVLA</v>
          </cell>
          <cell r="B1407" t="str">
            <v>510-25406-007-0000</v>
          </cell>
          <cell r="J1407">
            <v>97779.02</v>
          </cell>
        </row>
        <row r="1408">
          <cell r="A1408" t="str">
            <v>CIVLA</v>
          </cell>
          <cell r="B1408" t="str">
            <v>510-25406-007-0050</v>
          </cell>
          <cell r="J1408">
            <v>97779.02</v>
          </cell>
        </row>
        <row r="1409">
          <cell r="A1409" t="str">
            <v>CIVLA</v>
          </cell>
          <cell r="B1409" t="str">
            <v>510-26004-000-0000</v>
          </cell>
          <cell r="J1409">
            <v>2172152</v>
          </cell>
        </row>
        <row r="1410">
          <cell r="A1410" t="str">
            <v>CIVLA</v>
          </cell>
          <cell r="B1410" t="str">
            <v>510-26004-001-0000</v>
          </cell>
          <cell r="J1410">
            <v>8243.1200000000008</v>
          </cell>
        </row>
        <row r="1411">
          <cell r="A1411" t="str">
            <v>CIVLA</v>
          </cell>
          <cell r="B1411" t="str">
            <v>510-26004-001-0001</v>
          </cell>
          <cell r="J1411">
            <v>4101.3999999999996</v>
          </cell>
        </row>
        <row r="1412">
          <cell r="A1412" t="str">
            <v>CIVLA</v>
          </cell>
          <cell r="B1412" t="str">
            <v>510-26004-001-0002</v>
          </cell>
          <cell r="J1412">
            <v>471.6</v>
          </cell>
        </row>
        <row r="1413">
          <cell r="A1413" t="str">
            <v>CIVLA</v>
          </cell>
          <cell r="B1413" t="str">
            <v>510-26004-001-0005</v>
          </cell>
          <cell r="J1413">
            <v>127.21</v>
          </cell>
        </row>
        <row r="1414">
          <cell r="A1414" t="str">
            <v>CIVLA</v>
          </cell>
          <cell r="B1414" t="str">
            <v>510-26004-001-0006</v>
          </cell>
          <cell r="J1414">
            <v>127.21</v>
          </cell>
        </row>
        <row r="1415">
          <cell r="A1415" t="str">
            <v>CIVLA</v>
          </cell>
          <cell r="B1415" t="str">
            <v>510-26004-001-0009</v>
          </cell>
          <cell r="J1415">
            <v>1391.71</v>
          </cell>
        </row>
        <row r="1416">
          <cell r="A1416" t="str">
            <v>CIVLA</v>
          </cell>
          <cell r="B1416" t="str">
            <v>510-26004-001-0011</v>
          </cell>
          <cell r="J1416">
            <v>2023.99</v>
          </cell>
        </row>
        <row r="1417">
          <cell r="A1417" t="str">
            <v>CIVLA</v>
          </cell>
          <cell r="B1417" t="str">
            <v>510-26004-002-0000</v>
          </cell>
          <cell r="J1417">
            <v>1029.42</v>
          </cell>
        </row>
        <row r="1418">
          <cell r="A1418" t="str">
            <v>CIVLA</v>
          </cell>
          <cell r="B1418" t="str">
            <v>510-26004-002-0001</v>
          </cell>
          <cell r="J1418">
            <v>842.85</v>
          </cell>
        </row>
        <row r="1419">
          <cell r="A1419" t="str">
            <v>CIVLA</v>
          </cell>
          <cell r="B1419" t="str">
            <v>510-26004-002-0004</v>
          </cell>
          <cell r="J1419">
            <v>186.57</v>
          </cell>
        </row>
        <row r="1420">
          <cell r="A1420" t="str">
            <v>CIVLA</v>
          </cell>
          <cell r="B1420" t="str">
            <v>510-26004-003-0000</v>
          </cell>
          <cell r="J1420">
            <v>273.61</v>
          </cell>
        </row>
        <row r="1421">
          <cell r="A1421" t="str">
            <v>CIVLA</v>
          </cell>
          <cell r="B1421" t="str">
            <v>510-26004-007-0000</v>
          </cell>
          <cell r="J1421">
            <v>2162452.35</v>
          </cell>
        </row>
        <row r="1422">
          <cell r="A1422" t="str">
            <v>CIVLA</v>
          </cell>
          <cell r="B1422" t="str">
            <v>510-26004-007-0010</v>
          </cell>
          <cell r="J1422">
            <v>523.33000000000004</v>
          </cell>
        </row>
        <row r="1423">
          <cell r="A1423" t="str">
            <v>CIVLA</v>
          </cell>
          <cell r="B1423" t="str">
            <v>510-26004-007-0020</v>
          </cell>
          <cell r="J1423">
            <v>1274145.29</v>
          </cell>
        </row>
        <row r="1424">
          <cell r="A1424" t="str">
            <v>CIVLA</v>
          </cell>
          <cell r="B1424" t="str">
            <v>510-26004-007-0060</v>
          </cell>
          <cell r="J1424">
            <v>812196.78</v>
          </cell>
        </row>
        <row r="1425">
          <cell r="A1425" t="str">
            <v>CIVLA</v>
          </cell>
          <cell r="B1425" t="str">
            <v>510-26004-007-0070</v>
          </cell>
          <cell r="J1425">
            <v>75586.95</v>
          </cell>
        </row>
        <row r="1426">
          <cell r="A1426" t="str">
            <v>CIVLA</v>
          </cell>
          <cell r="B1426" t="str">
            <v>510-26004-061-0000</v>
          </cell>
          <cell r="J1426">
            <v>153.5</v>
          </cell>
        </row>
        <row r="1427">
          <cell r="A1427" t="str">
            <v>CIVLA</v>
          </cell>
          <cell r="B1427" t="str">
            <v>510-26005-000-0000</v>
          </cell>
          <cell r="J1427">
            <v>780704.93</v>
          </cell>
        </row>
        <row r="1428">
          <cell r="A1428" t="str">
            <v>CIVLA</v>
          </cell>
          <cell r="B1428" t="str">
            <v>510-26005-001-0000</v>
          </cell>
          <cell r="J1428">
            <v>491.03</v>
          </cell>
        </row>
        <row r="1429">
          <cell r="A1429" t="str">
            <v>CIVLA</v>
          </cell>
          <cell r="B1429" t="str">
            <v>510-26005-001-0011</v>
          </cell>
          <cell r="J1429">
            <v>491.03</v>
          </cell>
        </row>
        <row r="1430">
          <cell r="A1430" t="str">
            <v>CIVLA</v>
          </cell>
          <cell r="B1430" t="str">
            <v>510-26005-003-0000</v>
          </cell>
          <cell r="J1430">
            <v>102.3</v>
          </cell>
        </row>
        <row r="1431">
          <cell r="A1431" t="str">
            <v>CIVLA</v>
          </cell>
          <cell r="B1431" t="str">
            <v>510-26005-007-0000</v>
          </cell>
          <cell r="J1431">
            <v>780111.6</v>
          </cell>
        </row>
        <row r="1432">
          <cell r="A1432" t="str">
            <v>CIVLA</v>
          </cell>
          <cell r="B1432" t="str">
            <v>510-26005-007-0010</v>
          </cell>
          <cell r="J1432">
            <v>490.62</v>
          </cell>
        </row>
        <row r="1433">
          <cell r="A1433" t="str">
            <v>CIVLA</v>
          </cell>
          <cell r="B1433" t="str">
            <v>510-26005-007-0020</v>
          </cell>
          <cell r="J1433">
            <v>522992.02</v>
          </cell>
        </row>
        <row r="1434">
          <cell r="A1434" t="str">
            <v>CIVLA</v>
          </cell>
          <cell r="B1434" t="str">
            <v>510-26005-007-0060</v>
          </cell>
          <cell r="J1434">
            <v>256628.96</v>
          </cell>
        </row>
        <row r="1435">
          <cell r="A1435" t="str">
            <v>CIVLA</v>
          </cell>
          <cell r="B1435" t="str">
            <v>510-26006-000-0000</v>
          </cell>
          <cell r="J1435">
            <v>347416.57</v>
          </cell>
        </row>
        <row r="1436">
          <cell r="A1436" t="str">
            <v>CIVLA</v>
          </cell>
          <cell r="B1436" t="str">
            <v>510-26006-001-0000</v>
          </cell>
          <cell r="J1436">
            <v>228</v>
          </cell>
        </row>
        <row r="1437">
          <cell r="A1437" t="str">
            <v>CIVLA</v>
          </cell>
          <cell r="B1437" t="str">
            <v>510-26006-001-0011</v>
          </cell>
          <cell r="J1437">
            <v>228</v>
          </cell>
        </row>
        <row r="1438">
          <cell r="A1438" t="str">
            <v>CIVLA</v>
          </cell>
          <cell r="B1438" t="str">
            <v>510-26006-007-0000</v>
          </cell>
          <cell r="J1438">
            <v>347188.57</v>
          </cell>
        </row>
        <row r="1439">
          <cell r="A1439" t="str">
            <v>CIVLA</v>
          </cell>
          <cell r="B1439" t="str">
            <v>510-26006-007-0010</v>
          </cell>
          <cell r="J1439">
            <v>327.08</v>
          </cell>
        </row>
        <row r="1440">
          <cell r="A1440" t="str">
            <v>CIVLA</v>
          </cell>
          <cell r="B1440" t="str">
            <v>510-26006-007-0020</v>
          </cell>
          <cell r="J1440">
            <v>234960.48</v>
          </cell>
        </row>
        <row r="1441">
          <cell r="A1441" t="str">
            <v>CIVLA</v>
          </cell>
          <cell r="B1441" t="str">
            <v>510-26006-007-0060</v>
          </cell>
          <cell r="J1441">
            <v>111901.01</v>
          </cell>
        </row>
        <row r="1442">
          <cell r="A1442" t="str">
            <v>CIVLA</v>
          </cell>
          <cell r="B1442" t="str">
            <v>510-26007-000-0000</v>
          </cell>
          <cell r="J1442">
            <v>396524.73</v>
          </cell>
        </row>
        <row r="1443">
          <cell r="A1443" t="str">
            <v>CIVLA</v>
          </cell>
          <cell r="B1443" t="str">
            <v>510-26007-001-0000</v>
          </cell>
          <cell r="J1443">
            <v>2778.22</v>
          </cell>
        </row>
        <row r="1444">
          <cell r="A1444" t="str">
            <v>CIVLA</v>
          </cell>
          <cell r="B1444" t="str">
            <v>510-26007-001-0001</v>
          </cell>
          <cell r="J1444">
            <v>2088.8000000000002</v>
          </cell>
        </row>
        <row r="1445">
          <cell r="A1445" t="str">
            <v>CIVLA</v>
          </cell>
          <cell r="B1445" t="str">
            <v>510-26007-001-0002</v>
          </cell>
          <cell r="J1445">
            <v>187.71</v>
          </cell>
        </row>
        <row r="1446">
          <cell r="A1446" t="str">
            <v>CIVLA</v>
          </cell>
          <cell r="B1446" t="str">
            <v>510-26007-001-0005</v>
          </cell>
          <cell r="J1446">
            <v>60.08</v>
          </cell>
        </row>
        <row r="1447">
          <cell r="A1447" t="str">
            <v>CIVLA</v>
          </cell>
          <cell r="B1447" t="str">
            <v>510-26007-001-0006</v>
          </cell>
          <cell r="J1447">
            <v>60.08</v>
          </cell>
        </row>
        <row r="1448">
          <cell r="A1448" t="str">
            <v>CIVLA</v>
          </cell>
          <cell r="B1448" t="str">
            <v>510-26007-001-0011</v>
          </cell>
          <cell r="J1448">
            <v>381.55</v>
          </cell>
        </row>
        <row r="1449">
          <cell r="A1449" t="str">
            <v>CIVLA</v>
          </cell>
          <cell r="B1449" t="str">
            <v>510-26007-002-0000</v>
          </cell>
          <cell r="J1449">
            <v>373.29</v>
          </cell>
        </row>
        <row r="1450">
          <cell r="A1450" t="str">
            <v>CIVLA</v>
          </cell>
          <cell r="B1450" t="str">
            <v>510-26007-002-0001</v>
          </cell>
          <cell r="J1450">
            <v>301.39</v>
          </cell>
        </row>
        <row r="1451">
          <cell r="A1451" t="str">
            <v>CIVLA</v>
          </cell>
          <cell r="B1451" t="str">
            <v>510-26007-002-0004</v>
          </cell>
          <cell r="J1451">
            <v>71.900000000000006</v>
          </cell>
        </row>
        <row r="1452">
          <cell r="A1452" t="str">
            <v>CIVLA</v>
          </cell>
          <cell r="B1452" t="str">
            <v>510-26007-007-0000</v>
          </cell>
          <cell r="J1452">
            <v>393535.92</v>
          </cell>
        </row>
        <row r="1453">
          <cell r="A1453" t="str">
            <v>CIVLA</v>
          </cell>
          <cell r="B1453" t="str">
            <v>510-26007-007-0010</v>
          </cell>
          <cell r="J1453">
            <v>490.62</v>
          </cell>
        </row>
        <row r="1454">
          <cell r="A1454" t="str">
            <v>CIVLA</v>
          </cell>
          <cell r="B1454" t="str">
            <v>510-26007-007-0020</v>
          </cell>
          <cell r="J1454">
            <v>264067.11</v>
          </cell>
        </row>
        <row r="1455">
          <cell r="A1455" t="str">
            <v>CIVLA</v>
          </cell>
          <cell r="B1455" t="str">
            <v>510-26007-007-0060</v>
          </cell>
          <cell r="J1455">
            <v>128978.19</v>
          </cell>
        </row>
        <row r="1456">
          <cell r="A1456" t="str">
            <v>CIVLA</v>
          </cell>
          <cell r="B1456" t="str">
            <v>510-26007-061-0000</v>
          </cell>
          <cell r="J1456">
            <v>-162.69999999999999</v>
          </cell>
        </row>
        <row r="1457">
          <cell r="A1457" t="str">
            <v>CIVLA</v>
          </cell>
          <cell r="B1457" t="str">
            <v>510-26008-000-0000</v>
          </cell>
          <cell r="J1457">
            <v>1745527.82</v>
          </cell>
        </row>
        <row r="1458">
          <cell r="A1458" t="str">
            <v>CIVLA</v>
          </cell>
          <cell r="B1458" t="str">
            <v>510-26008-001-0000</v>
          </cell>
          <cell r="J1458">
            <v>1654.03</v>
          </cell>
        </row>
        <row r="1459">
          <cell r="A1459" t="str">
            <v>CIVLA</v>
          </cell>
          <cell r="B1459" t="str">
            <v>510-26008-001-0011</v>
          </cell>
          <cell r="J1459">
            <v>1654.03</v>
          </cell>
        </row>
        <row r="1460">
          <cell r="A1460" t="str">
            <v>CIVLA</v>
          </cell>
          <cell r="B1460" t="str">
            <v>510-26008-003-0000</v>
          </cell>
          <cell r="J1460">
            <v>431.7</v>
          </cell>
        </row>
        <row r="1461">
          <cell r="A1461" t="str">
            <v>CIVLA</v>
          </cell>
          <cell r="B1461" t="str">
            <v>510-26008-007-0000</v>
          </cell>
          <cell r="J1461">
            <v>1743442.09</v>
          </cell>
        </row>
        <row r="1462">
          <cell r="A1462" t="str">
            <v>CIVLA</v>
          </cell>
          <cell r="B1462" t="str">
            <v>510-26008-007-0010</v>
          </cell>
          <cell r="J1462">
            <v>981.24</v>
          </cell>
        </row>
        <row r="1463">
          <cell r="A1463" t="str">
            <v>CIVLA</v>
          </cell>
          <cell r="B1463" t="str">
            <v>510-26008-007-0020</v>
          </cell>
          <cell r="J1463">
            <v>1113262.3400000001</v>
          </cell>
        </row>
        <row r="1464">
          <cell r="A1464" t="str">
            <v>CIVLA</v>
          </cell>
          <cell r="B1464" t="str">
            <v>510-26008-007-0060</v>
          </cell>
          <cell r="J1464">
            <v>543579.42000000004</v>
          </cell>
        </row>
        <row r="1465">
          <cell r="A1465" t="str">
            <v>CIVLA</v>
          </cell>
          <cell r="B1465" t="str">
            <v>510-26008-007-0070</v>
          </cell>
          <cell r="J1465">
            <v>85619.09</v>
          </cell>
        </row>
        <row r="1466">
          <cell r="A1466" t="str">
            <v>CIVLA</v>
          </cell>
          <cell r="B1466" t="str">
            <v>510-26009-000-0000</v>
          </cell>
          <cell r="J1466">
            <v>678037.67</v>
          </cell>
        </row>
        <row r="1467">
          <cell r="A1467" t="str">
            <v>CIVLA</v>
          </cell>
          <cell r="B1467" t="str">
            <v>510-26009-001-0000</v>
          </cell>
          <cell r="J1467">
            <v>227</v>
          </cell>
        </row>
        <row r="1468">
          <cell r="A1468" t="str">
            <v>CIVLA</v>
          </cell>
          <cell r="B1468" t="str">
            <v>510-26009-001-0011</v>
          </cell>
          <cell r="J1468">
            <v>227</v>
          </cell>
        </row>
        <row r="1469">
          <cell r="A1469" t="str">
            <v>CIVLA</v>
          </cell>
          <cell r="B1469" t="str">
            <v>510-26009-003-0000</v>
          </cell>
          <cell r="J1469">
            <v>33.76</v>
          </cell>
        </row>
        <row r="1470">
          <cell r="A1470" t="str">
            <v>CIVLA</v>
          </cell>
          <cell r="B1470" t="str">
            <v>510-26009-007-0000</v>
          </cell>
          <cell r="J1470">
            <v>677776.91</v>
          </cell>
        </row>
        <row r="1471">
          <cell r="A1471" t="str">
            <v>CIVLA</v>
          </cell>
          <cell r="B1471" t="str">
            <v>510-26009-007-0010</v>
          </cell>
          <cell r="J1471">
            <v>490.62</v>
          </cell>
        </row>
        <row r="1472">
          <cell r="A1472" t="str">
            <v>CIVLA</v>
          </cell>
          <cell r="B1472" t="str">
            <v>510-26009-007-0020</v>
          </cell>
          <cell r="J1472">
            <v>456630.24</v>
          </cell>
        </row>
        <row r="1473">
          <cell r="A1473" t="str">
            <v>CIVLA</v>
          </cell>
          <cell r="B1473" t="str">
            <v>510-26009-007-0060</v>
          </cell>
          <cell r="J1473">
            <v>220656.05</v>
          </cell>
        </row>
        <row r="1474">
          <cell r="A1474" t="str">
            <v>CIVLA</v>
          </cell>
          <cell r="B1474" t="str">
            <v>510-26010-000-0000</v>
          </cell>
          <cell r="J1474">
            <v>626995.18999999994</v>
          </cell>
        </row>
        <row r="1475">
          <cell r="A1475" t="str">
            <v>CIVLA</v>
          </cell>
          <cell r="B1475" t="str">
            <v>510-26010-001-0000</v>
          </cell>
          <cell r="J1475">
            <v>325.52</v>
          </cell>
        </row>
        <row r="1476">
          <cell r="A1476" t="str">
            <v>CIVLA</v>
          </cell>
          <cell r="B1476" t="str">
            <v>510-26010-001-0011</v>
          </cell>
          <cell r="J1476">
            <v>325.52</v>
          </cell>
        </row>
        <row r="1477">
          <cell r="A1477" t="str">
            <v>CIVLA</v>
          </cell>
          <cell r="B1477" t="str">
            <v>510-26010-003-0000</v>
          </cell>
          <cell r="J1477">
            <v>33.76</v>
          </cell>
        </row>
        <row r="1478">
          <cell r="A1478" t="str">
            <v>CIVLA</v>
          </cell>
          <cell r="B1478" t="str">
            <v>510-26010-007-0000</v>
          </cell>
          <cell r="J1478">
            <v>626635.91</v>
          </cell>
        </row>
        <row r="1479">
          <cell r="A1479" t="str">
            <v>CIVLA</v>
          </cell>
          <cell r="B1479" t="str">
            <v>510-26010-007-0010</v>
          </cell>
          <cell r="J1479">
            <v>359.79</v>
          </cell>
        </row>
        <row r="1480">
          <cell r="A1480" t="str">
            <v>CIVLA</v>
          </cell>
          <cell r="B1480" t="str">
            <v>510-26010-007-0020</v>
          </cell>
          <cell r="J1480">
            <v>405836.73</v>
          </cell>
        </row>
        <row r="1481">
          <cell r="A1481" t="str">
            <v>CIVLA</v>
          </cell>
          <cell r="B1481" t="str">
            <v>510-26010-007-0060</v>
          </cell>
          <cell r="J1481">
            <v>164530.59</v>
          </cell>
        </row>
        <row r="1482">
          <cell r="A1482" t="str">
            <v>CIVLA</v>
          </cell>
          <cell r="B1482" t="str">
            <v>510-26010-007-0070</v>
          </cell>
          <cell r="J1482">
            <v>55908.800000000003</v>
          </cell>
        </row>
        <row r="1483">
          <cell r="A1483" t="str">
            <v>CIVLA</v>
          </cell>
          <cell r="B1483" t="str">
            <v>510-26011-000-0000</v>
          </cell>
          <cell r="J1483">
            <v>1751300.2</v>
          </cell>
        </row>
        <row r="1484">
          <cell r="A1484" t="str">
            <v>CIVLA</v>
          </cell>
          <cell r="B1484" t="str">
            <v>510-26011-001-0000</v>
          </cell>
          <cell r="J1484">
            <v>6918.82</v>
          </cell>
        </row>
        <row r="1485">
          <cell r="A1485" t="str">
            <v>CIVLA</v>
          </cell>
          <cell r="B1485" t="str">
            <v>510-26011-001-0001</v>
          </cell>
          <cell r="J1485">
            <v>4562.7700000000004</v>
          </cell>
        </row>
        <row r="1486">
          <cell r="A1486" t="str">
            <v>CIVLA</v>
          </cell>
          <cell r="B1486" t="str">
            <v>510-26011-001-0002</v>
          </cell>
          <cell r="J1486">
            <v>396.94</v>
          </cell>
        </row>
        <row r="1487">
          <cell r="A1487" t="str">
            <v>CIVLA</v>
          </cell>
          <cell r="B1487" t="str">
            <v>510-26011-001-0005</v>
          </cell>
          <cell r="J1487">
            <v>123.02</v>
          </cell>
        </row>
        <row r="1488">
          <cell r="A1488" t="str">
            <v>CIVLA</v>
          </cell>
          <cell r="B1488" t="str">
            <v>510-26011-001-0006</v>
          </cell>
          <cell r="J1488">
            <v>123.02</v>
          </cell>
        </row>
        <row r="1489">
          <cell r="A1489" t="str">
            <v>CIVLA</v>
          </cell>
          <cell r="B1489" t="str">
            <v>510-26011-001-0011</v>
          </cell>
          <cell r="J1489">
            <v>1713.07</v>
          </cell>
        </row>
        <row r="1490">
          <cell r="A1490" t="str">
            <v>CIVLA</v>
          </cell>
          <cell r="B1490" t="str">
            <v>510-26011-002-0000</v>
          </cell>
          <cell r="J1490">
            <v>758.96</v>
          </cell>
        </row>
        <row r="1491">
          <cell r="A1491" t="str">
            <v>CIVLA</v>
          </cell>
          <cell r="B1491" t="str">
            <v>510-26011-002-0001</v>
          </cell>
          <cell r="J1491">
            <v>602.79</v>
          </cell>
        </row>
        <row r="1492">
          <cell r="A1492" t="str">
            <v>CIVLA</v>
          </cell>
          <cell r="B1492" t="str">
            <v>510-26011-002-0004</v>
          </cell>
          <cell r="J1492">
            <v>156.16999999999999</v>
          </cell>
        </row>
        <row r="1493">
          <cell r="A1493" t="str">
            <v>CIVLA</v>
          </cell>
          <cell r="B1493" t="str">
            <v>510-26011-003-0000</v>
          </cell>
          <cell r="J1493">
            <v>67.510000000000005</v>
          </cell>
        </row>
        <row r="1494">
          <cell r="A1494" t="str">
            <v>CIVLA</v>
          </cell>
          <cell r="B1494" t="str">
            <v>510-26011-007-0000</v>
          </cell>
          <cell r="J1494">
            <v>1743910.82</v>
          </cell>
        </row>
        <row r="1495">
          <cell r="A1495" t="str">
            <v>CIVLA</v>
          </cell>
          <cell r="B1495" t="str">
            <v>510-26011-007-0010</v>
          </cell>
          <cell r="J1495">
            <v>981.24</v>
          </cell>
        </row>
        <row r="1496">
          <cell r="A1496" t="str">
            <v>CIVLA</v>
          </cell>
          <cell r="B1496" t="str">
            <v>510-26011-007-0020</v>
          </cell>
          <cell r="J1496">
            <v>1174723.58</v>
          </cell>
        </row>
        <row r="1497">
          <cell r="A1497" t="str">
            <v>CIVLA</v>
          </cell>
          <cell r="B1497" t="str">
            <v>510-26011-007-0060</v>
          </cell>
          <cell r="J1497">
            <v>568206</v>
          </cell>
        </row>
        <row r="1498">
          <cell r="A1498" t="str">
            <v>CIVLA</v>
          </cell>
          <cell r="B1498" t="str">
            <v>510-26011-061-0000</v>
          </cell>
          <cell r="J1498">
            <v>-355.91</v>
          </cell>
        </row>
        <row r="1499">
          <cell r="A1499" t="str">
            <v>CIVLA</v>
          </cell>
          <cell r="B1499" t="str">
            <v>510-26012-000-0000</v>
          </cell>
          <cell r="J1499">
            <v>684329.11</v>
          </cell>
        </row>
        <row r="1500">
          <cell r="A1500" t="str">
            <v>CIVLA</v>
          </cell>
          <cell r="B1500" t="str">
            <v>510-26012-001-0000</v>
          </cell>
          <cell r="J1500">
            <v>8010.19</v>
          </cell>
        </row>
        <row r="1501">
          <cell r="A1501" t="str">
            <v>CIVLA</v>
          </cell>
          <cell r="B1501" t="str">
            <v>510-26012-001-0001</v>
          </cell>
          <cell r="J1501">
            <v>5299.87</v>
          </cell>
        </row>
        <row r="1502">
          <cell r="A1502" t="str">
            <v>CIVLA</v>
          </cell>
          <cell r="B1502" t="str">
            <v>510-26012-001-0002</v>
          </cell>
          <cell r="J1502">
            <v>476.73</v>
          </cell>
        </row>
        <row r="1503">
          <cell r="A1503" t="str">
            <v>CIVLA</v>
          </cell>
          <cell r="B1503" t="str">
            <v>510-26012-001-0005</v>
          </cell>
          <cell r="J1503">
            <v>159.76</v>
          </cell>
        </row>
        <row r="1504">
          <cell r="A1504" t="str">
            <v>CIVLA</v>
          </cell>
          <cell r="B1504" t="str">
            <v>510-26012-001-0006</v>
          </cell>
          <cell r="J1504">
            <v>159.76</v>
          </cell>
        </row>
        <row r="1505">
          <cell r="A1505" t="str">
            <v>CIVLA</v>
          </cell>
          <cell r="B1505" t="str">
            <v>510-26012-001-0011</v>
          </cell>
          <cell r="J1505">
            <v>1914.07</v>
          </cell>
        </row>
        <row r="1506">
          <cell r="A1506" t="str">
            <v>CIVLA</v>
          </cell>
          <cell r="B1506" t="str">
            <v>510-26012-002-0000</v>
          </cell>
          <cell r="J1506">
            <v>974.07</v>
          </cell>
        </row>
        <row r="1507">
          <cell r="A1507" t="str">
            <v>CIVLA</v>
          </cell>
          <cell r="B1507" t="str">
            <v>510-26012-002-0001</v>
          </cell>
          <cell r="J1507">
            <v>791.19</v>
          </cell>
        </row>
        <row r="1508">
          <cell r="A1508" t="str">
            <v>CIVLA</v>
          </cell>
          <cell r="B1508" t="str">
            <v>510-26012-002-0004</v>
          </cell>
          <cell r="J1508">
            <v>182.88</v>
          </cell>
        </row>
        <row r="1509">
          <cell r="A1509" t="str">
            <v>CIVLA</v>
          </cell>
          <cell r="B1509" t="str">
            <v>510-26012-003-0000</v>
          </cell>
          <cell r="J1509">
            <v>67.510000000000005</v>
          </cell>
        </row>
        <row r="1510">
          <cell r="A1510" t="str">
            <v>CIVLA</v>
          </cell>
          <cell r="B1510" t="str">
            <v>510-26012-007-0000</v>
          </cell>
          <cell r="J1510">
            <v>675559.86</v>
          </cell>
        </row>
        <row r="1511">
          <cell r="A1511" t="str">
            <v>CIVLA</v>
          </cell>
          <cell r="B1511" t="str">
            <v>510-26012-007-0010</v>
          </cell>
          <cell r="J1511">
            <v>490.62</v>
          </cell>
        </row>
        <row r="1512">
          <cell r="A1512" t="str">
            <v>CIVLA</v>
          </cell>
          <cell r="B1512" t="str">
            <v>510-26012-007-0020</v>
          </cell>
          <cell r="J1512">
            <v>457237.27</v>
          </cell>
        </row>
        <row r="1513">
          <cell r="A1513" t="str">
            <v>CIVLA</v>
          </cell>
          <cell r="B1513" t="str">
            <v>510-26012-007-0060</v>
          </cell>
          <cell r="J1513">
            <v>217831.97</v>
          </cell>
        </row>
        <row r="1514">
          <cell r="A1514" t="str">
            <v>CIVLA</v>
          </cell>
          <cell r="B1514" t="str">
            <v>510-26012-061-0000</v>
          </cell>
          <cell r="J1514">
            <v>-282.52</v>
          </cell>
        </row>
        <row r="1515">
          <cell r="A1515" t="str">
            <v>CIVLA</v>
          </cell>
          <cell r="B1515" t="str">
            <v>510-26013-000-0000</v>
          </cell>
          <cell r="J1515">
            <v>73284.03</v>
          </cell>
        </row>
        <row r="1516">
          <cell r="A1516" t="str">
            <v>CIVLA</v>
          </cell>
          <cell r="B1516" t="str">
            <v>510-26013-001-0000</v>
          </cell>
          <cell r="J1516">
            <v>18650.62</v>
          </cell>
        </row>
        <row r="1517">
          <cell r="A1517" t="str">
            <v>CIVLA</v>
          </cell>
          <cell r="B1517" t="str">
            <v>510-26013-001-0001</v>
          </cell>
          <cell r="J1517">
            <v>13185.3</v>
          </cell>
        </row>
        <row r="1518">
          <cell r="A1518" t="str">
            <v>CIVLA</v>
          </cell>
          <cell r="B1518" t="str">
            <v>510-26013-001-0002</v>
          </cell>
          <cell r="J1518">
            <v>1212</v>
          </cell>
        </row>
        <row r="1519">
          <cell r="A1519" t="str">
            <v>CIVLA</v>
          </cell>
          <cell r="B1519" t="str">
            <v>510-26013-001-0005</v>
          </cell>
          <cell r="J1519">
            <v>496.66</v>
          </cell>
        </row>
        <row r="1520">
          <cell r="A1520" t="str">
            <v>CIVLA</v>
          </cell>
          <cell r="B1520" t="str">
            <v>510-26013-001-0006</v>
          </cell>
          <cell r="J1520">
            <v>496.66</v>
          </cell>
        </row>
        <row r="1521">
          <cell r="A1521" t="str">
            <v>CIVLA</v>
          </cell>
          <cell r="B1521" t="str">
            <v>510-26013-001-0011</v>
          </cell>
          <cell r="J1521">
            <v>3260</v>
          </cell>
        </row>
        <row r="1522">
          <cell r="A1522" t="str">
            <v>CIVLA</v>
          </cell>
          <cell r="B1522" t="str">
            <v>510-26013-002-0000</v>
          </cell>
          <cell r="J1522">
            <v>2264.4899999999998</v>
          </cell>
        </row>
        <row r="1523">
          <cell r="A1523" t="str">
            <v>CIVLA</v>
          </cell>
          <cell r="B1523" t="str">
            <v>510-26013-002-0001</v>
          </cell>
          <cell r="J1523">
            <v>1802.77</v>
          </cell>
        </row>
        <row r="1524">
          <cell r="A1524" t="str">
            <v>CIVLA</v>
          </cell>
          <cell r="B1524" t="str">
            <v>510-26013-002-0004</v>
          </cell>
          <cell r="J1524">
            <v>461.72</v>
          </cell>
        </row>
        <row r="1525">
          <cell r="A1525" t="str">
            <v>CIVLA</v>
          </cell>
          <cell r="B1525" t="str">
            <v>510-26013-007-0000</v>
          </cell>
          <cell r="J1525">
            <v>52836.46</v>
          </cell>
        </row>
        <row r="1526">
          <cell r="A1526" t="str">
            <v>CIVLA</v>
          </cell>
          <cell r="B1526" t="str">
            <v>510-26013-007-0010</v>
          </cell>
          <cell r="J1526">
            <v>4788.4399999999996</v>
          </cell>
        </row>
        <row r="1527">
          <cell r="A1527" t="str">
            <v>CIVLA</v>
          </cell>
          <cell r="B1527" t="str">
            <v>510-26013-007-0030</v>
          </cell>
          <cell r="J1527">
            <v>7932.16</v>
          </cell>
        </row>
        <row r="1528">
          <cell r="A1528" t="str">
            <v>CIVLA</v>
          </cell>
          <cell r="B1528" t="str">
            <v>510-26013-007-0060</v>
          </cell>
          <cell r="J1528">
            <v>32.229999999999997</v>
          </cell>
        </row>
        <row r="1529">
          <cell r="A1529" t="str">
            <v>CIVLA</v>
          </cell>
          <cell r="B1529" t="str">
            <v>510-26013-007-0070</v>
          </cell>
          <cell r="J1529">
            <v>40083.629999999997</v>
          </cell>
        </row>
        <row r="1530">
          <cell r="A1530" t="str">
            <v>CIVLA</v>
          </cell>
          <cell r="B1530" t="str">
            <v>510-26013-061-0000</v>
          </cell>
          <cell r="J1530">
            <v>-467.54</v>
          </cell>
        </row>
        <row r="1531">
          <cell r="A1531" t="str">
            <v>CIVLA</v>
          </cell>
          <cell r="B1531" t="str">
            <v>510-26014-000-0000</v>
          </cell>
          <cell r="J1531">
            <v>940194.71</v>
          </cell>
        </row>
        <row r="1532">
          <cell r="A1532" t="str">
            <v>CIVLA</v>
          </cell>
          <cell r="B1532" t="str">
            <v>510-26014-001-0000</v>
          </cell>
          <cell r="J1532">
            <v>4424.7700000000004</v>
          </cell>
        </row>
        <row r="1533">
          <cell r="A1533" t="str">
            <v>CIVLA</v>
          </cell>
          <cell r="B1533" t="str">
            <v>510-26014-001-0001</v>
          </cell>
          <cell r="J1533">
            <v>3823.29</v>
          </cell>
        </row>
        <row r="1534">
          <cell r="A1534" t="str">
            <v>CIVLA</v>
          </cell>
          <cell r="B1534" t="str">
            <v>510-26014-001-0002</v>
          </cell>
          <cell r="J1534">
            <v>306.3</v>
          </cell>
        </row>
        <row r="1535">
          <cell r="A1535" t="str">
            <v>CIVLA</v>
          </cell>
          <cell r="B1535" t="str">
            <v>510-26014-001-0004</v>
          </cell>
          <cell r="J1535">
            <v>63.18</v>
          </cell>
        </row>
        <row r="1536">
          <cell r="A1536" t="str">
            <v>CIVLA</v>
          </cell>
          <cell r="B1536" t="str">
            <v>510-26014-001-0005</v>
          </cell>
          <cell r="J1536">
            <v>103.24</v>
          </cell>
        </row>
        <row r="1537">
          <cell r="A1537" t="str">
            <v>CIVLA</v>
          </cell>
          <cell r="B1537" t="str">
            <v>510-26014-001-0006</v>
          </cell>
          <cell r="J1537">
            <v>103.24</v>
          </cell>
        </row>
        <row r="1538">
          <cell r="A1538" t="str">
            <v>CIVLA</v>
          </cell>
          <cell r="B1538" t="str">
            <v>510-26014-001-0011</v>
          </cell>
          <cell r="J1538">
            <v>25.52</v>
          </cell>
        </row>
        <row r="1539">
          <cell r="A1539" t="str">
            <v>CIVLA</v>
          </cell>
          <cell r="B1539" t="str">
            <v>510-26014-002-0000</v>
          </cell>
          <cell r="J1539">
            <v>698.91</v>
          </cell>
        </row>
        <row r="1540">
          <cell r="A1540" t="str">
            <v>CIVLA</v>
          </cell>
          <cell r="B1540" t="str">
            <v>510-26014-002-0001</v>
          </cell>
          <cell r="J1540">
            <v>553.84</v>
          </cell>
        </row>
        <row r="1541">
          <cell r="A1541" t="str">
            <v>CIVLA</v>
          </cell>
          <cell r="B1541" t="str">
            <v>510-26014-002-0004</v>
          </cell>
          <cell r="J1541">
            <v>145.07</v>
          </cell>
        </row>
        <row r="1542">
          <cell r="A1542" t="str">
            <v>CIVLA</v>
          </cell>
          <cell r="B1542" t="str">
            <v>510-26014-007-0000</v>
          </cell>
          <cell r="J1542">
            <v>935446.89</v>
          </cell>
        </row>
        <row r="1543">
          <cell r="A1543" t="str">
            <v>CIVLA</v>
          </cell>
          <cell r="B1543" t="str">
            <v>510-26014-007-0010</v>
          </cell>
          <cell r="J1543">
            <v>817.7</v>
          </cell>
        </row>
        <row r="1544">
          <cell r="A1544" t="str">
            <v>CIVLA</v>
          </cell>
          <cell r="B1544" t="str">
            <v>510-26014-007-0020</v>
          </cell>
          <cell r="J1544">
            <v>619335.07999999996</v>
          </cell>
        </row>
        <row r="1545">
          <cell r="A1545" t="str">
            <v>CIVLA</v>
          </cell>
          <cell r="B1545" t="str">
            <v>510-26014-007-0060</v>
          </cell>
          <cell r="J1545">
            <v>315294.11</v>
          </cell>
        </row>
        <row r="1546">
          <cell r="A1546" t="str">
            <v>CIVLA</v>
          </cell>
          <cell r="B1546" t="str">
            <v>510-26014-061-0000</v>
          </cell>
          <cell r="J1546">
            <v>-375.86</v>
          </cell>
        </row>
        <row r="1547">
          <cell r="A1547" t="str">
            <v>CIVLA</v>
          </cell>
          <cell r="B1547" t="str">
            <v>510-26015-000-0000</v>
          </cell>
          <cell r="J1547">
            <v>897008.9</v>
          </cell>
        </row>
        <row r="1548">
          <cell r="A1548" t="str">
            <v>CIVLA</v>
          </cell>
          <cell r="B1548" t="str">
            <v>510-26015-001-0000</v>
          </cell>
          <cell r="J1548">
            <v>5853.19</v>
          </cell>
        </row>
        <row r="1549">
          <cell r="A1549" t="str">
            <v>CIVLA</v>
          </cell>
          <cell r="B1549" t="str">
            <v>510-26015-001-0001</v>
          </cell>
          <cell r="J1549">
            <v>5243.75</v>
          </cell>
        </row>
        <row r="1550">
          <cell r="A1550" t="str">
            <v>CIVLA</v>
          </cell>
          <cell r="B1550" t="str">
            <v>510-26015-001-0002</v>
          </cell>
          <cell r="J1550">
            <v>465.26</v>
          </cell>
        </row>
        <row r="1551">
          <cell r="A1551" t="str">
            <v>CIVLA</v>
          </cell>
          <cell r="B1551" t="str">
            <v>510-26015-001-0005</v>
          </cell>
          <cell r="J1551">
            <v>72.09</v>
          </cell>
        </row>
        <row r="1552">
          <cell r="A1552" t="str">
            <v>CIVLA</v>
          </cell>
          <cell r="B1552" t="str">
            <v>510-26015-001-0006</v>
          </cell>
          <cell r="J1552">
            <v>72.09</v>
          </cell>
        </row>
        <row r="1553">
          <cell r="A1553" t="str">
            <v>CIVLA</v>
          </cell>
          <cell r="B1553" t="str">
            <v>510-26015-002-0000</v>
          </cell>
          <cell r="J1553">
            <v>1746.72</v>
          </cell>
        </row>
        <row r="1554">
          <cell r="A1554" t="str">
            <v>CIVLA</v>
          </cell>
          <cell r="B1554" t="str">
            <v>510-26015-002-0001</v>
          </cell>
          <cell r="J1554">
            <v>494.67</v>
          </cell>
        </row>
        <row r="1555">
          <cell r="A1555" t="str">
            <v>CIVLA</v>
          </cell>
          <cell r="B1555" t="str">
            <v>510-26015-002-0002</v>
          </cell>
          <cell r="J1555">
            <v>663.2</v>
          </cell>
        </row>
        <row r="1556">
          <cell r="A1556" t="str">
            <v>CIVLA</v>
          </cell>
          <cell r="B1556" t="str">
            <v>510-26015-002-0003</v>
          </cell>
          <cell r="J1556">
            <v>411.83</v>
          </cell>
        </row>
        <row r="1557">
          <cell r="A1557" t="str">
            <v>CIVLA</v>
          </cell>
          <cell r="B1557" t="str">
            <v>510-26015-002-0004</v>
          </cell>
          <cell r="J1557">
            <v>177.02</v>
          </cell>
        </row>
        <row r="1558">
          <cell r="A1558" t="str">
            <v>CIVLA</v>
          </cell>
          <cell r="B1558" t="str">
            <v>510-26015-003-0000</v>
          </cell>
          <cell r="J1558">
            <v>120</v>
          </cell>
        </row>
        <row r="1559">
          <cell r="A1559" t="str">
            <v>CIVLA</v>
          </cell>
          <cell r="B1559" t="str">
            <v>510-26015-007-0000</v>
          </cell>
          <cell r="J1559">
            <v>889523.12</v>
          </cell>
        </row>
        <row r="1560">
          <cell r="A1560" t="str">
            <v>CIVLA</v>
          </cell>
          <cell r="B1560" t="str">
            <v>510-26015-007-0010</v>
          </cell>
          <cell r="J1560">
            <v>981.24</v>
          </cell>
        </row>
        <row r="1561">
          <cell r="A1561" t="str">
            <v>CIVLA</v>
          </cell>
          <cell r="B1561" t="str">
            <v>510-26015-007-0020</v>
          </cell>
          <cell r="J1561">
            <v>682445.49</v>
          </cell>
        </row>
        <row r="1562">
          <cell r="A1562" t="str">
            <v>CIVLA</v>
          </cell>
          <cell r="B1562" t="str">
            <v>510-26015-007-0060</v>
          </cell>
          <cell r="J1562">
            <v>206096.39</v>
          </cell>
        </row>
        <row r="1563">
          <cell r="A1563" t="str">
            <v>CIVLA</v>
          </cell>
          <cell r="B1563" t="str">
            <v>510-26015-061-0000</v>
          </cell>
          <cell r="J1563">
            <v>-234.13</v>
          </cell>
        </row>
        <row r="1564">
          <cell r="A1564" t="str">
            <v>CIVLA</v>
          </cell>
          <cell r="B1564" t="str">
            <v>510-26016-000-0000</v>
          </cell>
          <cell r="J1564">
            <v>13335.67</v>
          </cell>
        </row>
        <row r="1565">
          <cell r="A1565" t="str">
            <v>CIVLA</v>
          </cell>
          <cell r="B1565" t="str">
            <v>510-26016-007-0000</v>
          </cell>
          <cell r="J1565">
            <v>13335.67</v>
          </cell>
        </row>
        <row r="1566">
          <cell r="A1566" t="str">
            <v>CIVLA</v>
          </cell>
          <cell r="B1566" t="str">
            <v>510-26016-007-0010</v>
          </cell>
          <cell r="J1566">
            <v>327.08</v>
          </cell>
        </row>
        <row r="1567">
          <cell r="A1567" t="str">
            <v>CIVLA</v>
          </cell>
          <cell r="B1567" t="str">
            <v>510-26016-007-0020</v>
          </cell>
          <cell r="J1567">
            <v>8528.5499999999993</v>
          </cell>
        </row>
        <row r="1568">
          <cell r="A1568" t="str">
            <v>CIVLA</v>
          </cell>
          <cell r="B1568" t="str">
            <v>510-26016-007-0060</v>
          </cell>
          <cell r="J1568">
            <v>4480.04</v>
          </cell>
        </row>
        <row r="1569">
          <cell r="A1569" t="str">
            <v>CIVLA</v>
          </cell>
          <cell r="B1569" t="str">
            <v>510-26017-000-0000</v>
          </cell>
          <cell r="J1569">
            <v>2368671.6</v>
          </cell>
        </row>
        <row r="1570">
          <cell r="A1570" t="str">
            <v>CIVLA</v>
          </cell>
          <cell r="B1570" t="str">
            <v>510-26017-001-0000</v>
          </cell>
          <cell r="J1570">
            <v>30899.45</v>
          </cell>
        </row>
        <row r="1571">
          <cell r="A1571" t="str">
            <v>CIVLA</v>
          </cell>
          <cell r="B1571" t="str">
            <v>510-26017-001-0001</v>
          </cell>
          <cell r="J1571">
            <v>24948.45</v>
          </cell>
        </row>
        <row r="1572">
          <cell r="A1572" t="str">
            <v>CIVLA</v>
          </cell>
          <cell r="B1572" t="str">
            <v>510-26017-001-0002</v>
          </cell>
          <cell r="J1572">
            <v>2205.52</v>
          </cell>
        </row>
        <row r="1573">
          <cell r="A1573" t="str">
            <v>CIVLA</v>
          </cell>
          <cell r="B1573" t="str">
            <v>510-26017-001-0005</v>
          </cell>
          <cell r="J1573">
            <v>671.24</v>
          </cell>
        </row>
        <row r="1574">
          <cell r="A1574" t="str">
            <v>CIVLA</v>
          </cell>
          <cell r="B1574" t="str">
            <v>510-26017-001-0006</v>
          </cell>
          <cell r="J1574">
            <v>671.24</v>
          </cell>
        </row>
        <row r="1575">
          <cell r="A1575" t="str">
            <v>CIVLA</v>
          </cell>
          <cell r="B1575" t="str">
            <v>510-26017-001-0011</v>
          </cell>
          <cell r="J1575">
            <v>2403</v>
          </cell>
        </row>
        <row r="1576">
          <cell r="A1576" t="str">
            <v>CIVLA</v>
          </cell>
          <cell r="B1576" t="str">
            <v>510-26017-002-0000</v>
          </cell>
          <cell r="J1576">
            <v>8578.0400000000009</v>
          </cell>
        </row>
        <row r="1577">
          <cell r="A1577" t="str">
            <v>CIVLA</v>
          </cell>
          <cell r="B1577" t="str">
            <v>510-26017-002-0001</v>
          </cell>
          <cell r="J1577">
            <v>3598.71</v>
          </cell>
        </row>
        <row r="1578">
          <cell r="A1578" t="str">
            <v>CIVLA</v>
          </cell>
          <cell r="B1578" t="str">
            <v>510-26017-002-0002</v>
          </cell>
          <cell r="J1578">
            <v>2429</v>
          </cell>
        </row>
        <row r="1579">
          <cell r="A1579" t="str">
            <v>CIVLA</v>
          </cell>
          <cell r="B1579" t="str">
            <v>510-26017-002-0003</v>
          </cell>
          <cell r="J1579">
            <v>1513</v>
          </cell>
        </row>
        <row r="1580">
          <cell r="A1580" t="str">
            <v>CIVLA</v>
          </cell>
          <cell r="B1580" t="str">
            <v>510-26017-002-0004</v>
          </cell>
          <cell r="J1580">
            <v>1037.33</v>
          </cell>
        </row>
        <row r="1581">
          <cell r="A1581" t="str">
            <v>CIVLA</v>
          </cell>
          <cell r="B1581" t="str">
            <v>510-26017-003-0000</v>
          </cell>
          <cell r="J1581">
            <v>13.8</v>
          </cell>
        </row>
        <row r="1582">
          <cell r="A1582" t="str">
            <v>CIVLA</v>
          </cell>
          <cell r="B1582" t="str">
            <v>510-26017-007-0000</v>
          </cell>
          <cell r="J1582">
            <v>2330149.83</v>
          </cell>
        </row>
        <row r="1583">
          <cell r="A1583" t="str">
            <v>CIVLA</v>
          </cell>
          <cell r="B1583" t="str">
            <v>510-26017-007-0010</v>
          </cell>
          <cell r="J1583">
            <v>327.08</v>
          </cell>
        </row>
        <row r="1584">
          <cell r="A1584" t="str">
            <v>CIVLA</v>
          </cell>
          <cell r="B1584" t="str">
            <v>510-26017-007-0020</v>
          </cell>
          <cell r="J1584">
            <v>1480820.02</v>
          </cell>
        </row>
        <row r="1585">
          <cell r="A1585" t="str">
            <v>CIVLA</v>
          </cell>
          <cell r="B1585" t="str">
            <v>510-26017-007-0050</v>
          </cell>
          <cell r="J1585">
            <v>132390.12</v>
          </cell>
        </row>
        <row r="1586">
          <cell r="A1586" t="str">
            <v>CIVLA</v>
          </cell>
          <cell r="B1586" t="str">
            <v>510-26017-007-0060</v>
          </cell>
          <cell r="J1586">
            <v>716612.61</v>
          </cell>
        </row>
        <row r="1587">
          <cell r="A1587" t="str">
            <v>CIVLA</v>
          </cell>
          <cell r="B1587" t="str">
            <v>510-26017-061-0000</v>
          </cell>
          <cell r="J1587">
            <v>-969.52</v>
          </cell>
        </row>
        <row r="1588">
          <cell r="A1588" t="str">
            <v>CIVLA</v>
          </cell>
          <cell r="B1588" t="str">
            <v>510-26018-000-0000</v>
          </cell>
          <cell r="J1588">
            <v>2005731.96</v>
          </cell>
        </row>
        <row r="1589">
          <cell r="A1589" t="str">
            <v>CIVLA</v>
          </cell>
          <cell r="B1589" t="str">
            <v>510-26018-001-0000</v>
          </cell>
          <cell r="J1589">
            <v>30136.22</v>
          </cell>
        </row>
        <row r="1590">
          <cell r="A1590" t="str">
            <v>CIVLA</v>
          </cell>
          <cell r="B1590" t="str">
            <v>510-26018-001-0001</v>
          </cell>
          <cell r="J1590">
            <v>25210.04</v>
          </cell>
        </row>
        <row r="1591">
          <cell r="A1591" t="str">
            <v>CIVLA</v>
          </cell>
          <cell r="B1591" t="str">
            <v>510-26018-001-0002</v>
          </cell>
          <cell r="J1591">
            <v>2164.5</v>
          </cell>
        </row>
        <row r="1592">
          <cell r="A1592" t="str">
            <v>CIVLA</v>
          </cell>
          <cell r="B1592" t="str">
            <v>510-26018-001-0004</v>
          </cell>
          <cell r="J1592">
            <v>55</v>
          </cell>
        </row>
        <row r="1593">
          <cell r="A1593" t="str">
            <v>CIVLA</v>
          </cell>
          <cell r="B1593" t="str">
            <v>510-26018-001-0005</v>
          </cell>
          <cell r="J1593">
            <v>645.34</v>
          </cell>
        </row>
        <row r="1594">
          <cell r="A1594" t="str">
            <v>CIVLA</v>
          </cell>
          <cell r="B1594" t="str">
            <v>510-26018-001-0006</v>
          </cell>
          <cell r="J1594">
            <v>645.34</v>
          </cell>
        </row>
        <row r="1595">
          <cell r="A1595" t="str">
            <v>CIVLA</v>
          </cell>
          <cell r="B1595" t="str">
            <v>510-26018-001-0011</v>
          </cell>
          <cell r="J1595">
            <v>1416</v>
          </cell>
        </row>
        <row r="1596">
          <cell r="A1596" t="str">
            <v>CIVLA</v>
          </cell>
          <cell r="B1596" t="str">
            <v>510-26018-002-0000</v>
          </cell>
          <cell r="J1596">
            <v>9877.14</v>
          </cell>
        </row>
        <row r="1597">
          <cell r="A1597" t="str">
            <v>CIVLA</v>
          </cell>
          <cell r="B1597" t="str">
            <v>510-26018-002-0001</v>
          </cell>
          <cell r="J1597">
            <v>3502.28</v>
          </cell>
        </row>
        <row r="1598">
          <cell r="A1598" t="str">
            <v>CIVLA</v>
          </cell>
          <cell r="B1598" t="str">
            <v>510-26018-002-0002</v>
          </cell>
          <cell r="J1598">
            <v>3299</v>
          </cell>
        </row>
        <row r="1599">
          <cell r="A1599" t="str">
            <v>CIVLA</v>
          </cell>
          <cell r="B1599" t="str">
            <v>510-26018-002-0003</v>
          </cell>
          <cell r="J1599">
            <v>2048</v>
          </cell>
        </row>
        <row r="1600">
          <cell r="A1600" t="str">
            <v>CIVLA</v>
          </cell>
          <cell r="B1600" t="str">
            <v>510-26018-002-0004</v>
          </cell>
          <cell r="J1600">
            <v>1027.8599999999999</v>
          </cell>
        </row>
        <row r="1601">
          <cell r="A1601" t="str">
            <v>CIVLA</v>
          </cell>
          <cell r="B1601" t="str">
            <v>510-26018-003-0000</v>
          </cell>
          <cell r="J1601">
            <v>37</v>
          </cell>
        </row>
        <row r="1602">
          <cell r="A1602" t="str">
            <v>CIVLA</v>
          </cell>
          <cell r="B1602" t="str">
            <v>510-26018-007-0000</v>
          </cell>
          <cell r="J1602">
            <v>1964243.1</v>
          </cell>
        </row>
        <row r="1603">
          <cell r="A1603" t="str">
            <v>CIVLA</v>
          </cell>
          <cell r="B1603" t="str">
            <v>510-26018-007-0010</v>
          </cell>
          <cell r="J1603">
            <v>11550.94</v>
          </cell>
        </row>
        <row r="1604">
          <cell r="A1604" t="str">
            <v>CIVLA</v>
          </cell>
          <cell r="B1604" t="str">
            <v>510-26018-007-0020</v>
          </cell>
          <cell r="J1604">
            <v>1278623.8999999999</v>
          </cell>
        </row>
        <row r="1605">
          <cell r="A1605" t="str">
            <v>CIVLA</v>
          </cell>
          <cell r="B1605" t="str">
            <v>510-26018-007-0030</v>
          </cell>
          <cell r="J1605">
            <v>7834.44</v>
          </cell>
        </row>
        <row r="1606">
          <cell r="A1606" t="str">
            <v>CIVLA</v>
          </cell>
          <cell r="B1606" t="str">
            <v>510-26018-007-0050</v>
          </cell>
          <cell r="J1606">
            <v>40094.699999999997</v>
          </cell>
        </row>
        <row r="1607">
          <cell r="A1607" t="str">
            <v>CIVLA</v>
          </cell>
          <cell r="B1607" t="str">
            <v>510-26018-007-0060</v>
          </cell>
          <cell r="J1607">
            <v>626139.11</v>
          </cell>
        </row>
        <row r="1608">
          <cell r="A1608" t="str">
            <v>CIVLA</v>
          </cell>
          <cell r="B1608" t="str">
            <v>510-26018-007-0070</v>
          </cell>
          <cell r="J1608">
            <v>0.01</v>
          </cell>
        </row>
        <row r="1609">
          <cell r="A1609" t="str">
            <v>CIVLA</v>
          </cell>
          <cell r="B1609" t="str">
            <v>510-26018-061-0000</v>
          </cell>
          <cell r="J1609">
            <v>1438.5</v>
          </cell>
        </row>
        <row r="1610">
          <cell r="A1610" t="str">
            <v>CIVLA</v>
          </cell>
          <cell r="B1610" t="str">
            <v>510-26019-000-0000</v>
          </cell>
          <cell r="J1610">
            <v>2008979.47</v>
          </cell>
        </row>
        <row r="1611">
          <cell r="A1611" t="str">
            <v>CIVLA</v>
          </cell>
          <cell r="B1611" t="str">
            <v>510-26019-001-0000</v>
          </cell>
          <cell r="J1611">
            <v>289874</v>
          </cell>
        </row>
        <row r="1612">
          <cell r="A1612" t="str">
            <v>CIVLA</v>
          </cell>
          <cell r="B1612" t="str">
            <v>510-26019-001-0001</v>
          </cell>
          <cell r="J1612">
            <v>237216</v>
          </cell>
        </row>
        <row r="1613">
          <cell r="A1613" t="str">
            <v>CIVLA</v>
          </cell>
          <cell r="B1613" t="str">
            <v>510-26019-001-0002</v>
          </cell>
          <cell r="J1613">
            <v>21028</v>
          </cell>
        </row>
        <row r="1614">
          <cell r="A1614" t="str">
            <v>CIVLA</v>
          </cell>
          <cell r="B1614" t="str">
            <v>510-26019-001-0005</v>
          </cell>
          <cell r="J1614">
            <v>7509</v>
          </cell>
        </row>
        <row r="1615">
          <cell r="A1615" t="str">
            <v>CIVLA</v>
          </cell>
          <cell r="B1615" t="str">
            <v>510-26019-001-0006</v>
          </cell>
          <cell r="J1615">
            <v>7509</v>
          </cell>
        </row>
        <row r="1616">
          <cell r="A1616" t="str">
            <v>CIVLA</v>
          </cell>
          <cell r="B1616" t="str">
            <v>510-26019-001-0011</v>
          </cell>
          <cell r="J1616">
            <v>16612</v>
          </cell>
        </row>
        <row r="1617">
          <cell r="A1617" t="str">
            <v>CIVLA</v>
          </cell>
          <cell r="B1617" t="str">
            <v>510-26019-002-0000</v>
          </cell>
          <cell r="J1617">
            <v>75730</v>
          </cell>
        </row>
        <row r="1618">
          <cell r="A1618" t="str">
            <v>CIVLA</v>
          </cell>
          <cell r="B1618" t="str">
            <v>510-26019-002-0001</v>
          </cell>
          <cell r="J1618">
            <v>33526</v>
          </cell>
        </row>
        <row r="1619">
          <cell r="A1619" t="str">
            <v>CIVLA</v>
          </cell>
          <cell r="B1619" t="str">
            <v>510-26019-002-0002</v>
          </cell>
          <cell r="J1619">
            <v>20084</v>
          </cell>
        </row>
        <row r="1620">
          <cell r="A1620" t="str">
            <v>CIVLA</v>
          </cell>
          <cell r="B1620" t="str">
            <v>510-26019-002-0003</v>
          </cell>
          <cell r="J1620">
            <v>12461</v>
          </cell>
        </row>
        <row r="1621">
          <cell r="A1621" t="str">
            <v>CIVLA</v>
          </cell>
          <cell r="B1621" t="str">
            <v>510-26019-002-0004</v>
          </cell>
          <cell r="J1621">
            <v>9659</v>
          </cell>
        </row>
        <row r="1622">
          <cell r="A1622" t="str">
            <v>CIVLA</v>
          </cell>
          <cell r="B1622" t="str">
            <v>510-26019-003-0000</v>
          </cell>
          <cell r="J1622">
            <v>5283</v>
          </cell>
        </row>
        <row r="1623">
          <cell r="A1623" t="str">
            <v>CIVLA</v>
          </cell>
          <cell r="B1623" t="str">
            <v>510-26019-007-0000</v>
          </cell>
          <cell r="J1623">
            <v>1645254.47</v>
          </cell>
        </row>
        <row r="1624">
          <cell r="A1624" t="str">
            <v>CIVLA</v>
          </cell>
          <cell r="B1624" t="str">
            <v>510-26019-007-0010</v>
          </cell>
          <cell r="J1624">
            <v>783616.29</v>
          </cell>
        </row>
        <row r="1625">
          <cell r="A1625" t="str">
            <v>CIVLA</v>
          </cell>
          <cell r="B1625" t="str">
            <v>510-26019-007-0030</v>
          </cell>
          <cell r="J1625">
            <v>591690.85</v>
          </cell>
        </row>
        <row r="1626">
          <cell r="A1626" t="str">
            <v>CIVLA</v>
          </cell>
          <cell r="B1626" t="str">
            <v>510-26019-007-0060</v>
          </cell>
          <cell r="J1626">
            <v>269886.94</v>
          </cell>
        </row>
        <row r="1627">
          <cell r="A1627" t="str">
            <v>CIVLA</v>
          </cell>
          <cell r="B1627" t="str">
            <v>510-26019-007-0070</v>
          </cell>
          <cell r="J1627">
            <v>60.39</v>
          </cell>
        </row>
        <row r="1628">
          <cell r="A1628" t="str">
            <v>CIVLA</v>
          </cell>
          <cell r="B1628" t="str">
            <v>510-26019-061-0000</v>
          </cell>
          <cell r="J1628">
            <v>-7162</v>
          </cell>
        </row>
        <row r="1629">
          <cell r="A1629" t="str">
            <v>CIVLA</v>
          </cell>
          <cell r="B1629" t="str">
            <v>510-26020-000-0000</v>
          </cell>
          <cell r="J1629">
            <v>45537.67</v>
          </cell>
        </row>
        <row r="1630">
          <cell r="A1630" t="str">
            <v>CIVLA</v>
          </cell>
          <cell r="B1630" t="str">
            <v>510-26020-001-0000</v>
          </cell>
          <cell r="J1630">
            <v>4432</v>
          </cell>
        </row>
        <row r="1631">
          <cell r="A1631" t="str">
            <v>CIVLA</v>
          </cell>
          <cell r="B1631" t="str">
            <v>510-26020-001-0001</v>
          </cell>
          <cell r="J1631">
            <v>3790</v>
          </cell>
        </row>
        <row r="1632">
          <cell r="A1632" t="str">
            <v>CIVLA</v>
          </cell>
          <cell r="B1632" t="str">
            <v>510-26020-001-0002</v>
          </cell>
          <cell r="J1632">
            <v>326</v>
          </cell>
        </row>
        <row r="1633">
          <cell r="A1633" t="str">
            <v>CIVLA</v>
          </cell>
          <cell r="B1633" t="str">
            <v>510-26020-001-0005</v>
          </cell>
          <cell r="J1633">
            <v>112</v>
          </cell>
        </row>
        <row r="1634">
          <cell r="A1634" t="str">
            <v>CIVLA</v>
          </cell>
          <cell r="B1634" t="str">
            <v>510-26020-001-0006</v>
          </cell>
          <cell r="J1634">
            <v>112</v>
          </cell>
        </row>
        <row r="1635">
          <cell r="A1635" t="str">
            <v>CIVLA</v>
          </cell>
          <cell r="B1635" t="str">
            <v>510-26020-001-0011</v>
          </cell>
          <cell r="J1635">
            <v>92</v>
          </cell>
        </row>
        <row r="1636">
          <cell r="A1636" t="str">
            <v>CIVLA</v>
          </cell>
          <cell r="B1636" t="str">
            <v>510-26020-002-0000</v>
          </cell>
          <cell r="J1636">
            <v>1005</v>
          </cell>
        </row>
        <row r="1637">
          <cell r="A1637" t="str">
            <v>CIVLA</v>
          </cell>
          <cell r="B1637" t="str">
            <v>510-26020-002-0001</v>
          </cell>
          <cell r="J1637">
            <v>535</v>
          </cell>
        </row>
        <row r="1638">
          <cell r="A1638" t="str">
            <v>CIVLA</v>
          </cell>
          <cell r="B1638" t="str">
            <v>510-26020-002-0002</v>
          </cell>
          <cell r="J1638">
            <v>203</v>
          </cell>
        </row>
        <row r="1639">
          <cell r="A1639" t="str">
            <v>CIVLA</v>
          </cell>
          <cell r="B1639" t="str">
            <v>510-26020-002-0003</v>
          </cell>
          <cell r="J1639">
            <v>125</v>
          </cell>
        </row>
        <row r="1640">
          <cell r="A1640" t="str">
            <v>CIVLA</v>
          </cell>
          <cell r="B1640" t="str">
            <v>510-26020-002-0004</v>
          </cell>
          <cell r="J1640">
            <v>142</v>
          </cell>
        </row>
        <row r="1641">
          <cell r="A1641" t="str">
            <v>CIVLA</v>
          </cell>
          <cell r="B1641" t="str">
            <v>510-26020-003-0000</v>
          </cell>
          <cell r="J1641">
            <v>84</v>
          </cell>
        </row>
        <row r="1642">
          <cell r="A1642" t="str">
            <v>CIVLA</v>
          </cell>
          <cell r="B1642" t="str">
            <v>510-26020-007-0000</v>
          </cell>
          <cell r="J1642">
            <v>39936.67</v>
          </cell>
        </row>
        <row r="1643">
          <cell r="A1643" t="str">
            <v>CIVLA</v>
          </cell>
          <cell r="B1643" t="str">
            <v>510-26020-007-0010</v>
          </cell>
          <cell r="J1643">
            <v>16134.7</v>
          </cell>
        </row>
        <row r="1644">
          <cell r="A1644" t="str">
            <v>CIVLA</v>
          </cell>
          <cell r="B1644" t="str">
            <v>510-26020-007-0030</v>
          </cell>
          <cell r="J1644">
            <v>8232.4</v>
          </cell>
        </row>
        <row r="1645">
          <cell r="A1645" t="str">
            <v>CIVLA</v>
          </cell>
          <cell r="B1645" t="str">
            <v>510-26020-007-0060</v>
          </cell>
          <cell r="J1645">
            <v>4630.54</v>
          </cell>
        </row>
        <row r="1646">
          <cell r="A1646" t="str">
            <v>CIVLA</v>
          </cell>
          <cell r="B1646" t="str">
            <v>510-26020-007-0070</v>
          </cell>
          <cell r="J1646">
            <v>10939.03</v>
          </cell>
        </row>
        <row r="1647">
          <cell r="A1647" t="str">
            <v>CIVLA</v>
          </cell>
          <cell r="B1647" t="str">
            <v>510-26020-061-0000</v>
          </cell>
          <cell r="J1647">
            <v>80</v>
          </cell>
        </row>
        <row r="1648">
          <cell r="A1648" t="str">
            <v>CIVLA</v>
          </cell>
          <cell r="B1648" t="str">
            <v>510-26021-000-0000</v>
          </cell>
          <cell r="J1648">
            <v>15100.32</v>
          </cell>
        </row>
        <row r="1649">
          <cell r="A1649" t="str">
            <v>CIVLA</v>
          </cell>
          <cell r="B1649" t="str">
            <v>510-26021-001-0000</v>
          </cell>
          <cell r="J1649">
            <v>6005</v>
          </cell>
        </row>
        <row r="1650">
          <cell r="A1650" t="str">
            <v>CIVLA</v>
          </cell>
          <cell r="B1650" t="str">
            <v>510-26021-001-0001</v>
          </cell>
          <cell r="J1650">
            <v>4960</v>
          </cell>
        </row>
        <row r="1651">
          <cell r="A1651" t="str">
            <v>CIVLA</v>
          </cell>
          <cell r="B1651" t="str">
            <v>510-26021-001-0002</v>
          </cell>
          <cell r="J1651">
            <v>435</v>
          </cell>
        </row>
        <row r="1652">
          <cell r="A1652" t="str">
            <v>CIVLA</v>
          </cell>
          <cell r="B1652" t="str">
            <v>510-26021-001-0004</v>
          </cell>
          <cell r="J1652">
            <v>66</v>
          </cell>
        </row>
        <row r="1653">
          <cell r="A1653" t="str">
            <v>CIVLA</v>
          </cell>
          <cell r="B1653" t="str">
            <v>510-26021-001-0005</v>
          </cell>
          <cell r="J1653">
            <v>173</v>
          </cell>
        </row>
        <row r="1654">
          <cell r="A1654" t="str">
            <v>CIVLA</v>
          </cell>
          <cell r="B1654" t="str">
            <v>510-26021-001-0006</v>
          </cell>
          <cell r="J1654">
            <v>173</v>
          </cell>
        </row>
        <row r="1655">
          <cell r="A1655" t="str">
            <v>CIVLA</v>
          </cell>
          <cell r="B1655" t="str">
            <v>510-26021-001-0011</v>
          </cell>
          <cell r="J1655">
            <v>198</v>
          </cell>
        </row>
        <row r="1656">
          <cell r="A1656" t="str">
            <v>CIVLA</v>
          </cell>
          <cell r="B1656" t="str">
            <v>510-26021-002-0000</v>
          </cell>
          <cell r="J1656">
            <v>1556</v>
          </cell>
        </row>
        <row r="1657">
          <cell r="A1657" t="str">
            <v>CIVLA</v>
          </cell>
          <cell r="B1657" t="str">
            <v>510-26021-002-0001</v>
          </cell>
          <cell r="J1657">
            <v>676</v>
          </cell>
        </row>
        <row r="1658">
          <cell r="A1658" t="str">
            <v>CIVLA</v>
          </cell>
          <cell r="B1658" t="str">
            <v>510-26021-002-0002</v>
          </cell>
          <cell r="J1658">
            <v>425</v>
          </cell>
        </row>
        <row r="1659">
          <cell r="A1659" t="str">
            <v>CIVLA</v>
          </cell>
          <cell r="B1659" t="str">
            <v>510-26021-002-0003</v>
          </cell>
          <cell r="J1659">
            <v>261</v>
          </cell>
        </row>
        <row r="1660">
          <cell r="A1660" t="str">
            <v>CIVLA</v>
          </cell>
          <cell r="B1660" t="str">
            <v>510-26021-002-0004</v>
          </cell>
          <cell r="J1660">
            <v>194</v>
          </cell>
        </row>
        <row r="1661">
          <cell r="A1661" t="str">
            <v>CIVLA</v>
          </cell>
          <cell r="B1661" t="str">
            <v>510-26021-003-0000</v>
          </cell>
          <cell r="J1661">
            <v>25</v>
          </cell>
        </row>
        <row r="1662">
          <cell r="A1662" t="str">
            <v>CIVLA</v>
          </cell>
          <cell r="B1662" t="str">
            <v>510-26021-007-0000</v>
          </cell>
          <cell r="J1662">
            <v>7368.32</v>
          </cell>
        </row>
        <row r="1663">
          <cell r="A1663" t="str">
            <v>CIVLA</v>
          </cell>
          <cell r="B1663" t="str">
            <v>510-26021-007-0010</v>
          </cell>
          <cell r="J1663">
            <v>4392.42</v>
          </cell>
        </row>
        <row r="1664">
          <cell r="A1664" t="str">
            <v>CIVLA</v>
          </cell>
          <cell r="B1664" t="str">
            <v>510-26021-007-0060</v>
          </cell>
          <cell r="J1664">
            <v>1232.18</v>
          </cell>
        </row>
        <row r="1665">
          <cell r="A1665" t="str">
            <v>CIVLA</v>
          </cell>
          <cell r="B1665" t="str">
            <v>510-26021-007-0070</v>
          </cell>
          <cell r="J1665">
            <v>1743.72</v>
          </cell>
        </row>
        <row r="1666">
          <cell r="A1666" t="str">
            <v>CIVLA</v>
          </cell>
          <cell r="B1666" t="str">
            <v>510-26021-061-0000</v>
          </cell>
          <cell r="J1666">
            <v>146</v>
          </cell>
        </row>
        <row r="1667">
          <cell r="A1667" t="str">
            <v>CIVLA</v>
          </cell>
          <cell r="B1667" t="str">
            <v>510-26023-000-0000</v>
          </cell>
          <cell r="J1667">
            <v>24159</v>
          </cell>
        </row>
        <row r="1668">
          <cell r="A1668" t="str">
            <v>CIVLA</v>
          </cell>
          <cell r="B1668" t="str">
            <v>510-26023-001-0000</v>
          </cell>
          <cell r="J1668">
            <v>20255</v>
          </cell>
        </row>
        <row r="1669">
          <cell r="A1669" t="str">
            <v>CIVLA</v>
          </cell>
          <cell r="B1669" t="str">
            <v>510-26023-001-0001</v>
          </cell>
          <cell r="J1669">
            <v>16626</v>
          </cell>
        </row>
        <row r="1670">
          <cell r="A1670" t="str">
            <v>CIVLA</v>
          </cell>
          <cell r="B1670" t="str">
            <v>510-26023-001-0002</v>
          </cell>
          <cell r="J1670">
            <v>1499</v>
          </cell>
        </row>
        <row r="1671">
          <cell r="A1671" t="str">
            <v>CIVLA</v>
          </cell>
          <cell r="B1671" t="str">
            <v>510-26023-001-0005</v>
          </cell>
          <cell r="J1671">
            <v>541</v>
          </cell>
        </row>
        <row r="1672">
          <cell r="A1672" t="str">
            <v>CIVLA</v>
          </cell>
          <cell r="B1672" t="str">
            <v>510-26023-001-0006</v>
          </cell>
          <cell r="J1672">
            <v>541</v>
          </cell>
        </row>
        <row r="1673">
          <cell r="A1673" t="str">
            <v>CIVLA</v>
          </cell>
          <cell r="B1673" t="str">
            <v>510-26023-001-0011</v>
          </cell>
          <cell r="J1673">
            <v>1048</v>
          </cell>
        </row>
        <row r="1674">
          <cell r="A1674" t="str">
            <v>CIVLA</v>
          </cell>
          <cell r="B1674" t="str">
            <v>510-26023-002-0000</v>
          </cell>
          <cell r="J1674">
            <v>4740</v>
          </cell>
        </row>
        <row r="1675">
          <cell r="A1675" t="str">
            <v>CIVLA</v>
          </cell>
          <cell r="B1675" t="str">
            <v>510-26023-002-0001</v>
          </cell>
          <cell r="J1675">
            <v>2773</v>
          </cell>
        </row>
        <row r="1676">
          <cell r="A1676" t="str">
            <v>CIVLA</v>
          </cell>
          <cell r="B1676" t="str">
            <v>510-26023-002-0002</v>
          </cell>
          <cell r="J1676">
            <v>820</v>
          </cell>
        </row>
        <row r="1677">
          <cell r="A1677" t="str">
            <v>CIVLA</v>
          </cell>
          <cell r="B1677" t="str">
            <v>510-26023-002-0003</v>
          </cell>
          <cell r="J1677">
            <v>500</v>
          </cell>
        </row>
        <row r="1678">
          <cell r="A1678" t="str">
            <v>CIVLA</v>
          </cell>
          <cell r="B1678" t="str">
            <v>510-26023-002-0004</v>
          </cell>
          <cell r="J1678">
            <v>647</v>
          </cell>
        </row>
        <row r="1679">
          <cell r="A1679" t="str">
            <v>CIVLA</v>
          </cell>
          <cell r="B1679" t="str">
            <v>510-26023-003-0000</v>
          </cell>
          <cell r="J1679">
            <v>23</v>
          </cell>
        </row>
        <row r="1680">
          <cell r="A1680" t="str">
            <v>CIVLA</v>
          </cell>
          <cell r="B1680" t="str">
            <v>510-26023-061-0000</v>
          </cell>
          <cell r="J1680">
            <v>-859</v>
          </cell>
        </row>
        <row r="1681">
          <cell r="A1681" t="str">
            <v>CIVLA</v>
          </cell>
          <cell r="B1681" t="str">
            <v>510-26024-000-0000</v>
          </cell>
          <cell r="J1681">
            <v>6488</v>
          </cell>
        </row>
        <row r="1682">
          <cell r="A1682" t="str">
            <v>CIVLA</v>
          </cell>
          <cell r="B1682" t="str">
            <v>510-26024-001-0000</v>
          </cell>
          <cell r="J1682">
            <v>5530</v>
          </cell>
        </row>
        <row r="1683">
          <cell r="A1683" t="str">
            <v>CIVLA</v>
          </cell>
          <cell r="B1683" t="str">
            <v>510-26024-001-0001</v>
          </cell>
          <cell r="J1683">
            <v>4654</v>
          </cell>
        </row>
        <row r="1684">
          <cell r="A1684" t="str">
            <v>CIVLA</v>
          </cell>
          <cell r="B1684" t="str">
            <v>510-26024-001-0002</v>
          </cell>
          <cell r="J1684">
            <v>446</v>
          </cell>
        </row>
        <row r="1685">
          <cell r="A1685" t="str">
            <v>CIVLA</v>
          </cell>
          <cell r="B1685" t="str">
            <v>510-26024-001-0005</v>
          </cell>
          <cell r="J1685">
            <v>215</v>
          </cell>
        </row>
        <row r="1686">
          <cell r="A1686" t="str">
            <v>CIVLA</v>
          </cell>
          <cell r="B1686" t="str">
            <v>510-26024-001-0006</v>
          </cell>
          <cell r="J1686">
            <v>215</v>
          </cell>
        </row>
        <row r="1687">
          <cell r="A1687" t="str">
            <v>CIVLA</v>
          </cell>
          <cell r="B1687" t="str">
            <v>510-26024-001-0011</v>
          </cell>
          <cell r="J1687">
            <v>0</v>
          </cell>
        </row>
        <row r="1688">
          <cell r="A1688" t="str">
            <v>CIVLA</v>
          </cell>
          <cell r="B1688" t="str">
            <v>510-26024-002-0000</v>
          </cell>
          <cell r="J1688">
            <v>820</v>
          </cell>
        </row>
        <row r="1689">
          <cell r="A1689" t="str">
            <v>CIVLA</v>
          </cell>
          <cell r="B1689" t="str">
            <v>510-26024-002-0001</v>
          </cell>
          <cell r="J1689">
            <v>651</v>
          </cell>
        </row>
        <row r="1690">
          <cell r="A1690" t="str">
            <v>CIVLA</v>
          </cell>
          <cell r="B1690" t="str">
            <v>510-26024-002-0004</v>
          </cell>
          <cell r="J1690">
            <v>169</v>
          </cell>
        </row>
        <row r="1691">
          <cell r="A1691" t="str">
            <v>CIVLA</v>
          </cell>
          <cell r="B1691" t="str">
            <v>510-26024-003-0000</v>
          </cell>
          <cell r="J1691">
            <v>139</v>
          </cell>
        </row>
        <row r="1692">
          <cell r="A1692" t="str">
            <v>CIVLA</v>
          </cell>
          <cell r="B1692" t="str">
            <v>510-26024-061-0000</v>
          </cell>
          <cell r="J1692">
            <v>-1</v>
          </cell>
        </row>
        <row r="1693">
          <cell r="A1693" t="str">
            <v>CIVLA</v>
          </cell>
          <cell r="B1693" t="str">
            <v>510-26025-000-0000</v>
          </cell>
          <cell r="J1693">
            <v>13762.52</v>
          </cell>
        </row>
        <row r="1694">
          <cell r="A1694" t="str">
            <v>CIVLA</v>
          </cell>
          <cell r="B1694" t="str">
            <v>510-26025-001-0000</v>
          </cell>
          <cell r="J1694">
            <v>7515</v>
          </cell>
        </row>
        <row r="1695">
          <cell r="A1695" t="str">
            <v>CIVLA</v>
          </cell>
          <cell r="B1695" t="str">
            <v>510-26025-001-0001</v>
          </cell>
          <cell r="J1695">
            <v>6382</v>
          </cell>
        </row>
        <row r="1696">
          <cell r="A1696" t="str">
            <v>CIVLA</v>
          </cell>
          <cell r="B1696" t="str">
            <v>510-26025-001-0002</v>
          </cell>
          <cell r="J1696">
            <v>543</v>
          </cell>
        </row>
        <row r="1697">
          <cell r="A1697" t="str">
            <v>CIVLA</v>
          </cell>
          <cell r="B1697" t="str">
            <v>510-26025-001-0005</v>
          </cell>
          <cell r="J1697">
            <v>164</v>
          </cell>
        </row>
        <row r="1698">
          <cell r="A1698" t="str">
            <v>CIVLA</v>
          </cell>
          <cell r="B1698" t="str">
            <v>510-26025-001-0006</v>
          </cell>
          <cell r="J1698">
            <v>164</v>
          </cell>
        </row>
        <row r="1699">
          <cell r="A1699" t="str">
            <v>CIVLA</v>
          </cell>
          <cell r="B1699" t="str">
            <v>510-26025-001-0011</v>
          </cell>
          <cell r="J1699">
            <v>262</v>
          </cell>
        </row>
        <row r="1700">
          <cell r="A1700" t="str">
            <v>CIVLA</v>
          </cell>
          <cell r="B1700" t="str">
            <v>510-26025-002-0000</v>
          </cell>
          <cell r="J1700">
            <v>1593</v>
          </cell>
        </row>
        <row r="1701">
          <cell r="A1701" t="str">
            <v>CIVLA</v>
          </cell>
          <cell r="B1701" t="str">
            <v>510-26025-002-0001</v>
          </cell>
          <cell r="J1701">
            <v>944</v>
          </cell>
        </row>
        <row r="1702">
          <cell r="A1702" t="str">
            <v>CIVLA</v>
          </cell>
          <cell r="B1702" t="str">
            <v>510-26025-002-0002</v>
          </cell>
          <cell r="J1702">
            <v>255</v>
          </cell>
        </row>
        <row r="1703">
          <cell r="A1703" t="str">
            <v>CIVLA</v>
          </cell>
          <cell r="B1703" t="str">
            <v>510-26025-002-0003</v>
          </cell>
          <cell r="J1703">
            <v>159</v>
          </cell>
        </row>
        <row r="1704">
          <cell r="A1704" t="str">
            <v>CIVLA</v>
          </cell>
          <cell r="B1704" t="str">
            <v>510-26025-002-0004</v>
          </cell>
          <cell r="J1704">
            <v>235</v>
          </cell>
        </row>
        <row r="1705">
          <cell r="A1705" t="str">
            <v>CIVLA</v>
          </cell>
          <cell r="B1705" t="str">
            <v>510-26025-007-0000</v>
          </cell>
          <cell r="J1705">
            <v>5104.5200000000004</v>
          </cell>
        </row>
        <row r="1706">
          <cell r="A1706" t="str">
            <v>CIVLA</v>
          </cell>
          <cell r="B1706" t="str">
            <v>510-26025-007-0010</v>
          </cell>
          <cell r="J1706">
            <v>3606.82</v>
          </cell>
        </row>
        <row r="1707">
          <cell r="A1707" t="str">
            <v>CIVLA</v>
          </cell>
          <cell r="B1707" t="str">
            <v>510-26025-007-0060</v>
          </cell>
          <cell r="J1707">
            <v>1477.57</v>
          </cell>
        </row>
        <row r="1708">
          <cell r="A1708" t="str">
            <v>CIVLA</v>
          </cell>
          <cell r="B1708" t="str">
            <v>510-26025-007-0070</v>
          </cell>
          <cell r="J1708">
            <v>20.13</v>
          </cell>
        </row>
        <row r="1709">
          <cell r="A1709" t="str">
            <v>CIVLA</v>
          </cell>
          <cell r="B1709" t="str">
            <v>510-26025-061-0000</v>
          </cell>
          <cell r="J1709">
            <v>-450</v>
          </cell>
        </row>
        <row r="1710">
          <cell r="A1710" t="str">
            <v>CIVLA</v>
          </cell>
          <cell r="B1710" t="str">
            <v>510-26026-000-0000</v>
          </cell>
          <cell r="J1710">
            <v>3113591.64</v>
          </cell>
        </row>
        <row r="1711">
          <cell r="A1711" t="str">
            <v>CIVLA</v>
          </cell>
          <cell r="B1711" t="str">
            <v>510-26026-001-0000</v>
          </cell>
          <cell r="J1711">
            <v>5116</v>
          </cell>
        </row>
        <row r="1712">
          <cell r="A1712" t="str">
            <v>CIVLA</v>
          </cell>
          <cell r="B1712" t="str">
            <v>510-26026-001-0001</v>
          </cell>
          <cell r="J1712">
            <v>4101</v>
          </cell>
        </row>
        <row r="1713">
          <cell r="A1713" t="str">
            <v>CIVLA</v>
          </cell>
          <cell r="B1713" t="str">
            <v>510-26026-001-0002</v>
          </cell>
          <cell r="J1713">
            <v>377</v>
          </cell>
        </row>
        <row r="1714">
          <cell r="A1714" t="str">
            <v>CIVLA</v>
          </cell>
          <cell r="B1714" t="str">
            <v>510-26026-001-0005</v>
          </cell>
          <cell r="J1714">
            <v>161</v>
          </cell>
        </row>
        <row r="1715">
          <cell r="A1715" t="str">
            <v>CIVLA</v>
          </cell>
          <cell r="B1715" t="str">
            <v>510-26026-001-0006</v>
          </cell>
          <cell r="J1715">
            <v>161</v>
          </cell>
        </row>
        <row r="1716">
          <cell r="A1716" t="str">
            <v>CIVLA</v>
          </cell>
          <cell r="B1716" t="str">
            <v>510-26026-001-0011</v>
          </cell>
          <cell r="J1716">
            <v>316</v>
          </cell>
        </row>
        <row r="1717">
          <cell r="A1717" t="str">
            <v>CIVLA</v>
          </cell>
          <cell r="B1717" t="str">
            <v>510-26026-002-0000</v>
          </cell>
          <cell r="J1717">
            <v>949</v>
          </cell>
        </row>
        <row r="1718">
          <cell r="A1718" t="str">
            <v>CIVLA</v>
          </cell>
          <cell r="B1718" t="str">
            <v>510-26026-002-0001</v>
          </cell>
          <cell r="J1718">
            <v>578</v>
          </cell>
        </row>
        <row r="1719">
          <cell r="A1719" t="str">
            <v>CIVLA</v>
          </cell>
          <cell r="B1719" t="str">
            <v>510-26026-002-0002</v>
          </cell>
          <cell r="J1719">
            <v>133</v>
          </cell>
        </row>
        <row r="1720">
          <cell r="A1720" t="str">
            <v>CIVLA</v>
          </cell>
          <cell r="B1720" t="str">
            <v>510-26026-002-0003</v>
          </cell>
          <cell r="J1720">
            <v>83</v>
          </cell>
        </row>
        <row r="1721">
          <cell r="A1721" t="str">
            <v>CIVLA</v>
          </cell>
          <cell r="B1721" t="str">
            <v>510-26026-002-0004</v>
          </cell>
          <cell r="J1721">
            <v>155</v>
          </cell>
        </row>
        <row r="1722">
          <cell r="A1722" t="str">
            <v>CIVLA</v>
          </cell>
          <cell r="B1722" t="str">
            <v>510-26026-003-0000</v>
          </cell>
          <cell r="J1722">
            <v>31</v>
          </cell>
        </row>
        <row r="1723">
          <cell r="A1723" t="str">
            <v>CIVLA</v>
          </cell>
          <cell r="B1723" t="str">
            <v>510-26026-007-0000</v>
          </cell>
          <cell r="J1723">
            <v>3107613.64</v>
          </cell>
        </row>
        <row r="1724">
          <cell r="A1724" t="str">
            <v>CIVLA</v>
          </cell>
          <cell r="B1724" t="str">
            <v>510-26026-007-0010</v>
          </cell>
          <cell r="J1724">
            <v>1755558.04</v>
          </cell>
        </row>
        <row r="1725">
          <cell r="A1725" t="str">
            <v>CIVLA</v>
          </cell>
          <cell r="B1725" t="str">
            <v>510-26026-007-0020</v>
          </cell>
          <cell r="J1725">
            <v>16.670000000000002</v>
          </cell>
        </row>
        <row r="1726">
          <cell r="A1726" t="str">
            <v>CIVLA</v>
          </cell>
          <cell r="B1726" t="str">
            <v>510-26026-007-0030</v>
          </cell>
          <cell r="J1726">
            <v>11923.5</v>
          </cell>
        </row>
        <row r="1727">
          <cell r="A1727" t="str">
            <v>CIVLA</v>
          </cell>
          <cell r="B1727" t="str">
            <v>510-26026-007-0050</v>
          </cell>
          <cell r="J1727">
            <v>559467.31999999995</v>
          </cell>
        </row>
        <row r="1728">
          <cell r="A1728" t="str">
            <v>CIVLA</v>
          </cell>
          <cell r="B1728" t="str">
            <v>510-26026-007-0060</v>
          </cell>
          <cell r="J1728">
            <v>780648.11</v>
          </cell>
        </row>
        <row r="1729">
          <cell r="A1729" t="str">
            <v>CIVLA</v>
          </cell>
          <cell r="B1729" t="str">
            <v>510-26026-061-0000</v>
          </cell>
          <cell r="J1729">
            <v>-118</v>
          </cell>
        </row>
        <row r="1730">
          <cell r="A1730" t="str">
            <v>CIVLA</v>
          </cell>
          <cell r="B1730" t="str">
            <v>510-26027-000-0000</v>
          </cell>
          <cell r="J1730">
            <v>1863064.84</v>
          </cell>
        </row>
        <row r="1731">
          <cell r="A1731" t="str">
            <v>CIVLA</v>
          </cell>
          <cell r="B1731" t="str">
            <v>510-26027-001-0000</v>
          </cell>
          <cell r="J1731">
            <v>12959</v>
          </cell>
        </row>
        <row r="1732">
          <cell r="A1732" t="str">
            <v>CIVLA</v>
          </cell>
          <cell r="B1732" t="str">
            <v>510-26027-001-0001</v>
          </cell>
          <cell r="J1732">
            <v>11023</v>
          </cell>
        </row>
        <row r="1733">
          <cell r="A1733" t="str">
            <v>CIVLA</v>
          </cell>
          <cell r="B1733" t="str">
            <v>510-26027-001-0002</v>
          </cell>
          <cell r="J1733">
            <v>894</v>
          </cell>
        </row>
        <row r="1734">
          <cell r="A1734" t="str">
            <v>CIVLA</v>
          </cell>
          <cell r="B1734" t="str">
            <v>510-26027-001-0005</v>
          </cell>
          <cell r="J1734">
            <v>162</v>
          </cell>
        </row>
        <row r="1735">
          <cell r="A1735" t="str">
            <v>CIVLA</v>
          </cell>
          <cell r="B1735" t="str">
            <v>510-26027-001-0006</v>
          </cell>
          <cell r="J1735">
            <v>162</v>
          </cell>
        </row>
        <row r="1736">
          <cell r="A1736" t="str">
            <v>CIVLA</v>
          </cell>
          <cell r="B1736" t="str">
            <v>510-26027-001-0011</v>
          </cell>
          <cell r="J1736">
            <v>718</v>
          </cell>
        </row>
        <row r="1737">
          <cell r="A1737" t="str">
            <v>CIVLA</v>
          </cell>
          <cell r="B1737" t="str">
            <v>510-26027-002-0000</v>
          </cell>
          <cell r="J1737">
            <v>4446</v>
          </cell>
        </row>
        <row r="1738">
          <cell r="A1738" t="str">
            <v>CIVLA</v>
          </cell>
          <cell r="B1738" t="str">
            <v>510-26027-002-0001</v>
          </cell>
          <cell r="J1738">
            <v>1567</v>
          </cell>
        </row>
        <row r="1739">
          <cell r="A1739" t="str">
            <v>CIVLA</v>
          </cell>
          <cell r="B1739" t="str">
            <v>510-26027-002-0002</v>
          </cell>
          <cell r="J1739">
            <v>1479</v>
          </cell>
        </row>
        <row r="1740">
          <cell r="A1740" t="str">
            <v>CIVLA</v>
          </cell>
          <cell r="B1740" t="str">
            <v>510-26027-002-0003</v>
          </cell>
          <cell r="J1740">
            <v>914</v>
          </cell>
        </row>
        <row r="1741">
          <cell r="A1741" t="str">
            <v>CIVLA</v>
          </cell>
          <cell r="B1741" t="str">
            <v>510-26027-002-0004</v>
          </cell>
          <cell r="J1741">
            <v>486</v>
          </cell>
        </row>
        <row r="1742">
          <cell r="A1742" t="str">
            <v>CIVLA</v>
          </cell>
          <cell r="B1742" t="str">
            <v>510-26027-003-0000</v>
          </cell>
          <cell r="J1742">
            <v>508</v>
          </cell>
        </row>
        <row r="1743">
          <cell r="A1743" t="str">
            <v>CIVLA</v>
          </cell>
          <cell r="B1743" t="str">
            <v>510-26027-007-0000</v>
          </cell>
          <cell r="J1743">
            <v>1846128.84</v>
          </cell>
        </row>
        <row r="1744">
          <cell r="A1744" t="str">
            <v>CIVLA</v>
          </cell>
          <cell r="B1744" t="str">
            <v>510-26027-007-0010</v>
          </cell>
          <cell r="J1744">
            <v>1171350.8899999999</v>
          </cell>
        </row>
        <row r="1745">
          <cell r="A1745" t="str">
            <v>CIVLA</v>
          </cell>
          <cell r="B1745" t="str">
            <v>510-26027-007-0020</v>
          </cell>
          <cell r="J1745">
            <v>11.19</v>
          </cell>
        </row>
        <row r="1746">
          <cell r="A1746" t="str">
            <v>CIVLA</v>
          </cell>
          <cell r="B1746" t="str">
            <v>510-26027-007-0030</v>
          </cell>
          <cell r="J1746">
            <v>24469.32</v>
          </cell>
        </row>
        <row r="1747">
          <cell r="A1747" t="str">
            <v>CIVLA</v>
          </cell>
          <cell r="B1747" t="str">
            <v>510-26027-007-0050</v>
          </cell>
          <cell r="J1747">
            <v>106267.94</v>
          </cell>
        </row>
        <row r="1748">
          <cell r="A1748" t="str">
            <v>CIVLA</v>
          </cell>
          <cell r="B1748" t="str">
            <v>510-26027-007-0060</v>
          </cell>
          <cell r="J1748">
            <v>523217.23</v>
          </cell>
        </row>
        <row r="1749">
          <cell r="A1749" t="str">
            <v>CIVLA</v>
          </cell>
          <cell r="B1749" t="str">
            <v>510-26027-007-0070</v>
          </cell>
          <cell r="J1749">
            <v>20812.27</v>
          </cell>
        </row>
        <row r="1750">
          <cell r="A1750" t="str">
            <v>CIVLA</v>
          </cell>
          <cell r="B1750" t="str">
            <v>510-26027-061-0000</v>
          </cell>
          <cell r="J1750">
            <v>-977</v>
          </cell>
        </row>
        <row r="1751">
          <cell r="A1751" t="str">
            <v>CIVLA</v>
          </cell>
          <cell r="B1751" t="str">
            <v>510-26028-000-0000</v>
          </cell>
          <cell r="J1751">
            <v>1076632.74</v>
          </cell>
        </row>
        <row r="1752">
          <cell r="A1752" t="str">
            <v>CIVLA</v>
          </cell>
          <cell r="B1752" t="str">
            <v>510-26028-001-0000</v>
          </cell>
          <cell r="J1752">
            <v>9714</v>
          </cell>
        </row>
        <row r="1753">
          <cell r="A1753" t="str">
            <v>CIVLA</v>
          </cell>
          <cell r="B1753" t="str">
            <v>510-26028-001-0001</v>
          </cell>
          <cell r="J1753">
            <v>7434</v>
          </cell>
        </row>
        <row r="1754">
          <cell r="A1754" t="str">
            <v>CIVLA</v>
          </cell>
          <cell r="B1754" t="str">
            <v>510-26028-001-0002</v>
          </cell>
          <cell r="J1754">
            <v>527</v>
          </cell>
        </row>
        <row r="1755">
          <cell r="A1755" t="str">
            <v>CIVLA</v>
          </cell>
          <cell r="B1755" t="str">
            <v>510-26028-001-0011</v>
          </cell>
          <cell r="J1755">
            <v>1753</v>
          </cell>
        </row>
        <row r="1756">
          <cell r="A1756" t="str">
            <v>CIVLA</v>
          </cell>
          <cell r="B1756" t="str">
            <v>510-26028-002-0000</v>
          </cell>
          <cell r="J1756">
            <v>3156</v>
          </cell>
        </row>
        <row r="1757">
          <cell r="A1757" t="str">
            <v>CIVLA</v>
          </cell>
          <cell r="B1757" t="str">
            <v>510-26028-002-0001</v>
          </cell>
          <cell r="J1757">
            <v>1155</v>
          </cell>
        </row>
        <row r="1758">
          <cell r="A1758" t="str">
            <v>CIVLA</v>
          </cell>
          <cell r="B1758" t="str">
            <v>510-26028-002-0002</v>
          </cell>
          <cell r="J1758">
            <v>1039</v>
          </cell>
        </row>
        <row r="1759">
          <cell r="A1759" t="str">
            <v>CIVLA</v>
          </cell>
          <cell r="B1759" t="str">
            <v>510-26028-002-0003</v>
          </cell>
          <cell r="J1759">
            <v>647</v>
          </cell>
        </row>
        <row r="1760">
          <cell r="A1760" t="str">
            <v>CIVLA</v>
          </cell>
          <cell r="B1760" t="str">
            <v>510-26028-002-0004</v>
          </cell>
          <cell r="J1760">
            <v>315</v>
          </cell>
        </row>
        <row r="1761">
          <cell r="A1761" t="str">
            <v>CIVLA</v>
          </cell>
          <cell r="B1761" t="str">
            <v>510-26028-007-0000</v>
          </cell>
          <cell r="J1761">
            <v>1064070.74</v>
          </cell>
        </row>
        <row r="1762">
          <cell r="A1762" t="str">
            <v>CIVLA</v>
          </cell>
          <cell r="B1762" t="str">
            <v>510-26028-007-0010</v>
          </cell>
          <cell r="J1762">
            <v>13937.17</v>
          </cell>
        </row>
        <row r="1763">
          <cell r="A1763" t="str">
            <v>CIVLA</v>
          </cell>
          <cell r="B1763" t="str">
            <v>510-26028-007-0020</v>
          </cell>
          <cell r="J1763">
            <v>0.3</v>
          </cell>
        </row>
        <row r="1764">
          <cell r="A1764" t="str">
            <v>CIVLA</v>
          </cell>
          <cell r="B1764" t="str">
            <v>510-26028-007-0030</v>
          </cell>
          <cell r="J1764">
            <v>46408.38</v>
          </cell>
        </row>
        <row r="1765">
          <cell r="A1765" t="str">
            <v>CIVLA</v>
          </cell>
          <cell r="B1765" t="str">
            <v>510-26028-007-0050</v>
          </cell>
          <cell r="J1765">
            <v>997042.82</v>
          </cell>
        </row>
        <row r="1766">
          <cell r="A1766" t="str">
            <v>CIVLA</v>
          </cell>
          <cell r="B1766" t="str">
            <v>510-26028-007-0060</v>
          </cell>
          <cell r="J1766">
            <v>5975.92</v>
          </cell>
        </row>
        <row r="1767">
          <cell r="A1767" t="str">
            <v>CIVLA</v>
          </cell>
          <cell r="B1767" t="str">
            <v>510-26028-007-0070</v>
          </cell>
          <cell r="J1767">
            <v>706.15</v>
          </cell>
        </row>
        <row r="1768">
          <cell r="A1768" t="str">
            <v>CIVLA</v>
          </cell>
          <cell r="B1768" t="str">
            <v>510-26028-061-0000</v>
          </cell>
          <cell r="J1768">
            <v>-308</v>
          </cell>
        </row>
        <row r="1769">
          <cell r="A1769" t="str">
            <v>CIVLA</v>
          </cell>
          <cell r="B1769" t="str">
            <v>510-26030-000-0000</v>
          </cell>
          <cell r="J1769">
            <v>3470594.44</v>
          </cell>
        </row>
        <row r="1770">
          <cell r="A1770" t="str">
            <v>CIVLA</v>
          </cell>
          <cell r="B1770" t="str">
            <v>510-26030-001-0000</v>
          </cell>
          <cell r="J1770">
            <v>38650</v>
          </cell>
        </row>
        <row r="1771">
          <cell r="A1771" t="str">
            <v>CIVLA</v>
          </cell>
          <cell r="B1771" t="str">
            <v>510-26030-001-0001</v>
          </cell>
          <cell r="J1771">
            <v>29718</v>
          </cell>
        </row>
        <row r="1772">
          <cell r="A1772" t="str">
            <v>CIVLA</v>
          </cell>
          <cell r="B1772" t="str">
            <v>510-26030-001-0002</v>
          </cell>
          <cell r="J1772">
            <v>2555</v>
          </cell>
        </row>
        <row r="1773">
          <cell r="A1773" t="str">
            <v>CIVLA</v>
          </cell>
          <cell r="B1773" t="str">
            <v>510-26030-001-0005</v>
          </cell>
          <cell r="J1773">
            <v>755</v>
          </cell>
        </row>
        <row r="1774">
          <cell r="A1774" t="str">
            <v>CIVLA</v>
          </cell>
          <cell r="B1774" t="str">
            <v>510-26030-001-0006</v>
          </cell>
          <cell r="J1774">
            <v>755</v>
          </cell>
        </row>
        <row r="1775">
          <cell r="A1775" t="str">
            <v>CIVLA</v>
          </cell>
          <cell r="B1775" t="str">
            <v>510-26030-001-0011</v>
          </cell>
          <cell r="J1775">
            <v>4867</v>
          </cell>
        </row>
        <row r="1776">
          <cell r="A1776" t="str">
            <v>CIVLA</v>
          </cell>
          <cell r="B1776" t="str">
            <v>510-26030-002-0000</v>
          </cell>
          <cell r="J1776">
            <v>14476</v>
          </cell>
        </row>
        <row r="1777">
          <cell r="A1777" t="str">
            <v>CIVLA</v>
          </cell>
          <cell r="B1777" t="str">
            <v>510-26030-002-0001</v>
          </cell>
          <cell r="J1777">
            <v>4059</v>
          </cell>
        </row>
        <row r="1778">
          <cell r="A1778" t="str">
            <v>CIVLA</v>
          </cell>
          <cell r="B1778" t="str">
            <v>510-26030-002-0002</v>
          </cell>
          <cell r="J1778">
            <v>5549</v>
          </cell>
        </row>
        <row r="1779">
          <cell r="A1779" t="str">
            <v>CIVLA</v>
          </cell>
          <cell r="B1779" t="str">
            <v>510-26030-002-0003</v>
          </cell>
          <cell r="J1779">
            <v>3449</v>
          </cell>
        </row>
        <row r="1780">
          <cell r="A1780" t="str">
            <v>CIVLA</v>
          </cell>
          <cell r="B1780" t="str">
            <v>510-26030-002-0004</v>
          </cell>
          <cell r="J1780">
            <v>1419</v>
          </cell>
        </row>
        <row r="1781">
          <cell r="A1781" t="str">
            <v>CIVLA</v>
          </cell>
          <cell r="B1781" t="str">
            <v>510-26030-003-0000</v>
          </cell>
          <cell r="J1781">
            <v>566</v>
          </cell>
        </row>
        <row r="1782">
          <cell r="A1782" t="str">
            <v>CIVLA</v>
          </cell>
          <cell r="B1782" t="str">
            <v>510-26030-007-0000</v>
          </cell>
          <cell r="J1782">
            <v>3418883.44</v>
          </cell>
        </row>
        <row r="1783">
          <cell r="A1783" t="str">
            <v>CIVLA</v>
          </cell>
          <cell r="B1783" t="str">
            <v>510-26030-007-0010</v>
          </cell>
          <cell r="J1783">
            <v>1506978.72</v>
          </cell>
        </row>
        <row r="1784">
          <cell r="A1784" t="str">
            <v>CIVLA</v>
          </cell>
          <cell r="B1784" t="str">
            <v>510-26030-007-0020</v>
          </cell>
          <cell r="J1784">
            <v>10.56</v>
          </cell>
        </row>
        <row r="1785">
          <cell r="A1785" t="str">
            <v>CIVLA</v>
          </cell>
          <cell r="B1785" t="str">
            <v>510-26030-007-0030</v>
          </cell>
          <cell r="J1785">
            <v>168684.3</v>
          </cell>
        </row>
        <row r="1786">
          <cell r="A1786" t="str">
            <v>CIVLA</v>
          </cell>
          <cell r="B1786" t="str">
            <v>510-26030-007-0050</v>
          </cell>
          <cell r="J1786">
            <v>1160937.94</v>
          </cell>
        </row>
        <row r="1787">
          <cell r="A1787" t="str">
            <v>CIVLA</v>
          </cell>
          <cell r="B1787" t="str">
            <v>510-26030-007-0060</v>
          </cell>
          <cell r="J1787">
            <v>582271.92000000004</v>
          </cell>
        </row>
        <row r="1788">
          <cell r="A1788" t="str">
            <v>CIVLA</v>
          </cell>
          <cell r="B1788" t="str">
            <v>510-26030-061-0000</v>
          </cell>
          <cell r="J1788">
            <v>-1981</v>
          </cell>
        </row>
        <row r="1789">
          <cell r="A1789" t="str">
            <v>CIVLA</v>
          </cell>
          <cell r="B1789" t="str">
            <v>510-26031-000-0000</v>
          </cell>
          <cell r="J1789">
            <v>1666338.55</v>
          </cell>
        </row>
        <row r="1790">
          <cell r="A1790" t="str">
            <v>CIVLA</v>
          </cell>
          <cell r="B1790" t="str">
            <v>510-26031-007-0000</v>
          </cell>
          <cell r="J1790">
            <v>1666338.55</v>
          </cell>
        </row>
        <row r="1791">
          <cell r="A1791" t="str">
            <v>CIVLA</v>
          </cell>
          <cell r="B1791" t="str">
            <v>510-26031-007-0010</v>
          </cell>
          <cell r="J1791">
            <v>14097.44</v>
          </cell>
        </row>
        <row r="1792">
          <cell r="A1792" t="str">
            <v>CIVLA</v>
          </cell>
          <cell r="B1792" t="str">
            <v>510-26031-007-0020</v>
          </cell>
          <cell r="J1792">
            <v>982529.98</v>
          </cell>
        </row>
        <row r="1793">
          <cell r="A1793" t="str">
            <v>CIVLA</v>
          </cell>
          <cell r="B1793" t="str">
            <v>510-26031-007-0030</v>
          </cell>
          <cell r="J1793">
            <v>15800.4</v>
          </cell>
        </row>
        <row r="1794">
          <cell r="A1794" t="str">
            <v>CIVLA</v>
          </cell>
          <cell r="B1794" t="str">
            <v>510-26031-007-0050</v>
          </cell>
          <cell r="J1794">
            <v>109672.85</v>
          </cell>
        </row>
        <row r="1795">
          <cell r="A1795" t="str">
            <v>CIVLA</v>
          </cell>
          <cell r="B1795" t="str">
            <v>510-26031-007-0060</v>
          </cell>
          <cell r="J1795">
            <v>543295.39</v>
          </cell>
        </row>
        <row r="1796">
          <cell r="A1796" t="str">
            <v>CIVLA</v>
          </cell>
          <cell r="B1796" t="str">
            <v>510-26031-007-0070</v>
          </cell>
          <cell r="J1796">
            <v>942.49</v>
          </cell>
        </row>
        <row r="1797">
          <cell r="A1797" t="str">
            <v>CIVLA</v>
          </cell>
          <cell r="B1797" t="str">
            <v>510-26032-000-0000</v>
          </cell>
          <cell r="J1797">
            <v>1580687.74</v>
          </cell>
        </row>
        <row r="1798">
          <cell r="A1798" t="str">
            <v>CIVLA</v>
          </cell>
          <cell r="B1798" t="str">
            <v>510-26032-001-0000</v>
          </cell>
          <cell r="J1798">
            <v>4946</v>
          </cell>
        </row>
        <row r="1799">
          <cell r="A1799" t="str">
            <v>CIVLA</v>
          </cell>
          <cell r="B1799" t="str">
            <v>510-26032-001-0001</v>
          </cell>
          <cell r="J1799">
            <v>3621</v>
          </cell>
        </row>
        <row r="1800">
          <cell r="A1800" t="str">
            <v>CIVLA</v>
          </cell>
          <cell r="B1800" t="str">
            <v>510-26032-001-0002</v>
          </cell>
          <cell r="J1800">
            <v>282</v>
          </cell>
        </row>
        <row r="1801">
          <cell r="A1801" t="str">
            <v>CIVLA</v>
          </cell>
          <cell r="B1801" t="str">
            <v>510-26032-001-0005</v>
          </cell>
          <cell r="J1801">
            <v>50</v>
          </cell>
        </row>
        <row r="1802">
          <cell r="A1802" t="str">
            <v>CIVLA</v>
          </cell>
          <cell r="B1802" t="str">
            <v>510-26032-001-0006</v>
          </cell>
          <cell r="J1802">
            <v>50</v>
          </cell>
        </row>
        <row r="1803">
          <cell r="A1803" t="str">
            <v>CIVLA</v>
          </cell>
          <cell r="B1803" t="str">
            <v>510-26032-001-0011</v>
          </cell>
          <cell r="J1803">
            <v>943</v>
          </cell>
        </row>
        <row r="1804">
          <cell r="A1804" t="str">
            <v>CIVLA</v>
          </cell>
          <cell r="B1804" t="str">
            <v>510-26032-002-0000</v>
          </cell>
          <cell r="J1804">
            <v>1675</v>
          </cell>
        </row>
        <row r="1805">
          <cell r="A1805" t="str">
            <v>CIVLA</v>
          </cell>
          <cell r="B1805" t="str">
            <v>510-26032-002-0001</v>
          </cell>
          <cell r="J1805">
            <v>515</v>
          </cell>
        </row>
        <row r="1806">
          <cell r="A1806" t="str">
            <v>CIVLA</v>
          </cell>
          <cell r="B1806" t="str">
            <v>510-26032-002-0002</v>
          </cell>
          <cell r="J1806">
            <v>613</v>
          </cell>
        </row>
        <row r="1807">
          <cell r="A1807" t="str">
            <v>CIVLA</v>
          </cell>
          <cell r="B1807" t="str">
            <v>510-26032-002-0003</v>
          </cell>
          <cell r="J1807">
            <v>380</v>
          </cell>
        </row>
        <row r="1808">
          <cell r="A1808" t="str">
            <v>CIVLA</v>
          </cell>
          <cell r="B1808" t="str">
            <v>510-26032-002-0004</v>
          </cell>
          <cell r="J1808">
            <v>167</v>
          </cell>
        </row>
        <row r="1809">
          <cell r="A1809" t="str">
            <v>CIVLA</v>
          </cell>
          <cell r="B1809" t="str">
            <v>510-26032-007-0000</v>
          </cell>
          <cell r="J1809">
            <v>1574220.74</v>
          </cell>
        </row>
        <row r="1810">
          <cell r="A1810" t="str">
            <v>CIVLA</v>
          </cell>
          <cell r="B1810" t="str">
            <v>510-26032-007-0010</v>
          </cell>
          <cell r="J1810">
            <v>798528.93</v>
          </cell>
        </row>
        <row r="1811">
          <cell r="A1811" t="str">
            <v>CIVLA</v>
          </cell>
          <cell r="B1811" t="str">
            <v>510-26032-007-0020</v>
          </cell>
          <cell r="J1811">
            <v>6.83</v>
          </cell>
        </row>
        <row r="1812">
          <cell r="A1812" t="str">
            <v>CIVLA</v>
          </cell>
          <cell r="B1812" t="str">
            <v>510-26032-007-0030</v>
          </cell>
          <cell r="J1812">
            <v>16511.54</v>
          </cell>
        </row>
        <row r="1813">
          <cell r="A1813" t="str">
            <v>CIVLA</v>
          </cell>
          <cell r="B1813" t="str">
            <v>510-26032-007-0050</v>
          </cell>
          <cell r="J1813">
            <v>422911.99</v>
          </cell>
        </row>
        <row r="1814">
          <cell r="A1814" t="str">
            <v>CIVLA</v>
          </cell>
          <cell r="B1814" t="str">
            <v>510-26032-007-0060</v>
          </cell>
          <cell r="J1814">
            <v>335318.96000000002</v>
          </cell>
        </row>
        <row r="1815">
          <cell r="A1815" t="str">
            <v>CIVLA</v>
          </cell>
          <cell r="B1815" t="str">
            <v>510-26032-007-0070</v>
          </cell>
          <cell r="J1815">
            <v>942.49</v>
          </cell>
        </row>
        <row r="1816">
          <cell r="A1816" t="str">
            <v>CIVLA</v>
          </cell>
          <cell r="B1816" t="str">
            <v>510-26032-061-0000</v>
          </cell>
          <cell r="J1816">
            <v>-154</v>
          </cell>
        </row>
        <row r="1817">
          <cell r="A1817" t="str">
            <v>CIVLA</v>
          </cell>
          <cell r="B1817" t="str">
            <v>510-26033-000-0000</v>
          </cell>
          <cell r="J1817">
            <v>1060842.93</v>
          </cell>
        </row>
        <row r="1818">
          <cell r="A1818" t="str">
            <v>CIVLA</v>
          </cell>
          <cell r="B1818" t="str">
            <v>510-26033-007-0000</v>
          </cell>
          <cell r="J1818">
            <v>1060842.93</v>
          </cell>
        </row>
        <row r="1819">
          <cell r="A1819" t="str">
            <v>CIVLA</v>
          </cell>
          <cell r="B1819" t="str">
            <v>510-26033-007-0010</v>
          </cell>
          <cell r="J1819">
            <v>20483.45</v>
          </cell>
        </row>
        <row r="1820">
          <cell r="A1820" t="str">
            <v>CIVLA</v>
          </cell>
          <cell r="B1820" t="str">
            <v>510-26033-007-0020</v>
          </cell>
          <cell r="J1820">
            <v>596173.78</v>
          </cell>
        </row>
        <row r="1821">
          <cell r="A1821" t="str">
            <v>CIVLA</v>
          </cell>
          <cell r="B1821" t="str">
            <v>510-26033-007-0030</v>
          </cell>
          <cell r="J1821">
            <v>24492.46</v>
          </cell>
        </row>
        <row r="1822">
          <cell r="A1822" t="str">
            <v>CIVLA</v>
          </cell>
          <cell r="B1822" t="str">
            <v>510-26033-007-0060</v>
          </cell>
          <cell r="J1822">
            <v>418750.75</v>
          </cell>
        </row>
        <row r="1823">
          <cell r="A1823" t="str">
            <v>CIVLA</v>
          </cell>
          <cell r="B1823" t="str">
            <v>510-26033-007-0070</v>
          </cell>
          <cell r="J1823">
            <v>942.49</v>
          </cell>
        </row>
        <row r="1824">
          <cell r="A1824" t="str">
            <v>CIVLA</v>
          </cell>
          <cell r="B1824" t="str">
            <v>510-26034-000-0000</v>
          </cell>
          <cell r="J1824">
            <v>558993.19999999995</v>
          </cell>
        </row>
        <row r="1825">
          <cell r="A1825" t="str">
            <v>CIVLA</v>
          </cell>
          <cell r="B1825" t="str">
            <v>510-26034-001-0000</v>
          </cell>
          <cell r="J1825">
            <v>26169</v>
          </cell>
        </row>
        <row r="1826">
          <cell r="A1826" t="str">
            <v>CIVLA</v>
          </cell>
          <cell r="B1826" t="str">
            <v>510-26034-001-0001</v>
          </cell>
          <cell r="J1826">
            <v>19720</v>
          </cell>
        </row>
        <row r="1827">
          <cell r="A1827" t="str">
            <v>CIVLA</v>
          </cell>
          <cell r="B1827" t="str">
            <v>510-26034-001-0002</v>
          </cell>
          <cell r="J1827">
            <v>1662</v>
          </cell>
        </row>
        <row r="1828">
          <cell r="A1828" t="str">
            <v>CIVLA</v>
          </cell>
          <cell r="B1828" t="str">
            <v>510-26034-001-0005</v>
          </cell>
          <cell r="J1828">
            <v>402</v>
          </cell>
        </row>
        <row r="1829">
          <cell r="A1829" t="str">
            <v>CIVLA</v>
          </cell>
          <cell r="B1829" t="str">
            <v>510-26034-001-0006</v>
          </cell>
          <cell r="J1829">
            <v>402</v>
          </cell>
        </row>
        <row r="1830">
          <cell r="A1830" t="str">
            <v>CIVLA</v>
          </cell>
          <cell r="B1830" t="str">
            <v>510-26034-001-0011</v>
          </cell>
          <cell r="J1830">
            <v>3983</v>
          </cell>
        </row>
        <row r="1831">
          <cell r="A1831" t="str">
            <v>CIVLA</v>
          </cell>
          <cell r="B1831" t="str">
            <v>510-26034-002-0000</v>
          </cell>
          <cell r="J1831">
            <v>9042</v>
          </cell>
        </row>
        <row r="1832">
          <cell r="A1832" t="str">
            <v>CIVLA</v>
          </cell>
          <cell r="B1832" t="str">
            <v>510-26034-002-0001</v>
          </cell>
          <cell r="J1832">
            <v>2826</v>
          </cell>
        </row>
        <row r="1833">
          <cell r="A1833" t="str">
            <v>CIVLA</v>
          </cell>
          <cell r="B1833" t="str">
            <v>510-26034-002-0002</v>
          </cell>
          <cell r="J1833">
            <v>3267</v>
          </cell>
        </row>
        <row r="1834">
          <cell r="A1834" t="str">
            <v>CIVLA</v>
          </cell>
          <cell r="B1834" t="str">
            <v>510-26034-002-0003</v>
          </cell>
          <cell r="J1834">
            <v>2035</v>
          </cell>
        </row>
        <row r="1835">
          <cell r="A1835" t="str">
            <v>CIVLA</v>
          </cell>
          <cell r="B1835" t="str">
            <v>510-26034-002-0004</v>
          </cell>
          <cell r="J1835">
            <v>914</v>
          </cell>
        </row>
        <row r="1836">
          <cell r="A1836" t="str">
            <v>CIVLA</v>
          </cell>
          <cell r="B1836" t="str">
            <v>510-26034-007-0000</v>
          </cell>
          <cell r="J1836">
            <v>524513.19999999995</v>
          </cell>
        </row>
        <row r="1837">
          <cell r="A1837" t="str">
            <v>CIVLA</v>
          </cell>
          <cell r="B1837" t="str">
            <v>510-26034-007-0020</v>
          </cell>
          <cell r="J1837">
            <v>340542.74</v>
          </cell>
        </row>
        <row r="1838">
          <cell r="A1838" t="str">
            <v>CIVLA</v>
          </cell>
          <cell r="B1838" t="str">
            <v>510-26034-007-0060</v>
          </cell>
          <cell r="J1838">
            <v>183970.46</v>
          </cell>
        </row>
        <row r="1839">
          <cell r="A1839" t="str">
            <v>CIVLA</v>
          </cell>
          <cell r="B1839" t="str">
            <v>510-26034-061-0000</v>
          </cell>
          <cell r="J1839">
            <v>-731</v>
          </cell>
        </row>
        <row r="1840">
          <cell r="A1840" t="str">
            <v>CIVLA</v>
          </cell>
          <cell r="B1840" t="str">
            <v>510-26035-000-0000</v>
          </cell>
          <cell r="J1840">
            <v>1186666.81</v>
          </cell>
        </row>
        <row r="1841">
          <cell r="A1841" t="str">
            <v>CIVLA</v>
          </cell>
          <cell r="B1841" t="str">
            <v>510-26035-001-0000</v>
          </cell>
          <cell r="J1841">
            <v>25820</v>
          </cell>
        </row>
        <row r="1842">
          <cell r="A1842" t="str">
            <v>CIVLA</v>
          </cell>
          <cell r="B1842" t="str">
            <v>510-26035-001-0001</v>
          </cell>
          <cell r="J1842">
            <v>19350</v>
          </cell>
        </row>
        <row r="1843">
          <cell r="A1843" t="str">
            <v>CIVLA</v>
          </cell>
          <cell r="B1843" t="str">
            <v>510-26035-001-0002</v>
          </cell>
          <cell r="J1843">
            <v>1621</v>
          </cell>
        </row>
        <row r="1844">
          <cell r="A1844" t="str">
            <v>CIVLA</v>
          </cell>
          <cell r="B1844" t="str">
            <v>510-26035-001-0005</v>
          </cell>
          <cell r="J1844">
            <v>424</v>
          </cell>
        </row>
        <row r="1845">
          <cell r="A1845" t="str">
            <v>CIVLA</v>
          </cell>
          <cell r="B1845" t="str">
            <v>510-26035-001-0006</v>
          </cell>
          <cell r="J1845">
            <v>424</v>
          </cell>
        </row>
        <row r="1846">
          <cell r="A1846" t="str">
            <v>CIVLA</v>
          </cell>
          <cell r="B1846" t="str">
            <v>510-26035-001-0011</v>
          </cell>
          <cell r="J1846">
            <v>4001</v>
          </cell>
        </row>
        <row r="1847">
          <cell r="A1847" t="str">
            <v>CIVLA</v>
          </cell>
          <cell r="B1847" t="str">
            <v>510-26035-002-0000</v>
          </cell>
          <cell r="J1847">
            <v>9181</v>
          </cell>
        </row>
        <row r="1848">
          <cell r="A1848" t="str">
            <v>CIVLA</v>
          </cell>
          <cell r="B1848" t="str">
            <v>510-26035-002-0001</v>
          </cell>
          <cell r="J1848">
            <v>2678</v>
          </cell>
        </row>
        <row r="1849">
          <cell r="A1849" t="str">
            <v>CIVLA</v>
          </cell>
          <cell r="B1849" t="str">
            <v>510-26035-002-0002</v>
          </cell>
          <cell r="J1849">
            <v>3452</v>
          </cell>
        </row>
        <row r="1850">
          <cell r="A1850" t="str">
            <v>CIVLA</v>
          </cell>
          <cell r="B1850" t="str">
            <v>510-26035-002-0003</v>
          </cell>
          <cell r="J1850">
            <v>2149</v>
          </cell>
        </row>
        <row r="1851">
          <cell r="A1851" t="str">
            <v>CIVLA</v>
          </cell>
          <cell r="B1851" t="str">
            <v>510-26035-002-0004</v>
          </cell>
          <cell r="J1851">
            <v>902</v>
          </cell>
        </row>
        <row r="1852">
          <cell r="A1852" t="str">
            <v>CIVLA</v>
          </cell>
          <cell r="B1852" t="str">
            <v>510-26035-003-0000</v>
          </cell>
          <cell r="J1852">
            <v>14</v>
          </cell>
        </row>
        <row r="1853">
          <cell r="A1853" t="str">
            <v>CIVLA</v>
          </cell>
          <cell r="B1853" t="str">
            <v>510-26035-007-0000</v>
          </cell>
          <cell r="J1853">
            <v>1152119.81</v>
          </cell>
        </row>
        <row r="1854">
          <cell r="A1854" t="str">
            <v>CIVLA</v>
          </cell>
          <cell r="B1854" t="str">
            <v>510-26035-007-0010</v>
          </cell>
          <cell r="J1854">
            <v>16157.26</v>
          </cell>
        </row>
        <row r="1855">
          <cell r="A1855" t="str">
            <v>CIVLA</v>
          </cell>
          <cell r="B1855" t="str">
            <v>510-26035-007-0020</v>
          </cell>
          <cell r="J1855">
            <v>681085.48</v>
          </cell>
        </row>
        <row r="1856">
          <cell r="A1856" t="str">
            <v>CIVLA</v>
          </cell>
          <cell r="B1856" t="str">
            <v>510-26035-007-0050</v>
          </cell>
          <cell r="J1856">
            <v>87231.48</v>
          </cell>
        </row>
        <row r="1857">
          <cell r="A1857" t="str">
            <v>CIVLA</v>
          </cell>
          <cell r="B1857" t="str">
            <v>510-26035-007-0060</v>
          </cell>
          <cell r="J1857">
            <v>367605.33</v>
          </cell>
        </row>
        <row r="1858">
          <cell r="A1858" t="str">
            <v>CIVLA</v>
          </cell>
          <cell r="B1858" t="str">
            <v>510-26035-007-0070</v>
          </cell>
          <cell r="J1858">
            <v>40.26</v>
          </cell>
        </row>
        <row r="1859">
          <cell r="A1859" t="str">
            <v>CIVLA</v>
          </cell>
          <cell r="B1859" t="str">
            <v>510-26035-061-0000</v>
          </cell>
          <cell r="J1859">
            <v>-468</v>
          </cell>
        </row>
        <row r="1860">
          <cell r="A1860" t="str">
            <v>CIVLA</v>
          </cell>
          <cell r="B1860" t="str">
            <v>510-26046-000-0000</v>
          </cell>
          <cell r="J1860">
            <v>2.0499999999999998</v>
          </cell>
        </row>
        <row r="1861">
          <cell r="A1861" t="str">
            <v>CIVLA</v>
          </cell>
          <cell r="B1861" t="str">
            <v>510-26046-003-0000</v>
          </cell>
          <cell r="J1861">
            <v>2.0499999999999998</v>
          </cell>
        </row>
        <row r="1862">
          <cell r="A1862" t="str">
            <v>CIVLA</v>
          </cell>
          <cell r="B1862" t="str">
            <v>510-26301-000-0000</v>
          </cell>
          <cell r="J1862">
            <v>381086.45</v>
          </cell>
        </row>
        <row r="1863">
          <cell r="A1863" t="str">
            <v>CIVLA</v>
          </cell>
          <cell r="B1863" t="str">
            <v>510-26301-007-0000</v>
          </cell>
          <cell r="J1863">
            <v>381086.45</v>
          </cell>
        </row>
        <row r="1864">
          <cell r="A1864" t="str">
            <v>CIVLA</v>
          </cell>
          <cell r="B1864" t="str">
            <v>510-26301-007-0020</v>
          </cell>
          <cell r="J1864">
            <v>256253.12</v>
          </cell>
        </row>
        <row r="1865">
          <cell r="A1865" t="str">
            <v>CIVLA</v>
          </cell>
          <cell r="B1865" t="str">
            <v>510-26301-007-0060</v>
          </cell>
          <cell r="J1865">
            <v>124833.33</v>
          </cell>
        </row>
        <row r="1866">
          <cell r="A1866" t="str">
            <v>CIVLA</v>
          </cell>
          <cell r="B1866" t="str">
            <v>510-26361-000-0000</v>
          </cell>
          <cell r="J1866">
            <v>1407141.83</v>
          </cell>
        </row>
        <row r="1867">
          <cell r="A1867" t="str">
            <v>CIVLA</v>
          </cell>
          <cell r="B1867" t="str">
            <v>510-26361-001-0000</v>
          </cell>
          <cell r="J1867">
            <v>16167.11</v>
          </cell>
        </row>
        <row r="1868">
          <cell r="A1868" t="str">
            <v>CIVLA</v>
          </cell>
          <cell r="B1868" t="str">
            <v>510-26361-001-0001</v>
          </cell>
          <cell r="J1868">
            <v>11283.33</v>
          </cell>
        </row>
        <row r="1869">
          <cell r="A1869" t="str">
            <v>CIVLA</v>
          </cell>
          <cell r="B1869" t="str">
            <v>510-26361-001-0002</v>
          </cell>
          <cell r="J1869">
            <v>1127.25</v>
          </cell>
        </row>
        <row r="1870">
          <cell r="A1870" t="str">
            <v>CIVLA</v>
          </cell>
          <cell r="B1870" t="str">
            <v>510-26361-001-0005</v>
          </cell>
          <cell r="J1870">
            <v>237.13</v>
          </cell>
        </row>
        <row r="1871">
          <cell r="A1871" t="str">
            <v>CIVLA</v>
          </cell>
          <cell r="B1871" t="str">
            <v>510-26361-001-0006</v>
          </cell>
          <cell r="J1871">
            <v>237.13</v>
          </cell>
        </row>
        <row r="1872">
          <cell r="A1872" t="str">
            <v>CIVLA</v>
          </cell>
          <cell r="B1872" t="str">
            <v>510-26361-001-0009</v>
          </cell>
          <cell r="J1872">
            <v>2508.2399999999998</v>
          </cell>
        </row>
        <row r="1873">
          <cell r="A1873" t="str">
            <v>CIVLA</v>
          </cell>
          <cell r="B1873" t="str">
            <v>510-26361-001-0011</v>
          </cell>
          <cell r="J1873">
            <v>774.03</v>
          </cell>
        </row>
        <row r="1874">
          <cell r="A1874" t="str">
            <v>CIVLA</v>
          </cell>
          <cell r="B1874" t="str">
            <v>510-26361-002-0000</v>
          </cell>
          <cell r="J1874">
            <v>2709.08</v>
          </cell>
        </row>
        <row r="1875">
          <cell r="A1875" t="str">
            <v>CIVLA</v>
          </cell>
          <cell r="B1875" t="str">
            <v>510-26361-002-0001</v>
          </cell>
          <cell r="J1875">
            <v>2247.29</v>
          </cell>
        </row>
        <row r="1876">
          <cell r="A1876" t="str">
            <v>CIVLA</v>
          </cell>
          <cell r="B1876" t="str">
            <v>510-26361-002-0004</v>
          </cell>
          <cell r="J1876">
            <v>461.79</v>
          </cell>
        </row>
        <row r="1877">
          <cell r="A1877" t="str">
            <v>CIVLA</v>
          </cell>
          <cell r="B1877" t="str">
            <v>510-26361-007-0000</v>
          </cell>
          <cell r="J1877">
            <v>1387870.63</v>
          </cell>
        </row>
        <row r="1878">
          <cell r="A1878" t="str">
            <v>CIVLA</v>
          </cell>
          <cell r="B1878" t="str">
            <v>510-26361-007-0020</v>
          </cell>
          <cell r="J1878">
            <v>973903.83</v>
          </cell>
        </row>
        <row r="1879">
          <cell r="A1879" t="str">
            <v>CIVLA</v>
          </cell>
          <cell r="B1879" t="str">
            <v>510-26361-007-0060</v>
          </cell>
          <cell r="J1879">
            <v>413966.8</v>
          </cell>
        </row>
        <row r="1880">
          <cell r="A1880" t="str">
            <v>CIVLA</v>
          </cell>
          <cell r="B1880" t="str">
            <v>510-26361-061-0000</v>
          </cell>
          <cell r="J1880">
            <v>395.01</v>
          </cell>
        </row>
        <row r="1881">
          <cell r="A1881" t="str">
            <v>CIVLA</v>
          </cell>
          <cell r="B1881" t="str">
            <v>510-26362-000-0000</v>
          </cell>
          <cell r="J1881">
            <v>57212.09</v>
          </cell>
        </row>
        <row r="1882">
          <cell r="A1882" t="str">
            <v>CIVLA</v>
          </cell>
          <cell r="B1882" t="str">
            <v>510-26362-001-0000</v>
          </cell>
          <cell r="J1882">
            <v>10289.91</v>
          </cell>
        </row>
        <row r="1883">
          <cell r="A1883" t="str">
            <v>CIVLA</v>
          </cell>
          <cell r="B1883" t="str">
            <v>510-26362-001-0001</v>
          </cell>
          <cell r="J1883">
            <v>7065.53</v>
          </cell>
        </row>
        <row r="1884">
          <cell r="A1884" t="str">
            <v>CIVLA</v>
          </cell>
          <cell r="B1884" t="str">
            <v>510-26362-001-0002</v>
          </cell>
          <cell r="J1884">
            <v>629.6</v>
          </cell>
        </row>
        <row r="1885">
          <cell r="A1885" t="str">
            <v>CIVLA</v>
          </cell>
          <cell r="B1885" t="str">
            <v>510-26362-001-0005</v>
          </cell>
          <cell r="J1885">
            <v>224.89</v>
          </cell>
        </row>
        <row r="1886">
          <cell r="A1886" t="str">
            <v>CIVLA</v>
          </cell>
          <cell r="B1886" t="str">
            <v>510-26362-001-0006</v>
          </cell>
          <cell r="J1886">
            <v>224.89</v>
          </cell>
        </row>
        <row r="1887">
          <cell r="A1887" t="str">
            <v>CIVLA</v>
          </cell>
          <cell r="B1887" t="str">
            <v>510-26362-001-0011</v>
          </cell>
          <cell r="J1887">
            <v>2145</v>
          </cell>
        </row>
        <row r="1888">
          <cell r="A1888" t="str">
            <v>CIVLA</v>
          </cell>
          <cell r="B1888" t="str">
            <v>510-26362-002-0000</v>
          </cell>
          <cell r="J1888">
            <v>1234.06</v>
          </cell>
        </row>
        <row r="1889">
          <cell r="A1889" t="str">
            <v>CIVLA</v>
          </cell>
          <cell r="B1889" t="str">
            <v>510-26362-002-0001</v>
          </cell>
          <cell r="J1889">
            <v>989.71</v>
          </cell>
        </row>
        <row r="1890">
          <cell r="A1890" t="str">
            <v>CIVLA</v>
          </cell>
          <cell r="B1890" t="str">
            <v>510-26362-002-0004</v>
          </cell>
          <cell r="J1890">
            <v>244.35</v>
          </cell>
        </row>
        <row r="1891">
          <cell r="A1891" t="str">
            <v>CIVLA</v>
          </cell>
          <cell r="B1891" t="str">
            <v>510-26362-007-0000</v>
          </cell>
          <cell r="J1891">
            <v>46325.43</v>
          </cell>
        </row>
        <row r="1892">
          <cell r="A1892" t="str">
            <v>CIVLA</v>
          </cell>
          <cell r="B1892" t="str">
            <v>510-26362-007-0030</v>
          </cell>
          <cell r="J1892">
            <v>46233.440000000002</v>
          </cell>
        </row>
        <row r="1893">
          <cell r="A1893" t="str">
            <v>CIVLA</v>
          </cell>
          <cell r="B1893" t="str">
            <v>510-26362-007-0060</v>
          </cell>
          <cell r="J1893">
            <v>91.99</v>
          </cell>
        </row>
        <row r="1894">
          <cell r="A1894" t="str">
            <v>CIVLA</v>
          </cell>
          <cell r="B1894" t="str">
            <v>510-26362-061-0000</v>
          </cell>
          <cell r="J1894">
            <v>-637.30999999999995</v>
          </cell>
        </row>
        <row r="1895">
          <cell r="A1895" t="str">
            <v>CIVLA</v>
          </cell>
          <cell r="B1895" t="str">
            <v>510-26363-000-0000</v>
          </cell>
          <cell r="J1895">
            <v>438627.59</v>
          </cell>
        </row>
        <row r="1896">
          <cell r="A1896" t="str">
            <v>CIVLA</v>
          </cell>
          <cell r="B1896" t="str">
            <v>510-26363-001-0000</v>
          </cell>
          <cell r="J1896">
            <v>2789</v>
          </cell>
        </row>
        <row r="1897">
          <cell r="A1897" t="str">
            <v>CIVLA</v>
          </cell>
          <cell r="B1897" t="str">
            <v>510-26363-001-0001</v>
          </cell>
          <cell r="J1897">
            <v>2236</v>
          </cell>
        </row>
        <row r="1898">
          <cell r="A1898" t="str">
            <v>CIVLA</v>
          </cell>
          <cell r="B1898" t="str">
            <v>510-26363-001-0002</v>
          </cell>
          <cell r="J1898">
            <v>205</v>
          </cell>
        </row>
        <row r="1899">
          <cell r="A1899" t="str">
            <v>CIVLA</v>
          </cell>
          <cell r="B1899" t="str">
            <v>510-26363-001-0005</v>
          </cell>
          <cell r="J1899">
            <v>80</v>
          </cell>
        </row>
        <row r="1900">
          <cell r="A1900" t="str">
            <v>CIVLA</v>
          </cell>
          <cell r="B1900" t="str">
            <v>510-26363-001-0006</v>
          </cell>
          <cell r="J1900">
            <v>80</v>
          </cell>
        </row>
        <row r="1901">
          <cell r="A1901" t="str">
            <v>CIVLA</v>
          </cell>
          <cell r="B1901" t="str">
            <v>510-26363-001-0011</v>
          </cell>
          <cell r="J1901">
            <v>188</v>
          </cell>
        </row>
        <row r="1902">
          <cell r="A1902" t="str">
            <v>CIVLA</v>
          </cell>
          <cell r="B1902" t="str">
            <v>510-26363-002-0000</v>
          </cell>
          <cell r="J1902">
            <v>1079</v>
          </cell>
        </row>
        <row r="1903">
          <cell r="A1903" t="str">
            <v>CIVLA</v>
          </cell>
          <cell r="B1903" t="str">
            <v>510-26363-002-0001</v>
          </cell>
          <cell r="J1903">
            <v>304</v>
          </cell>
        </row>
        <row r="1904">
          <cell r="A1904" t="str">
            <v>CIVLA</v>
          </cell>
          <cell r="B1904" t="str">
            <v>510-26363-002-0002</v>
          </cell>
          <cell r="J1904">
            <v>418</v>
          </cell>
        </row>
        <row r="1905">
          <cell r="A1905" t="str">
            <v>CIVLA</v>
          </cell>
          <cell r="B1905" t="str">
            <v>510-26363-002-0003</v>
          </cell>
          <cell r="J1905">
            <v>257</v>
          </cell>
        </row>
        <row r="1906">
          <cell r="A1906" t="str">
            <v>CIVLA</v>
          </cell>
          <cell r="B1906" t="str">
            <v>510-26363-002-0004</v>
          </cell>
          <cell r="J1906">
            <v>100</v>
          </cell>
        </row>
        <row r="1907">
          <cell r="A1907" t="str">
            <v>CIVLA</v>
          </cell>
          <cell r="B1907" t="str">
            <v>510-26363-007-0000</v>
          </cell>
          <cell r="J1907">
            <v>434555.59</v>
          </cell>
        </row>
        <row r="1908">
          <cell r="A1908" t="str">
            <v>CIVLA</v>
          </cell>
          <cell r="B1908" t="str">
            <v>510-26363-007-0010</v>
          </cell>
          <cell r="J1908">
            <v>334243.07</v>
          </cell>
        </row>
        <row r="1909">
          <cell r="A1909" t="str">
            <v>CIVLA</v>
          </cell>
          <cell r="B1909" t="str">
            <v>510-26363-007-0030</v>
          </cell>
          <cell r="J1909">
            <v>1592.56</v>
          </cell>
        </row>
        <row r="1910">
          <cell r="A1910" t="str">
            <v>CIVLA</v>
          </cell>
          <cell r="B1910" t="str">
            <v>510-26363-007-0060</v>
          </cell>
          <cell r="J1910">
            <v>98719.96</v>
          </cell>
        </row>
        <row r="1911">
          <cell r="A1911" t="str">
            <v>CIVLA</v>
          </cell>
          <cell r="B1911" t="str">
            <v>510-26363-061-0000</v>
          </cell>
          <cell r="J1911">
            <v>204</v>
          </cell>
        </row>
        <row r="1912">
          <cell r="A1912" t="str">
            <v>CIVLA</v>
          </cell>
          <cell r="B1912" t="str">
            <v>510-26401-000-0000</v>
          </cell>
          <cell r="J1912">
            <v>23080.58</v>
          </cell>
        </row>
        <row r="1913">
          <cell r="A1913" t="str">
            <v>CIVLA</v>
          </cell>
          <cell r="B1913" t="str">
            <v>510-26401-007-0000</v>
          </cell>
          <cell r="J1913">
            <v>23080.58</v>
          </cell>
        </row>
        <row r="1914">
          <cell r="A1914" t="str">
            <v>CIVLA</v>
          </cell>
          <cell r="B1914" t="str">
            <v>510-26401-007-0020</v>
          </cell>
          <cell r="J1914">
            <v>20914.349999999999</v>
          </cell>
        </row>
        <row r="1915">
          <cell r="A1915" t="str">
            <v>CIVLA</v>
          </cell>
          <cell r="B1915" t="str">
            <v>510-26401-007-0060</v>
          </cell>
          <cell r="J1915">
            <v>2166.23</v>
          </cell>
        </row>
        <row r="1916">
          <cell r="A1916" t="str">
            <v>CIVLA</v>
          </cell>
          <cell r="B1916" t="str">
            <v>510-26402-000-0000</v>
          </cell>
          <cell r="J1916">
            <v>6809.65</v>
          </cell>
        </row>
        <row r="1917">
          <cell r="A1917" t="str">
            <v>CIVLA</v>
          </cell>
          <cell r="B1917" t="str">
            <v>510-26402-001-0000</v>
          </cell>
          <cell r="J1917">
            <v>2986</v>
          </cell>
        </row>
        <row r="1918">
          <cell r="A1918" t="str">
            <v>CIVLA</v>
          </cell>
          <cell r="B1918" t="str">
            <v>510-26402-001-0011</v>
          </cell>
          <cell r="J1918">
            <v>2986</v>
          </cell>
        </row>
        <row r="1919">
          <cell r="A1919" t="str">
            <v>CIVLA</v>
          </cell>
          <cell r="B1919" t="str">
            <v>510-26402-003-0000</v>
          </cell>
          <cell r="J1919">
            <v>400.14</v>
          </cell>
        </row>
        <row r="1920">
          <cell r="A1920" t="str">
            <v>CIVLA</v>
          </cell>
          <cell r="B1920" t="str">
            <v>510-26402-007-0000</v>
          </cell>
          <cell r="J1920">
            <v>3423.51</v>
          </cell>
        </row>
        <row r="1921">
          <cell r="A1921" t="str">
            <v>CIVLA</v>
          </cell>
          <cell r="B1921" t="str">
            <v>510-26402-007-0010</v>
          </cell>
          <cell r="J1921">
            <v>1032.7</v>
          </cell>
        </row>
        <row r="1922">
          <cell r="A1922" t="str">
            <v>CIVLA</v>
          </cell>
          <cell r="B1922" t="str">
            <v>510-26402-007-0030</v>
          </cell>
          <cell r="J1922">
            <v>2369.33</v>
          </cell>
        </row>
        <row r="1923">
          <cell r="A1923" t="str">
            <v>CIVLA</v>
          </cell>
          <cell r="B1923" t="str">
            <v>510-26402-007-0060</v>
          </cell>
          <cell r="J1923">
            <v>21.48</v>
          </cell>
        </row>
        <row r="1924">
          <cell r="A1924" t="str">
            <v>CIVLA</v>
          </cell>
          <cell r="B1924" t="str">
            <v>510-26403-000-0000</v>
          </cell>
          <cell r="J1924">
            <v>5698.15</v>
          </cell>
        </row>
        <row r="1925">
          <cell r="A1925" t="str">
            <v>CIVLA</v>
          </cell>
          <cell r="B1925" t="str">
            <v>510-26403-007-0000</v>
          </cell>
          <cell r="J1925">
            <v>5698.15</v>
          </cell>
        </row>
        <row r="1926">
          <cell r="A1926" t="str">
            <v>CIVLA</v>
          </cell>
          <cell r="B1926" t="str">
            <v>510-26403-007-0020</v>
          </cell>
          <cell r="J1926">
            <v>5156.2299999999996</v>
          </cell>
        </row>
        <row r="1927">
          <cell r="A1927" t="str">
            <v>CIVLA</v>
          </cell>
          <cell r="B1927" t="str">
            <v>510-26403-007-0060</v>
          </cell>
          <cell r="J1927">
            <v>541.91999999999996</v>
          </cell>
        </row>
        <row r="1928">
          <cell r="A1928" t="str">
            <v>CIVLA</v>
          </cell>
          <cell r="B1928" t="str">
            <v>510-26404-000-0000</v>
          </cell>
          <cell r="J1928">
            <v>582.94000000000005</v>
          </cell>
        </row>
        <row r="1929">
          <cell r="A1929" t="str">
            <v>CIVLA</v>
          </cell>
          <cell r="B1929" t="str">
            <v>510-26404-007-0000</v>
          </cell>
          <cell r="J1929">
            <v>582.94000000000005</v>
          </cell>
        </row>
        <row r="1930">
          <cell r="A1930" t="str">
            <v>CIVLA</v>
          </cell>
          <cell r="B1930" t="str">
            <v>510-26404-007-0010</v>
          </cell>
          <cell r="J1930">
            <v>490.62</v>
          </cell>
        </row>
        <row r="1931">
          <cell r="A1931" t="str">
            <v>CIVLA</v>
          </cell>
          <cell r="B1931" t="str">
            <v>510-26404-007-0020</v>
          </cell>
          <cell r="J1931">
            <v>0.59</v>
          </cell>
        </row>
        <row r="1932">
          <cell r="A1932" t="str">
            <v>CIVLA</v>
          </cell>
          <cell r="B1932" t="str">
            <v>510-26404-007-0060</v>
          </cell>
          <cell r="J1932">
            <v>91.73</v>
          </cell>
        </row>
        <row r="1933">
          <cell r="A1933" t="str">
            <v>CIVLA</v>
          </cell>
          <cell r="B1933" t="str">
            <v>510-26405-000-0000</v>
          </cell>
          <cell r="J1933">
            <v>2914.67</v>
          </cell>
        </row>
        <row r="1934">
          <cell r="A1934" t="str">
            <v>CIVLA</v>
          </cell>
          <cell r="B1934" t="str">
            <v>510-26405-007-0000</v>
          </cell>
          <cell r="J1934">
            <v>2914.67</v>
          </cell>
        </row>
        <row r="1935">
          <cell r="A1935" t="str">
            <v>CIVLA</v>
          </cell>
          <cell r="B1935" t="str">
            <v>510-26405-007-0010</v>
          </cell>
          <cell r="J1935">
            <v>2453.1</v>
          </cell>
        </row>
        <row r="1936">
          <cell r="A1936" t="str">
            <v>CIVLA</v>
          </cell>
          <cell r="B1936" t="str">
            <v>510-26405-007-0020</v>
          </cell>
          <cell r="J1936">
            <v>2.93</v>
          </cell>
        </row>
        <row r="1937">
          <cell r="A1937" t="str">
            <v>CIVLA</v>
          </cell>
          <cell r="B1937" t="str">
            <v>510-26405-007-0060</v>
          </cell>
          <cell r="J1937">
            <v>458.64</v>
          </cell>
        </row>
        <row r="1938">
          <cell r="A1938" t="str">
            <v>CIVLA</v>
          </cell>
          <cell r="B1938" t="str">
            <v>510-26406-000-0000</v>
          </cell>
          <cell r="J1938">
            <v>4436.47</v>
          </cell>
        </row>
        <row r="1939">
          <cell r="A1939" t="str">
            <v>CIVLA</v>
          </cell>
          <cell r="B1939" t="str">
            <v>510-26406-007-0000</v>
          </cell>
          <cell r="J1939">
            <v>4436.47</v>
          </cell>
        </row>
        <row r="1940">
          <cell r="A1940" t="str">
            <v>CIVLA</v>
          </cell>
          <cell r="B1940" t="str">
            <v>510-26406-007-0020</v>
          </cell>
          <cell r="J1940">
            <v>4057.12</v>
          </cell>
        </row>
        <row r="1941">
          <cell r="A1941" t="str">
            <v>CIVLA</v>
          </cell>
          <cell r="B1941" t="str">
            <v>510-26406-007-0060</v>
          </cell>
          <cell r="J1941">
            <v>379.35</v>
          </cell>
        </row>
        <row r="1942">
          <cell r="A1942" t="str">
            <v>CIVLA</v>
          </cell>
          <cell r="B1942" t="str">
            <v>510-26407-000-0000</v>
          </cell>
          <cell r="J1942">
            <v>10976.23</v>
          </cell>
        </row>
        <row r="1943">
          <cell r="A1943" t="str">
            <v>CIVLA</v>
          </cell>
          <cell r="B1943" t="str">
            <v>510-26407-001-0000</v>
          </cell>
          <cell r="J1943">
            <v>228</v>
          </cell>
        </row>
        <row r="1944">
          <cell r="A1944" t="str">
            <v>CIVLA</v>
          </cell>
          <cell r="B1944" t="str">
            <v>510-26407-001-0011</v>
          </cell>
          <cell r="J1944">
            <v>228</v>
          </cell>
        </row>
        <row r="1945">
          <cell r="A1945" t="str">
            <v>CIVLA</v>
          </cell>
          <cell r="B1945" t="str">
            <v>510-26407-007-0000</v>
          </cell>
          <cell r="J1945">
            <v>10748.23</v>
          </cell>
        </row>
        <row r="1946">
          <cell r="A1946" t="str">
            <v>CIVLA</v>
          </cell>
          <cell r="B1946" t="str">
            <v>510-26407-007-0020</v>
          </cell>
          <cell r="J1946">
            <v>9664.39</v>
          </cell>
        </row>
        <row r="1947">
          <cell r="A1947" t="str">
            <v>CIVLA</v>
          </cell>
          <cell r="B1947" t="str">
            <v>510-26407-007-0060</v>
          </cell>
          <cell r="J1947">
            <v>1083.8399999999999</v>
          </cell>
        </row>
        <row r="1948">
          <cell r="A1948" t="str">
            <v>CIVLA</v>
          </cell>
          <cell r="B1948" t="str">
            <v>510-26408-000-0000</v>
          </cell>
          <cell r="J1948">
            <v>15495.67</v>
          </cell>
        </row>
        <row r="1949">
          <cell r="A1949" t="str">
            <v>CIVLA</v>
          </cell>
          <cell r="B1949" t="str">
            <v>510-26408-001-0000</v>
          </cell>
          <cell r="J1949">
            <v>461</v>
          </cell>
        </row>
        <row r="1950">
          <cell r="A1950" t="str">
            <v>CIVLA</v>
          </cell>
          <cell r="B1950" t="str">
            <v>510-26408-001-0011</v>
          </cell>
          <cell r="J1950">
            <v>461</v>
          </cell>
        </row>
        <row r="1951">
          <cell r="A1951" t="str">
            <v>CIVLA</v>
          </cell>
          <cell r="B1951" t="str">
            <v>510-26408-003-0000</v>
          </cell>
          <cell r="J1951">
            <v>195.96</v>
          </cell>
        </row>
        <row r="1952">
          <cell r="A1952" t="str">
            <v>CIVLA</v>
          </cell>
          <cell r="B1952" t="str">
            <v>510-26408-007-0000</v>
          </cell>
          <cell r="J1952">
            <v>14838.71</v>
          </cell>
        </row>
        <row r="1953">
          <cell r="A1953" t="str">
            <v>CIVLA</v>
          </cell>
          <cell r="B1953" t="str">
            <v>510-26408-007-0020</v>
          </cell>
          <cell r="J1953">
            <v>13592.29</v>
          </cell>
        </row>
        <row r="1954">
          <cell r="A1954" t="str">
            <v>CIVLA</v>
          </cell>
          <cell r="B1954" t="str">
            <v>510-26408-007-0060</v>
          </cell>
          <cell r="J1954">
            <v>1246.42</v>
          </cell>
        </row>
        <row r="1955">
          <cell r="A1955" t="str">
            <v>CIVLA</v>
          </cell>
          <cell r="B1955" t="str">
            <v>510-26409-000-0000</v>
          </cell>
          <cell r="J1955">
            <v>17729.91</v>
          </cell>
        </row>
        <row r="1956">
          <cell r="A1956" t="str">
            <v>CIVLA</v>
          </cell>
          <cell r="B1956" t="str">
            <v>510-26409-007-0000</v>
          </cell>
          <cell r="J1956">
            <v>17729.91</v>
          </cell>
        </row>
        <row r="1957">
          <cell r="A1957" t="str">
            <v>CIVLA</v>
          </cell>
          <cell r="B1957" t="str">
            <v>510-26409-007-0020</v>
          </cell>
          <cell r="J1957">
            <v>16104.14</v>
          </cell>
        </row>
        <row r="1958">
          <cell r="A1958" t="str">
            <v>CIVLA</v>
          </cell>
          <cell r="B1958" t="str">
            <v>510-26409-007-0060</v>
          </cell>
          <cell r="J1958">
            <v>1625.77</v>
          </cell>
        </row>
        <row r="1959">
          <cell r="A1959" t="str">
            <v>CIVLA</v>
          </cell>
          <cell r="B1959" t="str">
            <v>510-26410-000-0000</v>
          </cell>
          <cell r="J1959">
            <v>9510.91</v>
          </cell>
        </row>
        <row r="1960">
          <cell r="A1960" t="str">
            <v>CIVLA</v>
          </cell>
          <cell r="B1960" t="str">
            <v>510-26410-007-0000</v>
          </cell>
          <cell r="J1960">
            <v>9510.91</v>
          </cell>
        </row>
        <row r="1961">
          <cell r="A1961" t="str">
            <v>CIVLA</v>
          </cell>
          <cell r="B1961" t="str">
            <v>510-26410-007-0020</v>
          </cell>
          <cell r="J1961">
            <v>8698.0300000000007</v>
          </cell>
        </row>
        <row r="1962">
          <cell r="A1962" t="str">
            <v>CIVLA</v>
          </cell>
          <cell r="B1962" t="str">
            <v>510-26410-007-0060</v>
          </cell>
          <cell r="J1962">
            <v>812.88</v>
          </cell>
        </row>
        <row r="1963">
          <cell r="A1963" t="str">
            <v>CIVLA</v>
          </cell>
          <cell r="B1963" t="str">
            <v>510-26411-000-0000</v>
          </cell>
          <cell r="J1963">
            <v>6337.81</v>
          </cell>
        </row>
        <row r="1964">
          <cell r="A1964" t="str">
            <v>CIVLA</v>
          </cell>
          <cell r="B1964" t="str">
            <v>510-26411-007-0000</v>
          </cell>
          <cell r="J1964">
            <v>6337.81</v>
          </cell>
        </row>
        <row r="1965">
          <cell r="A1965" t="str">
            <v>CIVLA</v>
          </cell>
          <cell r="B1965" t="str">
            <v>510-26411-007-0020</v>
          </cell>
          <cell r="J1965">
            <v>5795.89</v>
          </cell>
        </row>
        <row r="1966">
          <cell r="A1966" t="str">
            <v>CIVLA</v>
          </cell>
          <cell r="B1966" t="str">
            <v>510-26411-007-0060</v>
          </cell>
          <cell r="J1966">
            <v>541.91999999999996</v>
          </cell>
        </row>
        <row r="1967">
          <cell r="A1967" t="str">
            <v>CIVLA</v>
          </cell>
          <cell r="B1967" t="str">
            <v>510-26412-000-0000</v>
          </cell>
          <cell r="J1967">
            <v>3173.11</v>
          </cell>
        </row>
        <row r="1968">
          <cell r="A1968" t="str">
            <v>CIVLA</v>
          </cell>
          <cell r="B1968" t="str">
            <v>510-26412-007-0000</v>
          </cell>
          <cell r="J1968">
            <v>3173.11</v>
          </cell>
        </row>
        <row r="1969">
          <cell r="A1969" t="str">
            <v>CIVLA</v>
          </cell>
          <cell r="B1969" t="str">
            <v>510-26412-007-0020</v>
          </cell>
          <cell r="J1969">
            <v>2902.15</v>
          </cell>
        </row>
        <row r="1970">
          <cell r="A1970" t="str">
            <v>CIVLA</v>
          </cell>
          <cell r="B1970" t="str">
            <v>510-26412-007-0060</v>
          </cell>
          <cell r="J1970">
            <v>270.95999999999998</v>
          </cell>
        </row>
        <row r="1971">
          <cell r="A1971" t="str">
            <v>CIVLA</v>
          </cell>
          <cell r="B1971" t="str">
            <v>510-26413-000-0000</v>
          </cell>
          <cell r="J1971">
            <v>3173.11</v>
          </cell>
        </row>
        <row r="1972">
          <cell r="A1972" t="str">
            <v>CIVLA</v>
          </cell>
          <cell r="B1972" t="str">
            <v>510-26413-007-0000</v>
          </cell>
          <cell r="J1972">
            <v>3173.11</v>
          </cell>
        </row>
        <row r="1973">
          <cell r="A1973" t="str">
            <v>CIVLA</v>
          </cell>
          <cell r="B1973" t="str">
            <v>510-26413-007-0020</v>
          </cell>
          <cell r="J1973">
            <v>2902.15</v>
          </cell>
        </row>
        <row r="1974">
          <cell r="A1974" t="str">
            <v>CIVLA</v>
          </cell>
          <cell r="B1974" t="str">
            <v>510-26413-007-0060</v>
          </cell>
          <cell r="J1974">
            <v>270.95999999999998</v>
          </cell>
        </row>
        <row r="1975">
          <cell r="A1975" t="str">
            <v>CIVLA</v>
          </cell>
          <cell r="B1975" t="str">
            <v>510-26414-000-0000</v>
          </cell>
          <cell r="J1975">
            <v>1308.79</v>
          </cell>
        </row>
        <row r="1976">
          <cell r="A1976" t="str">
            <v>CIVLA</v>
          </cell>
          <cell r="B1976" t="str">
            <v>510-26414-007-0000</v>
          </cell>
          <cell r="J1976">
            <v>1308.79</v>
          </cell>
        </row>
        <row r="1977">
          <cell r="A1977" t="str">
            <v>CIVLA</v>
          </cell>
          <cell r="B1977" t="str">
            <v>510-26414-007-0020</v>
          </cell>
          <cell r="J1977">
            <v>1200.4100000000001</v>
          </cell>
        </row>
        <row r="1978">
          <cell r="A1978" t="str">
            <v>CIVLA</v>
          </cell>
          <cell r="B1978" t="str">
            <v>510-26414-007-0060</v>
          </cell>
          <cell r="J1978">
            <v>108.38</v>
          </cell>
        </row>
        <row r="1979">
          <cell r="A1979" t="str">
            <v>CIVLA</v>
          </cell>
          <cell r="B1979" t="str">
            <v>510-26415-000-0000</v>
          </cell>
          <cell r="J1979">
            <v>5965.78</v>
          </cell>
        </row>
        <row r="1980">
          <cell r="A1980" t="str">
            <v>CIVLA</v>
          </cell>
          <cell r="B1980" t="str">
            <v>510-26415-007-0000</v>
          </cell>
          <cell r="J1980">
            <v>5965.78</v>
          </cell>
        </row>
        <row r="1981">
          <cell r="A1981" t="str">
            <v>CIVLA</v>
          </cell>
          <cell r="B1981" t="str">
            <v>510-26415-007-0020</v>
          </cell>
          <cell r="J1981">
            <v>5478.05</v>
          </cell>
        </row>
        <row r="1982">
          <cell r="A1982" t="str">
            <v>CIVLA</v>
          </cell>
          <cell r="B1982" t="str">
            <v>510-26415-007-0060</v>
          </cell>
          <cell r="J1982">
            <v>487.73</v>
          </cell>
        </row>
        <row r="1983">
          <cell r="A1983" t="str">
            <v>CIVLA</v>
          </cell>
          <cell r="B1983" t="str">
            <v>510-26416-000-0000</v>
          </cell>
          <cell r="J1983">
            <v>16086.11</v>
          </cell>
        </row>
        <row r="1984">
          <cell r="A1984" t="str">
            <v>CIVLA</v>
          </cell>
          <cell r="B1984" t="str">
            <v>510-26416-007-0000</v>
          </cell>
          <cell r="J1984">
            <v>16086.11</v>
          </cell>
        </row>
        <row r="1985">
          <cell r="A1985" t="str">
            <v>CIVLA</v>
          </cell>
          <cell r="B1985" t="str">
            <v>510-26416-007-0020</v>
          </cell>
          <cell r="J1985">
            <v>14622.92</v>
          </cell>
        </row>
        <row r="1986">
          <cell r="A1986" t="str">
            <v>CIVLA</v>
          </cell>
          <cell r="B1986" t="str">
            <v>510-26416-007-0060</v>
          </cell>
          <cell r="J1986">
            <v>1463.19</v>
          </cell>
        </row>
        <row r="1987">
          <cell r="A1987" t="str">
            <v>CIVLA</v>
          </cell>
          <cell r="B1987" t="str">
            <v>510-26417-000-0000</v>
          </cell>
          <cell r="J1987">
            <v>3678.11</v>
          </cell>
        </row>
        <row r="1988">
          <cell r="A1988" t="str">
            <v>CIVLA</v>
          </cell>
          <cell r="B1988" t="str">
            <v>510-26417-007-0000</v>
          </cell>
          <cell r="J1988">
            <v>3678.11</v>
          </cell>
        </row>
        <row r="1989">
          <cell r="A1989" t="str">
            <v>CIVLA</v>
          </cell>
          <cell r="B1989" t="str">
            <v>510-26417-007-0020</v>
          </cell>
          <cell r="J1989">
            <v>3352.96</v>
          </cell>
        </row>
        <row r="1990">
          <cell r="A1990" t="str">
            <v>CIVLA</v>
          </cell>
          <cell r="B1990" t="str">
            <v>510-26417-007-0060</v>
          </cell>
          <cell r="J1990">
            <v>325.14999999999998</v>
          </cell>
        </row>
        <row r="1991">
          <cell r="A1991" t="str">
            <v>CIVLA</v>
          </cell>
          <cell r="B1991" t="str">
            <v>510-26418-000-0000</v>
          </cell>
          <cell r="J1991">
            <v>27386.63</v>
          </cell>
        </row>
        <row r="1992">
          <cell r="A1992" t="str">
            <v>CIVLA</v>
          </cell>
          <cell r="B1992" t="str">
            <v>510-26418-001-0000</v>
          </cell>
          <cell r="J1992">
            <v>2135.5700000000002</v>
          </cell>
        </row>
        <row r="1993">
          <cell r="A1993" t="str">
            <v>CIVLA</v>
          </cell>
          <cell r="B1993" t="str">
            <v>510-26418-001-0001</v>
          </cell>
          <cell r="J1993">
            <v>1802.06</v>
          </cell>
        </row>
        <row r="1994">
          <cell r="A1994" t="str">
            <v>CIVLA</v>
          </cell>
          <cell r="B1994" t="str">
            <v>510-26418-001-0002</v>
          </cell>
          <cell r="J1994">
            <v>189.33</v>
          </cell>
        </row>
        <row r="1995">
          <cell r="A1995" t="str">
            <v>CIVLA</v>
          </cell>
          <cell r="B1995" t="str">
            <v>510-26418-001-0005</v>
          </cell>
          <cell r="J1995">
            <v>72.09</v>
          </cell>
        </row>
        <row r="1996">
          <cell r="A1996" t="str">
            <v>CIVLA</v>
          </cell>
          <cell r="B1996" t="str">
            <v>510-26418-001-0006</v>
          </cell>
          <cell r="J1996">
            <v>72.09</v>
          </cell>
        </row>
        <row r="1997">
          <cell r="A1997" t="str">
            <v>CIVLA</v>
          </cell>
          <cell r="B1997" t="str">
            <v>510-26418-002-0000</v>
          </cell>
          <cell r="J1997">
            <v>597.4</v>
          </cell>
        </row>
        <row r="1998">
          <cell r="A1998" t="str">
            <v>CIVLA</v>
          </cell>
          <cell r="B1998" t="str">
            <v>510-26418-002-0001</v>
          </cell>
          <cell r="J1998">
            <v>168.34</v>
          </cell>
        </row>
        <row r="1999">
          <cell r="A1999" t="str">
            <v>CIVLA</v>
          </cell>
          <cell r="B1999" t="str">
            <v>510-26418-002-0002</v>
          </cell>
          <cell r="J1999">
            <v>224.89</v>
          </cell>
        </row>
        <row r="2000">
          <cell r="A2000" t="str">
            <v>CIVLA</v>
          </cell>
          <cell r="B2000" t="str">
            <v>510-26418-002-0003</v>
          </cell>
          <cell r="J2000">
            <v>140.1</v>
          </cell>
        </row>
        <row r="2001">
          <cell r="A2001" t="str">
            <v>CIVLA</v>
          </cell>
          <cell r="B2001" t="str">
            <v>510-26418-002-0004</v>
          </cell>
          <cell r="J2001">
            <v>64.069999999999993</v>
          </cell>
        </row>
        <row r="2002">
          <cell r="A2002" t="str">
            <v>CIVLA</v>
          </cell>
          <cell r="B2002" t="str">
            <v>510-26418-007-0000</v>
          </cell>
          <cell r="J2002">
            <v>24716.81</v>
          </cell>
        </row>
        <row r="2003">
          <cell r="A2003" t="str">
            <v>CIVLA</v>
          </cell>
          <cell r="B2003" t="str">
            <v>510-26418-007-0020</v>
          </cell>
          <cell r="J2003">
            <v>22543.89</v>
          </cell>
        </row>
        <row r="2004">
          <cell r="A2004" t="str">
            <v>CIVLA</v>
          </cell>
          <cell r="B2004" t="str">
            <v>510-26418-007-0060</v>
          </cell>
          <cell r="J2004">
            <v>2172.92</v>
          </cell>
        </row>
        <row r="2005">
          <cell r="A2005" t="str">
            <v>CIVLA</v>
          </cell>
          <cell r="B2005" t="str">
            <v>510-26418-061-0000</v>
          </cell>
          <cell r="J2005">
            <v>-63.15</v>
          </cell>
        </row>
        <row r="2006">
          <cell r="A2006" t="str">
            <v>CIVLA</v>
          </cell>
          <cell r="B2006" t="str">
            <v>510-26419-000-0000</v>
          </cell>
          <cell r="J2006">
            <v>12015.37</v>
          </cell>
        </row>
        <row r="2007">
          <cell r="A2007" t="str">
            <v>CIVLA</v>
          </cell>
          <cell r="B2007" t="str">
            <v>510-26419-001-0000</v>
          </cell>
          <cell r="J2007">
            <v>4138.47</v>
          </cell>
        </row>
        <row r="2008">
          <cell r="A2008" t="str">
            <v>CIVLA</v>
          </cell>
          <cell r="B2008" t="str">
            <v>510-26419-001-0001</v>
          </cell>
          <cell r="J2008">
            <v>3604.22</v>
          </cell>
        </row>
        <row r="2009">
          <cell r="A2009" t="str">
            <v>CIVLA</v>
          </cell>
          <cell r="B2009" t="str">
            <v>510-26419-001-0002</v>
          </cell>
          <cell r="J2009">
            <v>356.69</v>
          </cell>
        </row>
        <row r="2010">
          <cell r="A2010" t="str">
            <v>CIVLA</v>
          </cell>
          <cell r="B2010" t="str">
            <v>510-26419-001-0005</v>
          </cell>
          <cell r="J2010">
            <v>88.78</v>
          </cell>
        </row>
        <row r="2011">
          <cell r="A2011" t="str">
            <v>CIVLA</v>
          </cell>
          <cell r="B2011" t="str">
            <v>510-26419-001-0006</v>
          </cell>
          <cell r="J2011">
            <v>88.78</v>
          </cell>
        </row>
        <row r="2012">
          <cell r="A2012" t="str">
            <v>CIVLA</v>
          </cell>
          <cell r="B2012" t="str">
            <v>510-26419-002-0000</v>
          </cell>
          <cell r="J2012">
            <v>1220.2</v>
          </cell>
        </row>
        <row r="2013">
          <cell r="A2013" t="str">
            <v>CIVLA</v>
          </cell>
          <cell r="B2013" t="str">
            <v>510-26419-002-0001</v>
          </cell>
          <cell r="J2013">
            <v>346.66</v>
          </cell>
        </row>
        <row r="2014">
          <cell r="A2014" t="str">
            <v>CIVLA</v>
          </cell>
          <cell r="B2014" t="str">
            <v>510-26419-002-0002</v>
          </cell>
          <cell r="J2014">
            <v>460.86</v>
          </cell>
        </row>
        <row r="2015">
          <cell r="A2015" t="str">
            <v>CIVLA</v>
          </cell>
          <cell r="B2015" t="str">
            <v>510-26419-002-0003</v>
          </cell>
          <cell r="J2015">
            <v>287.10000000000002</v>
          </cell>
        </row>
        <row r="2016">
          <cell r="A2016" t="str">
            <v>CIVLA</v>
          </cell>
          <cell r="B2016" t="str">
            <v>510-26419-002-0004</v>
          </cell>
          <cell r="J2016">
            <v>125.58</v>
          </cell>
        </row>
        <row r="2017">
          <cell r="A2017" t="str">
            <v>CIVLA</v>
          </cell>
          <cell r="B2017" t="str">
            <v>510-26419-007-0000</v>
          </cell>
          <cell r="J2017">
            <v>6709.74</v>
          </cell>
        </row>
        <row r="2018">
          <cell r="A2018" t="str">
            <v>CIVLA</v>
          </cell>
          <cell r="B2018" t="str">
            <v>510-26419-007-0020</v>
          </cell>
          <cell r="J2018">
            <v>6057.86</v>
          </cell>
        </row>
        <row r="2019">
          <cell r="A2019" t="str">
            <v>CIVLA</v>
          </cell>
          <cell r="B2019" t="str">
            <v>510-26419-007-0060</v>
          </cell>
          <cell r="J2019">
            <v>651.88</v>
          </cell>
        </row>
        <row r="2020">
          <cell r="A2020" t="str">
            <v>CIVLA</v>
          </cell>
          <cell r="B2020" t="str">
            <v>510-26419-061-0000</v>
          </cell>
          <cell r="J2020">
            <v>-53.04</v>
          </cell>
        </row>
        <row r="2021">
          <cell r="A2021" t="str">
            <v>CIVLA</v>
          </cell>
          <cell r="B2021" t="str">
            <v>510-26420-000-0000</v>
          </cell>
          <cell r="J2021">
            <v>5699.46</v>
          </cell>
        </row>
        <row r="2022">
          <cell r="A2022" t="str">
            <v>CIVLA</v>
          </cell>
          <cell r="B2022" t="str">
            <v>510-26420-007-0000</v>
          </cell>
          <cell r="J2022">
            <v>5699.46</v>
          </cell>
        </row>
        <row r="2023">
          <cell r="A2023" t="str">
            <v>CIVLA</v>
          </cell>
          <cell r="B2023" t="str">
            <v>510-26420-007-0020</v>
          </cell>
          <cell r="J2023">
            <v>5156.2299999999996</v>
          </cell>
        </row>
        <row r="2024">
          <cell r="A2024" t="str">
            <v>CIVLA</v>
          </cell>
          <cell r="B2024" t="str">
            <v>510-26420-007-0060</v>
          </cell>
          <cell r="J2024">
            <v>543.23</v>
          </cell>
        </row>
        <row r="2025">
          <cell r="A2025" t="str">
            <v>CIVLA</v>
          </cell>
          <cell r="B2025" t="str">
            <v>510-26421-000-0000</v>
          </cell>
          <cell r="J2025">
            <v>8225.15</v>
          </cell>
        </row>
        <row r="2026">
          <cell r="A2026" t="str">
            <v>CIVLA</v>
          </cell>
          <cell r="B2026" t="str">
            <v>510-26421-007-0000</v>
          </cell>
          <cell r="J2026">
            <v>8225.15</v>
          </cell>
        </row>
        <row r="2027">
          <cell r="A2027" t="str">
            <v>CIVLA</v>
          </cell>
          <cell r="B2027" t="str">
            <v>510-26421-007-0020</v>
          </cell>
          <cell r="J2027">
            <v>7410.31</v>
          </cell>
        </row>
        <row r="2028">
          <cell r="A2028" t="str">
            <v>CIVLA</v>
          </cell>
          <cell r="B2028" t="str">
            <v>510-26421-007-0060</v>
          </cell>
          <cell r="J2028">
            <v>814.84</v>
          </cell>
        </row>
        <row r="2029">
          <cell r="A2029" t="str">
            <v>CIVLA</v>
          </cell>
          <cell r="B2029" t="str">
            <v>510-26422-000-0000</v>
          </cell>
          <cell r="J2029">
            <v>28480.47</v>
          </cell>
        </row>
        <row r="2030">
          <cell r="A2030" t="str">
            <v>CIVLA</v>
          </cell>
          <cell r="B2030" t="str">
            <v>510-26422-007-0000</v>
          </cell>
          <cell r="J2030">
            <v>28480.47</v>
          </cell>
        </row>
        <row r="2031">
          <cell r="A2031" t="str">
            <v>CIVLA</v>
          </cell>
          <cell r="B2031" t="str">
            <v>510-26422-007-0020</v>
          </cell>
          <cell r="J2031">
            <v>25764.32</v>
          </cell>
        </row>
        <row r="2032">
          <cell r="A2032" t="str">
            <v>CIVLA</v>
          </cell>
          <cell r="B2032" t="str">
            <v>510-26422-007-0060</v>
          </cell>
          <cell r="J2032">
            <v>2716.15</v>
          </cell>
        </row>
        <row r="2033">
          <cell r="A2033" t="str">
            <v>CIVLA</v>
          </cell>
          <cell r="B2033" t="str">
            <v>510-26423-000-0000</v>
          </cell>
          <cell r="J2033">
            <v>8225.15</v>
          </cell>
        </row>
        <row r="2034">
          <cell r="A2034" t="str">
            <v>CIVLA</v>
          </cell>
          <cell r="B2034" t="str">
            <v>510-26423-007-0000</v>
          </cell>
          <cell r="J2034">
            <v>8225.15</v>
          </cell>
        </row>
        <row r="2035">
          <cell r="A2035" t="str">
            <v>CIVLA</v>
          </cell>
          <cell r="B2035" t="str">
            <v>510-26423-007-0020</v>
          </cell>
          <cell r="J2035">
            <v>7410.31</v>
          </cell>
        </row>
        <row r="2036">
          <cell r="A2036" t="str">
            <v>CIVLA</v>
          </cell>
          <cell r="B2036" t="str">
            <v>510-26423-007-0060</v>
          </cell>
          <cell r="J2036">
            <v>814.84</v>
          </cell>
        </row>
        <row r="2037">
          <cell r="A2037" t="str">
            <v>CIVLA</v>
          </cell>
          <cell r="B2037" t="str">
            <v>510-26424-000-0000</v>
          </cell>
          <cell r="J2037">
            <v>12038.57</v>
          </cell>
        </row>
        <row r="2038">
          <cell r="A2038" t="str">
            <v>CIVLA</v>
          </cell>
          <cell r="B2038" t="str">
            <v>510-26424-007-0000</v>
          </cell>
          <cell r="J2038">
            <v>12038.57</v>
          </cell>
        </row>
        <row r="2039">
          <cell r="A2039" t="str">
            <v>CIVLA</v>
          </cell>
          <cell r="B2039" t="str">
            <v>510-26424-007-0020</v>
          </cell>
          <cell r="J2039">
            <v>10952.11</v>
          </cell>
        </row>
        <row r="2040">
          <cell r="A2040" t="str">
            <v>CIVLA</v>
          </cell>
          <cell r="B2040" t="str">
            <v>510-26424-007-0060</v>
          </cell>
          <cell r="J2040">
            <v>1086.46</v>
          </cell>
        </row>
        <row r="2041">
          <cell r="A2041" t="str">
            <v>CIVLA</v>
          </cell>
          <cell r="B2041" t="str">
            <v>510-26425-000-0000</v>
          </cell>
          <cell r="J2041">
            <v>3678.9</v>
          </cell>
        </row>
        <row r="2042">
          <cell r="A2042" t="str">
            <v>CIVLA</v>
          </cell>
          <cell r="B2042" t="str">
            <v>510-26425-007-0000</v>
          </cell>
          <cell r="J2042">
            <v>3678.9</v>
          </cell>
        </row>
        <row r="2043">
          <cell r="A2043" t="str">
            <v>CIVLA</v>
          </cell>
          <cell r="B2043" t="str">
            <v>510-26425-007-0020</v>
          </cell>
          <cell r="J2043">
            <v>3352.96</v>
          </cell>
        </row>
        <row r="2044">
          <cell r="A2044" t="str">
            <v>CIVLA</v>
          </cell>
          <cell r="B2044" t="str">
            <v>510-26425-007-0060</v>
          </cell>
          <cell r="J2044">
            <v>325.94</v>
          </cell>
        </row>
        <row r="2045">
          <cell r="A2045" t="str">
            <v>CIVLA</v>
          </cell>
          <cell r="B2045" t="str">
            <v>510-26426-000-0000</v>
          </cell>
          <cell r="J2045">
            <v>3173.76</v>
          </cell>
        </row>
        <row r="2046">
          <cell r="A2046" t="str">
            <v>CIVLA</v>
          </cell>
          <cell r="B2046" t="str">
            <v>510-26426-007-0000</v>
          </cell>
          <cell r="J2046">
            <v>3173.76</v>
          </cell>
        </row>
        <row r="2047">
          <cell r="A2047" t="str">
            <v>CIVLA</v>
          </cell>
          <cell r="B2047" t="str">
            <v>510-26426-007-0020</v>
          </cell>
          <cell r="J2047">
            <v>2902.15</v>
          </cell>
        </row>
        <row r="2048">
          <cell r="A2048" t="str">
            <v>CIVLA</v>
          </cell>
          <cell r="B2048" t="str">
            <v>510-26426-007-0060</v>
          </cell>
          <cell r="J2048">
            <v>271.61</v>
          </cell>
        </row>
        <row r="2049">
          <cell r="A2049" t="str">
            <v>CIVLA</v>
          </cell>
          <cell r="B2049" t="str">
            <v>510-26427-000-0000</v>
          </cell>
          <cell r="J2049">
            <v>17733.830000000002</v>
          </cell>
        </row>
        <row r="2050">
          <cell r="A2050" t="str">
            <v>CIVLA</v>
          </cell>
          <cell r="B2050" t="str">
            <v>510-26427-007-0000</v>
          </cell>
          <cell r="J2050">
            <v>17733.830000000002</v>
          </cell>
        </row>
        <row r="2051">
          <cell r="A2051" t="str">
            <v>CIVLA</v>
          </cell>
          <cell r="B2051" t="str">
            <v>510-26427-007-0020</v>
          </cell>
          <cell r="J2051">
            <v>16104.14</v>
          </cell>
        </row>
        <row r="2052">
          <cell r="A2052" t="str">
            <v>CIVLA</v>
          </cell>
          <cell r="B2052" t="str">
            <v>510-26427-007-0060</v>
          </cell>
          <cell r="J2052">
            <v>1629.69</v>
          </cell>
        </row>
        <row r="2053">
          <cell r="A2053" t="str">
            <v>CIVLA</v>
          </cell>
          <cell r="B2053" t="str">
            <v>510-26428-000-0000</v>
          </cell>
          <cell r="J2053">
            <v>3173.76</v>
          </cell>
        </row>
        <row r="2054">
          <cell r="A2054" t="str">
            <v>CIVLA</v>
          </cell>
          <cell r="B2054" t="str">
            <v>510-26428-007-0000</v>
          </cell>
          <cell r="J2054">
            <v>3173.76</v>
          </cell>
        </row>
        <row r="2055">
          <cell r="A2055" t="str">
            <v>CIVLA</v>
          </cell>
          <cell r="B2055" t="str">
            <v>510-26428-007-0020</v>
          </cell>
          <cell r="J2055">
            <v>2902.15</v>
          </cell>
        </row>
        <row r="2056">
          <cell r="A2056" t="str">
            <v>CIVLA</v>
          </cell>
          <cell r="B2056" t="str">
            <v>510-26428-007-0060</v>
          </cell>
          <cell r="J2056">
            <v>271.61</v>
          </cell>
        </row>
        <row r="2057">
          <cell r="A2057" t="str">
            <v>CIVLA</v>
          </cell>
          <cell r="B2057" t="str">
            <v>510-26429-000-0000</v>
          </cell>
          <cell r="J2057">
            <v>9508.67</v>
          </cell>
        </row>
        <row r="2058">
          <cell r="A2058" t="str">
            <v>CIVLA</v>
          </cell>
          <cell r="B2058" t="str">
            <v>510-26429-007-0000</v>
          </cell>
          <cell r="J2058">
            <v>9508.67</v>
          </cell>
        </row>
        <row r="2059">
          <cell r="A2059" t="str">
            <v>CIVLA</v>
          </cell>
          <cell r="B2059" t="str">
            <v>510-26429-007-0020</v>
          </cell>
          <cell r="J2059">
            <v>8693.83</v>
          </cell>
        </row>
        <row r="2060">
          <cell r="A2060" t="str">
            <v>CIVLA</v>
          </cell>
          <cell r="B2060" t="str">
            <v>510-26429-007-0060</v>
          </cell>
          <cell r="J2060">
            <v>814.84</v>
          </cell>
        </row>
        <row r="2061">
          <cell r="A2061" t="str">
            <v>CIVLA</v>
          </cell>
          <cell r="B2061" t="str">
            <v>510-26430-000-0000</v>
          </cell>
          <cell r="J2061">
            <v>3173.76</v>
          </cell>
        </row>
        <row r="2062">
          <cell r="A2062" t="str">
            <v>CIVLA</v>
          </cell>
          <cell r="B2062" t="str">
            <v>510-26430-007-0000</v>
          </cell>
          <cell r="J2062">
            <v>3173.76</v>
          </cell>
        </row>
        <row r="2063">
          <cell r="A2063" t="str">
            <v>CIVLA</v>
          </cell>
          <cell r="B2063" t="str">
            <v>510-26430-007-0020</v>
          </cell>
          <cell r="J2063">
            <v>2902.15</v>
          </cell>
        </row>
        <row r="2064">
          <cell r="A2064" t="str">
            <v>CIVLA</v>
          </cell>
          <cell r="B2064" t="str">
            <v>510-26430-007-0060</v>
          </cell>
          <cell r="J2064">
            <v>271.61</v>
          </cell>
        </row>
        <row r="2065">
          <cell r="A2065" t="str">
            <v>CIVLA</v>
          </cell>
          <cell r="B2065" t="str">
            <v>510-26431-000-0000</v>
          </cell>
          <cell r="J2065">
            <v>19017.349999999999</v>
          </cell>
        </row>
        <row r="2066">
          <cell r="A2066" t="str">
            <v>CIVLA</v>
          </cell>
          <cell r="B2066" t="str">
            <v>510-26431-007-0000</v>
          </cell>
          <cell r="J2066">
            <v>19017.349999999999</v>
          </cell>
        </row>
        <row r="2067">
          <cell r="A2067" t="str">
            <v>CIVLA</v>
          </cell>
          <cell r="B2067" t="str">
            <v>510-26431-007-0020</v>
          </cell>
          <cell r="J2067">
            <v>17387.66</v>
          </cell>
        </row>
        <row r="2068">
          <cell r="A2068" t="str">
            <v>CIVLA</v>
          </cell>
          <cell r="B2068" t="str">
            <v>510-26431-007-0060</v>
          </cell>
          <cell r="J2068">
            <v>1629.69</v>
          </cell>
        </row>
        <row r="2069">
          <cell r="A2069" t="str">
            <v>CIVLA</v>
          </cell>
          <cell r="B2069" t="str">
            <v>510-26432-000-0000</v>
          </cell>
          <cell r="J2069">
            <v>10750.85</v>
          </cell>
        </row>
        <row r="2070">
          <cell r="A2070" t="str">
            <v>CIVLA</v>
          </cell>
          <cell r="B2070" t="str">
            <v>510-26432-007-0000</v>
          </cell>
          <cell r="J2070">
            <v>10750.85</v>
          </cell>
        </row>
        <row r="2071">
          <cell r="A2071" t="str">
            <v>CIVLA</v>
          </cell>
          <cell r="B2071" t="str">
            <v>510-26432-007-0020</v>
          </cell>
          <cell r="J2071">
            <v>9664.39</v>
          </cell>
        </row>
        <row r="2072">
          <cell r="A2072" t="str">
            <v>CIVLA</v>
          </cell>
          <cell r="B2072" t="str">
            <v>510-26432-007-0060</v>
          </cell>
          <cell r="J2072">
            <v>1086.46</v>
          </cell>
        </row>
        <row r="2073">
          <cell r="A2073" t="str">
            <v>CIVLA</v>
          </cell>
          <cell r="B2073" t="str">
            <v>510-26433-000-0000</v>
          </cell>
          <cell r="J2073">
            <v>1658.35</v>
          </cell>
        </row>
        <row r="2074">
          <cell r="A2074" t="str">
            <v>CIVLA</v>
          </cell>
          <cell r="B2074" t="str">
            <v>510-26433-007-0000</v>
          </cell>
          <cell r="J2074">
            <v>1658.35</v>
          </cell>
        </row>
        <row r="2075">
          <cell r="A2075" t="str">
            <v>CIVLA</v>
          </cell>
          <cell r="B2075" t="str">
            <v>510-26433-007-0020</v>
          </cell>
          <cell r="J2075">
            <v>1549.7</v>
          </cell>
        </row>
        <row r="2076">
          <cell r="A2076" t="str">
            <v>CIVLA</v>
          </cell>
          <cell r="B2076" t="str">
            <v>510-26433-007-0060</v>
          </cell>
          <cell r="J2076">
            <v>108.65</v>
          </cell>
        </row>
        <row r="2077">
          <cell r="A2077" t="str">
            <v>CIVLA</v>
          </cell>
          <cell r="B2077" t="str">
            <v>510-26434-000-0000</v>
          </cell>
          <cell r="J2077">
            <v>1658.35</v>
          </cell>
        </row>
        <row r="2078">
          <cell r="A2078" t="str">
            <v>CIVLA</v>
          </cell>
          <cell r="B2078" t="str">
            <v>510-26434-007-0000</v>
          </cell>
          <cell r="J2078">
            <v>1658.35</v>
          </cell>
        </row>
        <row r="2079">
          <cell r="A2079" t="str">
            <v>CIVLA</v>
          </cell>
          <cell r="B2079" t="str">
            <v>510-26434-007-0020</v>
          </cell>
          <cell r="J2079">
            <v>1549.7</v>
          </cell>
        </row>
        <row r="2080">
          <cell r="A2080" t="str">
            <v>CIVLA</v>
          </cell>
          <cell r="B2080" t="str">
            <v>510-26434-007-0060</v>
          </cell>
          <cell r="J2080">
            <v>108.65</v>
          </cell>
        </row>
        <row r="2081">
          <cell r="A2081" t="str">
            <v>CIVLA</v>
          </cell>
          <cell r="B2081" t="str">
            <v>510-26435-000-0000</v>
          </cell>
          <cell r="J2081">
            <v>327.82</v>
          </cell>
        </row>
        <row r="2082">
          <cell r="A2082" t="str">
            <v>CIVLA</v>
          </cell>
          <cell r="B2082" t="str">
            <v>510-26435-007-0000</v>
          </cell>
          <cell r="J2082">
            <v>327.82</v>
          </cell>
        </row>
        <row r="2083">
          <cell r="A2083" t="str">
            <v>CIVLA</v>
          </cell>
          <cell r="B2083" t="str">
            <v>510-26435-007-0010</v>
          </cell>
          <cell r="J2083">
            <v>235.5</v>
          </cell>
        </row>
        <row r="2084">
          <cell r="A2084" t="str">
            <v>CIVLA</v>
          </cell>
          <cell r="B2084" t="str">
            <v>510-26435-007-0020</v>
          </cell>
          <cell r="J2084">
            <v>0.59</v>
          </cell>
        </row>
        <row r="2085">
          <cell r="A2085" t="str">
            <v>CIVLA</v>
          </cell>
          <cell r="B2085" t="str">
            <v>510-26435-007-0060</v>
          </cell>
          <cell r="J2085">
            <v>91.73</v>
          </cell>
        </row>
        <row r="2086">
          <cell r="A2086" t="str">
            <v>CIVLA</v>
          </cell>
          <cell r="B2086" t="str">
            <v>510-26436-000-0000</v>
          </cell>
          <cell r="J2086">
            <v>8932.42</v>
          </cell>
        </row>
        <row r="2087">
          <cell r="A2087" t="str">
            <v>CIVLA</v>
          </cell>
          <cell r="B2087" t="str">
            <v>510-26436-007-0000</v>
          </cell>
          <cell r="J2087">
            <v>8932.42</v>
          </cell>
        </row>
        <row r="2088">
          <cell r="A2088" t="str">
            <v>CIVLA</v>
          </cell>
          <cell r="B2088" t="str">
            <v>510-26436-007-0020</v>
          </cell>
          <cell r="J2088">
            <v>8117.58</v>
          </cell>
        </row>
        <row r="2089">
          <cell r="A2089" t="str">
            <v>CIVLA</v>
          </cell>
          <cell r="B2089" t="str">
            <v>510-26436-007-0060</v>
          </cell>
          <cell r="J2089">
            <v>814.84</v>
          </cell>
        </row>
        <row r="2090">
          <cell r="A2090" t="str">
            <v>CIVLA</v>
          </cell>
          <cell r="B2090" t="str">
            <v>510-26437-000-0000</v>
          </cell>
          <cell r="J2090">
            <v>30348.15</v>
          </cell>
        </row>
        <row r="2091">
          <cell r="A2091" t="str">
            <v>CIVLA</v>
          </cell>
          <cell r="B2091" t="str">
            <v>510-26437-001-0000</v>
          </cell>
          <cell r="J2091">
            <v>6733</v>
          </cell>
        </row>
        <row r="2092">
          <cell r="A2092" t="str">
            <v>CIVLA</v>
          </cell>
          <cell r="B2092" t="str">
            <v>510-26437-001-0001</v>
          </cell>
          <cell r="J2092">
            <v>5568</v>
          </cell>
        </row>
        <row r="2093">
          <cell r="A2093" t="str">
            <v>CIVLA</v>
          </cell>
          <cell r="B2093" t="str">
            <v>510-26437-001-0002</v>
          </cell>
          <cell r="J2093">
            <v>457</v>
          </cell>
        </row>
        <row r="2094">
          <cell r="A2094" t="str">
            <v>CIVLA</v>
          </cell>
          <cell r="B2094" t="str">
            <v>510-26437-001-0005</v>
          </cell>
          <cell r="J2094">
            <v>121</v>
          </cell>
        </row>
        <row r="2095">
          <cell r="A2095" t="str">
            <v>CIVLA</v>
          </cell>
          <cell r="B2095" t="str">
            <v>510-26437-001-0006</v>
          </cell>
          <cell r="J2095">
            <v>121</v>
          </cell>
        </row>
        <row r="2096">
          <cell r="A2096" t="str">
            <v>CIVLA</v>
          </cell>
          <cell r="B2096" t="str">
            <v>510-26437-001-0011</v>
          </cell>
          <cell r="J2096">
            <v>466</v>
          </cell>
        </row>
        <row r="2097">
          <cell r="A2097" t="str">
            <v>CIVLA</v>
          </cell>
          <cell r="B2097" t="str">
            <v>510-26437-002-0000</v>
          </cell>
          <cell r="J2097">
            <v>2694</v>
          </cell>
        </row>
        <row r="2098">
          <cell r="A2098" t="str">
            <v>CIVLA</v>
          </cell>
          <cell r="B2098" t="str">
            <v>510-26437-002-0001</v>
          </cell>
          <cell r="J2098">
            <v>761</v>
          </cell>
        </row>
        <row r="2099">
          <cell r="A2099" t="str">
            <v>CIVLA</v>
          </cell>
          <cell r="B2099" t="str">
            <v>510-26437-002-0002</v>
          </cell>
          <cell r="J2099">
            <v>1045</v>
          </cell>
        </row>
        <row r="2100">
          <cell r="A2100" t="str">
            <v>CIVLA</v>
          </cell>
          <cell r="B2100" t="str">
            <v>510-26437-002-0003</v>
          </cell>
          <cell r="J2100">
            <v>642</v>
          </cell>
        </row>
        <row r="2101">
          <cell r="A2101" t="str">
            <v>CIVLA</v>
          </cell>
          <cell r="B2101" t="str">
            <v>510-26437-002-0004</v>
          </cell>
          <cell r="J2101">
            <v>246</v>
          </cell>
        </row>
        <row r="2102">
          <cell r="A2102" t="str">
            <v>CIVLA</v>
          </cell>
          <cell r="B2102" t="str">
            <v>510-26437-003-0000</v>
          </cell>
          <cell r="J2102">
            <v>93</v>
          </cell>
        </row>
        <row r="2103">
          <cell r="A2103" t="str">
            <v>CIVLA</v>
          </cell>
          <cell r="B2103" t="str">
            <v>510-26437-007-0000</v>
          </cell>
          <cell r="J2103">
            <v>20501.150000000001</v>
          </cell>
        </row>
        <row r="2104">
          <cell r="A2104" t="str">
            <v>CIVLA</v>
          </cell>
          <cell r="B2104" t="str">
            <v>510-26437-007-0010</v>
          </cell>
          <cell r="J2104">
            <v>10401.86</v>
          </cell>
        </row>
        <row r="2105">
          <cell r="A2105" t="str">
            <v>CIVLA</v>
          </cell>
          <cell r="B2105" t="str">
            <v>510-26437-007-0030</v>
          </cell>
          <cell r="J2105">
            <v>7972.75</v>
          </cell>
        </row>
        <row r="2106">
          <cell r="A2106" t="str">
            <v>CIVLA</v>
          </cell>
          <cell r="B2106" t="str">
            <v>510-26437-007-0060</v>
          </cell>
          <cell r="J2106">
            <v>2126.54</v>
          </cell>
        </row>
        <row r="2107">
          <cell r="A2107" t="str">
            <v>CIVLA</v>
          </cell>
          <cell r="B2107" t="str">
            <v>510-26437-061-0000</v>
          </cell>
          <cell r="J2107">
            <v>327</v>
          </cell>
        </row>
        <row r="2108">
          <cell r="A2108" t="str">
            <v>CIVLA</v>
          </cell>
          <cell r="B2108" t="str">
            <v>510-26438-000-0000</v>
          </cell>
          <cell r="J2108">
            <v>5186.62</v>
          </cell>
        </row>
        <row r="2109">
          <cell r="A2109" t="str">
            <v>CIVLA</v>
          </cell>
          <cell r="B2109" t="str">
            <v>510-26438-007-0000</v>
          </cell>
          <cell r="J2109">
            <v>5186.62</v>
          </cell>
        </row>
        <row r="2110">
          <cell r="A2110" t="str">
            <v>CIVLA</v>
          </cell>
          <cell r="B2110" t="str">
            <v>510-26438-007-0020</v>
          </cell>
          <cell r="J2110">
            <v>4643.3900000000003</v>
          </cell>
        </row>
        <row r="2111">
          <cell r="A2111" t="str">
            <v>CIVLA</v>
          </cell>
          <cell r="B2111" t="str">
            <v>510-26438-007-0060</v>
          </cell>
          <cell r="J2111">
            <v>543.23</v>
          </cell>
        </row>
        <row r="2112">
          <cell r="A2112" t="str">
            <v>CIVLA</v>
          </cell>
          <cell r="B2112" t="str">
            <v>510-26439-000-0000</v>
          </cell>
          <cell r="J2112">
            <v>327.82</v>
          </cell>
        </row>
        <row r="2113">
          <cell r="A2113" t="str">
            <v>CIVLA</v>
          </cell>
          <cell r="B2113" t="str">
            <v>510-26439-007-0000</v>
          </cell>
          <cell r="J2113">
            <v>327.82</v>
          </cell>
        </row>
        <row r="2114">
          <cell r="A2114" t="str">
            <v>CIVLA</v>
          </cell>
          <cell r="B2114" t="str">
            <v>510-26439-007-0010</v>
          </cell>
          <cell r="J2114">
            <v>235.5</v>
          </cell>
        </row>
        <row r="2115">
          <cell r="A2115" t="str">
            <v>CIVLA</v>
          </cell>
          <cell r="B2115" t="str">
            <v>510-26439-007-0020</v>
          </cell>
          <cell r="J2115">
            <v>0.59</v>
          </cell>
        </row>
        <row r="2116">
          <cell r="A2116" t="str">
            <v>CIVLA</v>
          </cell>
          <cell r="B2116" t="str">
            <v>510-26439-007-0060</v>
          </cell>
          <cell r="J2116">
            <v>91.73</v>
          </cell>
        </row>
        <row r="2117">
          <cell r="A2117" t="str">
            <v>CIVLA</v>
          </cell>
          <cell r="B2117" t="str">
            <v>510-26440-000-0000</v>
          </cell>
          <cell r="J2117">
            <v>7779.92</v>
          </cell>
        </row>
        <row r="2118">
          <cell r="A2118" t="str">
            <v>CIVLA</v>
          </cell>
          <cell r="B2118" t="str">
            <v>510-26440-007-0000</v>
          </cell>
          <cell r="J2118">
            <v>7779.92</v>
          </cell>
        </row>
        <row r="2119">
          <cell r="A2119" t="str">
            <v>CIVLA</v>
          </cell>
          <cell r="B2119" t="str">
            <v>510-26440-007-0020</v>
          </cell>
          <cell r="J2119">
            <v>6965.08</v>
          </cell>
        </row>
        <row r="2120">
          <cell r="A2120" t="str">
            <v>CIVLA</v>
          </cell>
          <cell r="B2120" t="str">
            <v>510-26440-007-0060</v>
          </cell>
          <cell r="J2120">
            <v>814.84</v>
          </cell>
        </row>
        <row r="2121">
          <cell r="A2121" t="str">
            <v>CIVLA</v>
          </cell>
          <cell r="B2121" t="str">
            <v>510-26441-000-0000</v>
          </cell>
          <cell r="J2121">
            <v>2593.3000000000002</v>
          </cell>
        </row>
        <row r="2122">
          <cell r="A2122" t="str">
            <v>CIVLA</v>
          </cell>
          <cell r="B2122" t="str">
            <v>510-26441-007-0000</v>
          </cell>
          <cell r="J2122">
            <v>2593.3000000000002</v>
          </cell>
        </row>
        <row r="2123">
          <cell r="A2123" t="str">
            <v>CIVLA</v>
          </cell>
          <cell r="B2123" t="str">
            <v>510-26441-007-0020</v>
          </cell>
          <cell r="J2123">
            <v>2321.69</v>
          </cell>
        </row>
        <row r="2124">
          <cell r="A2124" t="str">
            <v>CIVLA</v>
          </cell>
          <cell r="B2124" t="str">
            <v>510-26441-007-0060</v>
          </cell>
          <cell r="J2124">
            <v>271.61</v>
          </cell>
        </row>
        <row r="2125">
          <cell r="A2125" t="str">
            <v>CIVLA</v>
          </cell>
          <cell r="B2125" t="str">
            <v>510-26442-000-0000</v>
          </cell>
          <cell r="J2125">
            <v>13312.14</v>
          </cell>
        </row>
        <row r="2126">
          <cell r="A2126" t="str">
            <v>CIVLA</v>
          </cell>
          <cell r="B2126" t="str">
            <v>510-26442-007-0000</v>
          </cell>
          <cell r="J2126">
            <v>13312.14</v>
          </cell>
        </row>
        <row r="2127">
          <cell r="A2127" t="str">
            <v>CIVLA</v>
          </cell>
          <cell r="B2127" t="str">
            <v>510-26442-007-0020</v>
          </cell>
          <cell r="J2127">
            <v>12171.36</v>
          </cell>
        </row>
        <row r="2128">
          <cell r="A2128" t="str">
            <v>CIVLA</v>
          </cell>
          <cell r="B2128" t="str">
            <v>510-26442-007-0060</v>
          </cell>
          <cell r="J2128">
            <v>1140.78</v>
          </cell>
        </row>
        <row r="2129">
          <cell r="A2129" t="str">
            <v>CIVLA</v>
          </cell>
          <cell r="B2129" t="str">
            <v>510-26443-000-0000</v>
          </cell>
          <cell r="J2129">
            <v>2593.3000000000002</v>
          </cell>
        </row>
        <row r="2130">
          <cell r="A2130" t="str">
            <v>CIVLA</v>
          </cell>
          <cell r="B2130" t="str">
            <v>510-26443-007-0000</v>
          </cell>
          <cell r="J2130">
            <v>2593.3000000000002</v>
          </cell>
        </row>
        <row r="2131">
          <cell r="A2131" t="str">
            <v>CIVLA</v>
          </cell>
          <cell r="B2131" t="str">
            <v>510-26443-007-0020</v>
          </cell>
          <cell r="J2131">
            <v>2321.69</v>
          </cell>
        </row>
        <row r="2132">
          <cell r="A2132" t="str">
            <v>CIVLA</v>
          </cell>
          <cell r="B2132" t="str">
            <v>510-26443-007-0060</v>
          </cell>
          <cell r="J2132">
            <v>271.61</v>
          </cell>
        </row>
        <row r="2133">
          <cell r="A2133" t="str">
            <v>CIVLA</v>
          </cell>
          <cell r="B2133" t="str">
            <v>510-26444-000-0000</v>
          </cell>
          <cell r="J2133">
            <v>2593.3000000000002</v>
          </cell>
        </row>
        <row r="2134">
          <cell r="A2134" t="str">
            <v>CIVLA</v>
          </cell>
          <cell r="B2134" t="str">
            <v>510-26444-007-0000</v>
          </cell>
          <cell r="J2134">
            <v>2593.3000000000002</v>
          </cell>
        </row>
        <row r="2135">
          <cell r="A2135" t="str">
            <v>CIVLA</v>
          </cell>
          <cell r="B2135" t="str">
            <v>510-26444-007-0020</v>
          </cell>
          <cell r="J2135">
            <v>2321.69</v>
          </cell>
        </row>
        <row r="2136">
          <cell r="A2136" t="str">
            <v>CIVLA</v>
          </cell>
          <cell r="B2136" t="str">
            <v>510-26444-007-0060</v>
          </cell>
          <cell r="J2136">
            <v>271.61</v>
          </cell>
        </row>
        <row r="2137">
          <cell r="A2137" t="str">
            <v>CIVLA</v>
          </cell>
          <cell r="B2137" t="str">
            <v>510-26445-000-0000</v>
          </cell>
          <cell r="J2137">
            <v>6943.36</v>
          </cell>
        </row>
        <row r="2138">
          <cell r="A2138" t="str">
            <v>CIVLA</v>
          </cell>
          <cell r="B2138" t="str">
            <v>510-26445-007-0000</v>
          </cell>
          <cell r="J2138">
            <v>6943.36</v>
          </cell>
        </row>
        <row r="2139">
          <cell r="A2139" t="str">
            <v>CIVLA</v>
          </cell>
          <cell r="B2139" t="str">
            <v>510-26445-007-0020</v>
          </cell>
          <cell r="J2139">
            <v>5856.9</v>
          </cell>
        </row>
        <row r="2140">
          <cell r="A2140" t="str">
            <v>CIVLA</v>
          </cell>
          <cell r="B2140" t="str">
            <v>510-26445-007-0060</v>
          </cell>
          <cell r="J2140">
            <v>1086.46</v>
          </cell>
        </row>
        <row r="2141">
          <cell r="A2141" t="str">
            <v>CIVLA</v>
          </cell>
          <cell r="B2141" t="str">
            <v>510-26446-000-0000</v>
          </cell>
          <cell r="J2141">
            <v>4725.54</v>
          </cell>
        </row>
        <row r="2142">
          <cell r="A2142" t="str">
            <v>CIVLA</v>
          </cell>
          <cell r="B2142" t="str">
            <v>510-26446-007-0000</v>
          </cell>
          <cell r="J2142">
            <v>4725.54</v>
          </cell>
        </row>
        <row r="2143">
          <cell r="A2143" t="str">
            <v>CIVLA</v>
          </cell>
          <cell r="B2143" t="str">
            <v>510-26446-007-0020</v>
          </cell>
          <cell r="J2143">
            <v>4290.96</v>
          </cell>
        </row>
        <row r="2144">
          <cell r="A2144" t="str">
            <v>CIVLA</v>
          </cell>
          <cell r="B2144" t="str">
            <v>510-26446-007-0060</v>
          </cell>
          <cell r="J2144">
            <v>434.58</v>
          </cell>
        </row>
        <row r="2145">
          <cell r="A2145" t="str">
            <v>CIVLA</v>
          </cell>
          <cell r="B2145" t="str">
            <v>510-26447-000-0000</v>
          </cell>
          <cell r="J2145">
            <v>15559.85</v>
          </cell>
        </row>
        <row r="2146">
          <cell r="A2146" t="str">
            <v>CIVLA</v>
          </cell>
          <cell r="B2146" t="str">
            <v>510-26447-007-0000</v>
          </cell>
          <cell r="J2146">
            <v>15559.85</v>
          </cell>
        </row>
        <row r="2147">
          <cell r="A2147" t="str">
            <v>CIVLA</v>
          </cell>
          <cell r="B2147" t="str">
            <v>510-26447-007-0020</v>
          </cell>
          <cell r="J2147">
            <v>13930.16</v>
          </cell>
        </row>
        <row r="2148">
          <cell r="A2148" t="str">
            <v>CIVLA</v>
          </cell>
          <cell r="B2148" t="str">
            <v>510-26447-007-0060</v>
          </cell>
          <cell r="J2148">
            <v>1629.69</v>
          </cell>
        </row>
        <row r="2149">
          <cell r="A2149" t="str">
            <v>CIVLA</v>
          </cell>
          <cell r="B2149" t="str">
            <v>510-26448-000-0000</v>
          </cell>
          <cell r="J2149">
            <v>10373.23</v>
          </cell>
        </row>
        <row r="2150">
          <cell r="A2150" t="str">
            <v>CIVLA</v>
          </cell>
          <cell r="B2150" t="str">
            <v>510-26448-007-0000</v>
          </cell>
          <cell r="J2150">
            <v>10373.23</v>
          </cell>
        </row>
        <row r="2151">
          <cell r="A2151" t="str">
            <v>CIVLA</v>
          </cell>
          <cell r="B2151" t="str">
            <v>510-26448-007-0020</v>
          </cell>
          <cell r="J2151">
            <v>9286.77</v>
          </cell>
        </row>
        <row r="2152">
          <cell r="A2152" t="str">
            <v>CIVLA</v>
          </cell>
          <cell r="B2152" t="str">
            <v>510-26448-007-0060</v>
          </cell>
          <cell r="J2152">
            <v>1086.46</v>
          </cell>
        </row>
        <row r="2153">
          <cell r="A2153" t="str">
            <v>CIVLA</v>
          </cell>
          <cell r="B2153" t="str">
            <v>510-26449-000-0000</v>
          </cell>
          <cell r="J2153">
            <v>5186.62</v>
          </cell>
        </row>
        <row r="2154">
          <cell r="A2154" t="str">
            <v>CIVLA</v>
          </cell>
          <cell r="B2154" t="str">
            <v>510-26449-007-0000</v>
          </cell>
          <cell r="J2154">
            <v>5186.62</v>
          </cell>
        </row>
        <row r="2155">
          <cell r="A2155" t="str">
            <v>CIVLA</v>
          </cell>
          <cell r="B2155" t="str">
            <v>510-26449-007-0020</v>
          </cell>
          <cell r="J2155">
            <v>4643.3900000000003</v>
          </cell>
        </row>
        <row r="2156">
          <cell r="A2156" t="str">
            <v>CIVLA</v>
          </cell>
          <cell r="B2156" t="str">
            <v>510-26449-007-0060</v>
          </cell>
          <cell r="J2156">
            <v>543.23</v>
          </cell>
        </row>
        <row r="2157">
          <cell r="A2157" t="str">
            <v>CIVLA</v>
          </cell>
          <cell r="B2157" t="str">
            <v>510-26450-000-0000</v>
          </cell>
          <cell r="J2157">
            <v>8356.17</v>
          </cell>
        </row>
        <row r="2158">
          <cell r="A2158" t="str">
            <v>CIVLA</v>
          </cell>
          <cell r="B2158" t="str">
            <v>510-26450-007-0000</v>
          </cell>
          <cell r="J2158">
            <v>8356.17</v>
          </cell>
        </row>
        <row r="2159">
          <cell r="A2159" t="str">
            <v>CIVLA</v>
          </cell>
          <cell r="B2159" t="str">
            <v>510-26450-007-0020</v>
          </cell>
          <cell r="J2159">
            <v>7541.33</v>
          </cell>
        </row>
        <row r="2160">
          <cell r="A2160" t="str">
            <v>CIVLA</v>
          </cell>
          <cell r="B2160" t="str">
            <v>510-26450-007-0060</v>
          </cell>
          <cell r="J2160">
            <v>814.84</v>
          </cell>
        </row>
        <row r="2161">
          <cell r="A2161" t="str">
            <v>CIVLA</v>
          </cell>
          <cell r="B2161" t="str">
            <v>510-26451-000-0000</v>
          </cell>
          <cell r="J2161">
            <v>24203.96</v>
          </cell>
        </row>
        <row r="2162">
          <cell r="A2162" t="str">
            <v>CIVLA</v>
          </cell>
          <cell r="B2162" t="str">
            <v>510-26451-007-0000</v>
          </cell>
          <cell r="J2162">
            <v>24203.96</v>
          </cell>
        </row>
        <row r="2163">
          <cell r="A2163" t="str">
            <v>CIVLA</v>
          </cell>
          <cell r="B2163" t="str">
            <v>510-26451-007-0020</v>
          </cell>
          <cell r="J2163">
            <v>22031.040000000001</v>
          </cell>
        </row>
        <row r="2164">
          <cell r="A2164" t="str">
            <v>CIVLA</v>
          </cell>
          <cell r="B2164" t="str">
            <v>510-26451-007-0060</v>
          </cell>
          <cell r="J2164">
            <v>2172.92</v>
          </cell>
        </row>
        <row r="2165">
          <cell r="A2165" t="str">
            <v>CIVLA</v>
          </cell>
          <cell r="B2165" t="str">
            <v>510-26452-000-0000</v>
          </cell>
          <cell r="J2165">
            <v>11525.73</v>
          </cell>
        </row>
        <row r="2166">
          <cell r="A2166" t="str">
            <v>CIVLA</v>
          </cell>
          <cell r="B2166" t="str">
            <v>510-26452-007-0000</v>
          </cell>
          <cell r="J2166">
            <v>11525.73</v>
          </cell>
        </row>
        <row r="2167">
          <cell r="A2167" t="str">
            <v>CIVLA</v>
          </cell>
          <cell r="B2167" t="str">
            <v>510-26452-007-0020</v>
          </cell>
          <cell r="J2167">
            <v>10439.27</v>
          </cell>
        </row>
        <row r="2168">
          <cell r="A2168" t="str">
            <v>CIVLA</v>
          </cell>
          <cell r="B2168" t="str">
            <v>510-26452-007-0060</v>
          </cell>
          <cell r="J2168">
            <v>1086.46</v>
          </cell>
        </row>
        <row r="2169">
          <cell r="A2169" t="str">
            <v>CIVLA</v>
          </cell>
          <cell r="B2169" t="str">
            <v>510-26453-000-0000</v>
          </cell>
          <cell r="J2169">
            <v>5186.62</v>
          </cell>
        </row>
        <row r="2170">
          <cell r="A2170" t="str">
            <v>CIVLA</v>
          </cell>
          <cell r="B2170" t="str">
            <v>510-26453-007-0000</v>
          </cell>
          <cell r="J2170">
            <v>5186.62</v>
          </cell>
        </row>
        <row r="2171">
          <cell r="A2171" t="str">
            <v>CIVLA</v>
          </cell>
          <cell r="B2171" t="str">
            <v>510-26453-007-0020</v>
          </cell>
          <cell r="J2171">
            <v>4643.3900000000003</v>
          </cell>
        </row>
        <row r="2172">
          <cell r="A2172" t="str">
            <v>CIVLA</v>
          </cell>
          <cell r="B2172" t="str">
            <v>510-26453-007-0060</v>
          </cell>
          <cell r="J2172">
            <v>543.23</v>
          </cell>
        </row>
        <row r="2173">
          <cell r="A2173" t="str">
            <v>CIVLA</v>
          </cell>
          <cell r="B2173" t="str">
            <v>510-26454-000-0000</v>
          </cell>
          <cell r="J2173">
            <v>2823.98</v>
          </cell>
        </row>
        <row r="2174">
          <cell r="A2174" t="str">
            <v>CIVLA</v>
          </cell>
          <cell r="B2174" t="str">
            <v>510-26454-007-0000</v>
          </cell>
          <cell r="J2174">
            <v>2823.98</v>
          </cell>
        </row>
        <row r="2175">
          <cell r="A2175" t="str">
            <v>CIVLA</v>
          </cell>
          <cell r="B2175" t="str">
            <v>510-26454-007-0020</v>
          </cell>
          <cell r="J2175">
            <v>2280.75</v>
          </cell>
        </row>
        <row r="2176">
          <cell r="A2176" t="str">
            <v>CIVLA</v>
          </cell>
          <cell r="B2176" t="str">
            <v>510-26454-007-0060</v>
          </cell>
          <cell r="J2176">
            <v>543.23</v>
          </cell>
        </row>
        <row r="2177">
          <cell r="A2177" t="str">
            <v>CIVLA</v>
          </cell>
          <cell r="B2177" t="str">
            <v>510-26455-000-0000</v>
          </cell>
          <cell r="J2177">
            <v>2661.03</v>
          </cell>
        </row>
        <row r="2178">
          <cell r="A2178" t="str">
            <v>CIVLA</v>
          </cell>
          <cell r="B2178" t="str">
            <v>510-26455-007-0000</v>
          </cell>
          <cell r="J2178">
            <v>2661.03</v>
          </cell>
        </row>
        <row r="2179">
          <cell r="A2179" t="str">
            <v>CIVLA</v>
          </cell>
          <cell r="B2179" t="str">
            <v>510-26455-007-0020</v>
          </cell>
          <cell r="J2179">
            <v>2443.7399999999998</v>
          </cell>
        </row>
        <row r="2180">
          <cell r="A2180" t="str">
            <v>CIVLA</v>
          </cell>
          <cell r="B2180" t="str">
            <v>510-26455-007-0060</v>
          </cell>
          <cell r="J2180">
            <v>217.29</v>
          </cell>
        </row>
        <row r="2181">
          <cell r="A2181" t="str">
            <v>CIVLA</v>
          </cell>
          <cell r="B2181" t="str">
            <v>510-26456-000-0000</v>
          </cell>
          <cell r="J2181">
            <v>1267.83</v>
          </cell>
        </row>
        <row r="2182">
          <cell r="A2182" t="str">
            <v>CIVLA</v>
          </cell>
          <cell r="B2182" t="str">
            <v>510-26456-007-0000</v>
          </cell>
          <cell r="J2182">
            <v>1267.83</v>
          </cell>
        </row>
        <row r="2183">
          <cell r="A2183" t="str">
            <v>CIVLA</v>
          </cell>
          <cell r="B2183" t="str">
            <v>510-26456-007-0020</v>
          </cell>
          <cell r="J2183">
            <v>1159.18</v>
          </cell>
        </row>
        <row r="2184">
          <cell r="A2184" t="str">
            <v>CIVLA</v>
          </cell>
          <cell r="B2184" t="str">
            <v>510-26456-007-0060</v>
          </cell>
          <cell r="J2184">
            <v>108.65</v>
          </cell>
        </row>
        <row r="2185">
          <cell r="A2185" t="str">
            <v>CIVLA</v>
          </cell>
          <cell r="B2185" t="str">
            <v>510-26701-000-0000</v>
          </cell>
          <cell r="J2185">
            <v>4423.74</v>
          </cell>
        </row>
        <row r="2186">
          <cell r="A2186" t="str">
            <v>CIVLA</v>
          </cell>
          <cell r="B2186" t="str">
            <v>510-26701-001-0000</v>
          </cell>
          <cell r="J2186">
            <v>2742</v>
          </cell>
        </row>
        <row r="2187">
          <cell r="A2187" t="str">
            <v>CIVLA</v>
          </cell>
          <cell r="B2187" t="str">
            <v>510-26701-001-0001</v>
          </cell>
          <cell r="J2187">
            <v>2304</v>
          </cell>
        </row>
        <row r="2188">
          <cell r="A2188" t="str">
            <v>CIVLA</v>
          </cell>
          <cell r="B2188" t="str">
            <v>510-26701-001-0002</v>
          </cell>
          <cell r="J2188">
            <v>222</v>
          </cell>
        </row>
        <row r="2189">
          <cell r="A2189" t="str">
            <v>CIVLA</v>
          </cell>
          <cell r="B2189" t="str">
            <v>510-26701-001-0005</v>
          </cell>
          <cell r="J2189">
            <v>108</v>
          </cell>
        </row>
        <row r="2190">
          <cell r="A2190" t="str">
            <v>CIVLA</v>
          </cell>
          <cell r="B2190" t="str">
            <v>510-26701-001-0006</v>
          </cell>
          <cell r="J2190">
            <v>108</v>
          </cell>
        </row>
        <row r="2191">
          <cell r="A2191" t="str">
            <v>CIVLA</v>
          </cell>
          <cell r="B2191" t="str">
            <v>510-26701-001-0011</v>
          </cell>
          <cell r="J2191">
            <v>0</v>
          </cell>
        </row>
        <row r="2192">
          <cell r="A2192" t="str">
            <v>CIVLA</v>
          </cell>
          <cell r="B2192" t="str">
            <v>510-26701-002-0000</v>
          </cell>
          <cell r="J2192">
            <v>406</v>
          </cell>
        </row>
        <row r="2193">
          <cell r="A2193" t="str">
            <v>CIVLA</v>
          </cell>
          <cell r="B2193" t="str">
            <v>510-26701-002-0001</v>
          </cell>
          <cell r="J2193">
            <v>324</v>
          </cell>
        </row>
        <row r="2194">
          <cell r="A2194" t="str">
            <v>CIVLA</v>
          </cell>
          <cell r="B2194" t="str">
            <v>510-26701-002-0004</v>
          </cell>
          <cell r="J2194">
            <v>82</v>
          </cell>
        </row>
        <row r="2195">
          <cell r="A2195" t="str">
            <v>CIVLA</v>
          </cell>
          <cell r="B2195" t="str">
            <v>510-26701-007-0000</v>
          </cell>
          <cell r="J2195">
            <v>1276.74</v>
          </cell>
        </row>
        <row r="2196">
          <cell r="A2196" t="str">
            <v>CIVLA</v>
          </cell>
          <cell r="B2196" t="str">
            <v>510-26701-007-0010</v>
          </cell>
          <cell r="J2196">
            <v>877.13</v>
          </cell>
        </row>
        <row r="2197">
          <cell r="A2197" t="str">
            <v>CIVLA</v>
          </cell>
          <cell r="B2197" t="str">
            <v>510-26701-007-0060</v>
          </cell>
          <cell r="J2197">
            <v>399.61</v>
          </cell>
        </row>
        <row r="2198">
          <cell r="A2198" t="str">
            <v>CIVLA</v>
          </cell>
          <cell r="B2198" t="str">
            <v>510-26701-061-0000</v>
          </cell>
          <cell r="J2198">
            <v>-1</v>
          </cell>
        </row>
        <row r="2199">
          <cell r="A2199" t="str">
            <v>CIVLA</v>
          </cell>
          <cell r="B2199" t="str">
            <v>510-26702-000-0000</v>
          </cell>
          <cell r="J2199">
            <v>8408</v>
          </cell>
        </row>
        <row r="2200">
          <cell r="A2200" t="str">
            <v>CIVLA</v>
          </cell>
          <cell r="B2200" t="str">
            <v>510-26702-001-0000</v>
          </cell>
          <cell r="J2200">
            <v>6156</v>
          </cell>
        </row>
        <row r="2201">
          <cell r="A2201" t="str">
            <v>CIVLA</v>
          </cell>
          <cell r="B2201" t="str">
            <v>510-26702-001-0001</v>
          </cell>
          <cell r="J2201">
            <v>4572</v>
          </cell>
        </row>
        <row r="2202">
          <cell r="A2202" t="str">
            <v>CIVLA</v>
          </cell>
          <cell r="B2202" t="str">
            <v>510-26702-001-0002</v>
          </cell>
          <cell r="J2202">
            <v>442</v>
          </cell>
        </row>
        <row r="2203">
          <cell r="A2203" t="str">
            <v>CIVLA</v>
          </cell>
          <cell r="B2203" t="str">
            <v>510-26702-001-0005</v>
          </cell>
          <cell r="J2203">
            <v>220</v>
          </cell>
        </row>
        <row r="2204">
          <cell r="A2204" t="str">
            <v>CIVLA</v>
          </cell>
          <cell r="B2204" t="str">
            <v>510-26702-001-0006</v>
          </cell>
          <cell r="J2204">
            <v>220</v>
          </cell>
        </row>
        <row r="2205">
          <cell r="A2205" t="str">
            <v>CIVLA</v>
          </cell>
          <cell r="B2205" t="str">
            <v>510-26702-001-0011</v>
          </cell>
          <cell r="J2205">
            <v>702</v>
          </cell>
        </row>
        <row r="2206">
          <cell r="A2206" t="str">
            <v>CIVLA</v>
          </cell>
          <cell r="B2206" t="str">
            <v>510-26702-002-0000</v>
          </cell>
          <cell r="J2206">
            <v>2279</v>
          </cell>
        </row>
        <row r="2207">
          <cell r="A2207" t="str">
            <v>CIVLA</v>
          </cell>
          <cell r="B2207" t="str">
            <v>510-26702-002-0001</v>
          </cell>
          <cell r="J2207">
            <v>579</v>
          </cell>
        </row>
        <row r="2208">
          <cell r="A2208" t="str">
            <v>CIVLA</v>
          </cell>
          <cell r="B2208" t="str">
            <v>510-26702-002-0002</v>
          </cell>
          <cell r="J2208">
            <v>922</v>
          </cell>
        </row>
        <row r="2209">
          <cell r="A2209" t="str">
            <v>CIVLA</v>
          </cell>
          <cell r="B2209" t="str">
            <v>510-26702-002-0003</v>
          </cell>
          <cell r="J2209">
            <v>564</v>
          </cell>
        </row>
        <row r="2210">
          <cell r="A2210" t="str">
            <v>CIVLA</v>
          </cell>
          <cell r="B2210" t="str">
            <v>510-26702-002-0004</v>
          </cell>
          <cell r="J2210">
            <v>214</v>
          </cell>
        </row>
        <row r="2211">
          <cell r="A2211" t="str">
            <v>CIVLA</v>
          </cell>
          <cell r="B2211" t="str">
            <v>510-26702-003-0000</v>
          </cell>
          <cell r="J2211">
            <v>14</v>
          </cell>
        </row>
        <row r="2212">
          <cell r="A2212" t="str">
            <v>CIVLA</v>
          </cell>
          <cell r="B2212" t="str">
            <v>510-26702-061-0000</v>
          </cell>
          <cell r="J2212">
            <v>-41</v>
          </cell>
        </row>
        <row r="2213">
          <cell r="A2213" t="str">
            <v>CIVLA</v>
          </cell>
          <cell r="B2213" t="str">
            <v>510-26901-000-0000</v>
          </cell>
          <cell r="J2213">
            <v>3345.85</v>
          </cell>
        </row>
        <row r="2214">
          <cell r="A2214" t="str">
            <v>CIVLA</v>
          </cell>
          <cell r="B2214" t="str">
            <v>510-26901-007-0000</v>
          </cell>
          <cell r="J2214">
            <v>3345.85</v>
          </cell>
        </row>
        <row r="2215">
          <cell r="A2215" t="str">
            <v>CIVLA</v>
          </cell>
          <cell r="B2215" t="str">
            <v>510-26901-007-0050</v>
          </cell>
          <cell r="J2215">
            <v>3345.85</v>
          </cell>
        </row>
        <row r="2216">
          <cell r="A2216" t="str">
            <v>CIVLA</v>
          </cell>
          <cell r="B2216" t="str">
            <v>510-26902-000-0000</v>
          </cell>
          <cell r="J2216">
            <v>788.44</v>
          </cell>
        </row>
        <row r="2217">
          <cell r="A2217" t="str">
            <v>CIVLA</v>
          </cell>
          <cell r="B2217" t="str">
            <v>510-26902-007-0000</v>
          </cell>
          <cell r="J2217">
            <v>788.44</v>
          </cell>
        </row>
        <row r="2218">
          <cell r="A2218" t="str">
            <v>CIVLA</v>
          </cell>
          <cell r="B2218" t="str">
            <v>510-26902-007-0020</v>
          </cell>
          <cell r="J2218">
            <v>623.26</v>
          </cell>
        </row>
        <row r="2219">
          <cell r="A2219" t="str">
            <v>CIVLA</v>
          </cell>
          <cell r="B2219" t="str">
            <v>510-26902-007-0060</v>
          </cell>
          <cell r="J2219">
            <v>165.18</v>
          </cell>
        </row>
        <row r="2220">
          <cell r="A2220" t="str">
            <v>CIVLA</v>
          </cell>
          <cell r="B2220" t="str">
            <v>510-26999-000-0000</v>
          </cell>
          <cell r="J2220">
            <v>521.55999999999995</v>
          </cell>
        </row>
        <row r="2221">
          <cell r="A2221" t="str">
            <v>CIVLA</v>
          </cell>
          <cell r="B2221" t="str">
            <v>510-26999-001-0000</v>
          </cell>
          <cell r="J2221">
            <v>394.34</v>
          </cell>
        </row>
        <row r="2222">
          <cell r="A2222" t="str">
            <v>CIVLA</v>
          </cell>
          <cell r="B2222" t="str">
            <v>510-26999-001-0001</v>
          </cell>
          <cell r="J2222">
            <v>368.67</v>
          </cell>
        </row>
        <row r="2223">
          <cell r="A2223" t="str">
            <v>CIVLA</v>
          </cell>
          <cell r="B2223" t="str">
            <v>510-26999-001-0002</v>
          </cell>
          <cell r="J2223">
            <v>25.67</v>
          </cell>
        </row>
        <row r="2224">
          <cell r="A2224" t="str">
            <v>CIVLA</v>
          </cell>
          <cell r="B2224" t="str">
            <v>510-26999-002-0000</v>
          </cell>
          <cell r="J2224">
            <v>127.22</v>
          </cell>
        </row>
        <row r="2225">
          <cell r="A2225" t="str">
            <v>CIVLA</v>
          </cell>
          <cell r="B2225" t="str">
            <v>510-26999-002-0001</v>
          </cell>
          <cell r="J2225">
            <v>115.39</v>
          </cell>
        </row>
        <row r="2226">
          <cell r="A2226" t="str">
            <v>CIVLA</v>
          </cell>
          <cell r="B2226" t="str">
            <v>510-26999-002-0004</v>
          </cell>
          <cell r="J2226">
            <v>11.83</v>
          </cell>
        </row>
        <row r="2227">
          <cell r="A2227" t="str">
            <v>CIVLA</v>
          </cell>
          <cell r="B2227" t="str">
            <v>510-99999-000-0000</v>
          </cell>
          <cell r="J2227">
            <v>-159176.53</v>
          </cell>
        </row>
        <row r="2228">
          <cell r="A2228" t="str">
            <v>CIVLA</v>
          </cell>
          <cell r="B2228" t="str">
            <v>510-99999-007-0000</v>
          </cell>
          <cell r="J2228">
            <v>-159176.53</v>
          </cell>
        </row>
        <row r="2229">
          <cell r="A2229" t="str">
            <v>CIVLA</v>
          </cell>
          <cell r="B2229" t="str">
            <v>510-99999-007-0010</v>
          </cell>
          <cell r="J2229">
            <v>-76704.05</v>
          </cell>
        </row>
        <row r="2230">
          <cell r="A2230" t="str">
            <v>CIVLA</v>
          </cell>
          <cell r="B2230" t="str">
            <v>510-99999-007-0030</v>
          </cell>
          <cell r="J2230">
            <v>2386.44</v>
          </cell>
        </row>
        <row r="2231">
          <cell r="A2231" t="str">
            <v>CIVLA</v>
          </cell>
          <cell r="B2231" t="str">
            <v>510-99999-007-0050</v>
          </cell>
          <cell r="J2231">
            <v>6691.18</v>
          </cell>
        </row>
        <row r="2232">
          <cell r="A2232" t="str">
            <v>CIVLA</v>
          </cell>
          <cell r="B2232" t="str">
            <v>510-99999-007-0060</v>
          </cell>
          <cell r="J2232">
            <v>-91550.1</v>
          </cell>
        </row>
        <row r="2233">
          <cell r="A2233" t="str">
            <v>CIVLA</v>
          </cell>
          <cell r="B2233" t="str">
            <v>530-00000-000-0000</v>
          </cell>
          <cell r="J2233">
            <v>8803662.3000000007</v>
          </cell>
        </row>
        <row r="2234">
          <cell r="A2234" t="str">
            <v>CIVLA</v>
          </cell>
          <cell r="B2234" t="str">
            <v>530-21044-000-0000</v>
          </cell>
          <cell r="J2234">
            <v>16203.67</v>
          </cell>
        </row>
        <row r="2235">
          <cell r="A2235" t="str">
            <v>CIVLA</v>
          </cell>
          <cell r="B2235" t="str">
            <v>530-21044-004-0000</v>
          </cell>
          <cell r="J2235">
            <v>16203.67</v>
          </cell>
        </row>
        <row r="2236">
          <cell r="A2236" t="str">
            <v>CIVLA</v>
          </cell>
          <cell r="B2236" t="str">
            <v>530-21044-004-0013</v>
          </cell>
          <cell r="J2236">
            <v>16203.67</v>
          </cell>
        </row>
        <row r="2237">
          <cell r="A2237" t="str">
            <v>CIVLA</v>
          </cell>
          <cell r="B2237" t="str">
            <v>530-23036-000-0000</v>
          </cell>
          <cell r="J2237">
            <v>998.4</v>
          </cell>
        </row>
        <row r="2238">
          <cell r="A2238" t="str">
            <v>CIVLA</v>
          </cell>
          <cell r="B2238" t="str">
            <v>530-23036-004-0000</v>
          </cell>
          <cell r="J2238">
            <v>998.4</v>
          </cell>
        </row>
        <row r="2239">
          <cell r="A2239" t="str">
            <v>CIVLA</v>
          </cell>
          <cell r="B2239" t="str">
            <v>530-23036-004-0001</v>
          </cell>
          <cell r="J2239">
            <v>998.4</v>
          </cell>
        </row>
        <row r="2240">
          <cell r="A2240" t="str">
            <v>CIVLA</v>
          </cell>
          <cell r="B2240" t="str">
            <v>530-23039-000-0000</v>
          </cell>
          <cell r="J2240">
            <v>234.04</v>
          </cell>
        </row>
        <row r="2241">
          <cell r="A2241" t="str">
            <v>CIVLA</v>
          </cell>
          <cell r="B2241" t="str">
            <v>530-23039-004-0000</v>
          </cell>
          <cell r="J2241">
            <v>234.04</v>
          </cell>
        </row>
        <row r="2242">
          <cell r="A2242" t="str">
            <v>CIVLA</v>
          </cell>
          <cell r="B2242" t="str">
            <v>530-23039-004-0001</v>
          </cell>
          <cell r="J2242">
            <v>234.04</v>
          </cell>
        </row>
        <row r="2243">
          <cell r="A2243" t="str">
            <v>CIVLA</v>
          </cell>
          <cell r="B2243" t="str">
            <v>530-24004-000-0000</v>
          </cell>
          <cell r="J2243">
            <v>9838.7900000000009</v>
          </cell>
        </row>
        <row r="2244">
          <cell r="A2244" t="str">
            <v>CIVLA</v>
          </cell>
          <cell r="B2244" t="str">
            <v>530-24004-004-0000</v>
          </cell>
          <cell r="J2244">
            <v>9838.7900000000009</v>
          </cell>
        </row>
        <row r="2245">
          <cell r="A2245" t="str">
            <v>CIVLA</v>
          </cell>
          <cell r="B2245" t="str">
            <v>530-24004-004-0005</v>
          </cell>
          <cell r="J2245">
            <v>9838.7900000000009</v>
          </cell>
        </row>
        <row r="2246">
          <cell r="A2246" t="str">
            <v>CIVLA</v>
          </cell>
          <cell r="B2246" t="str">
            <v>530-24015-000-0000</v>
          </cell>
          <cell r="J2246">
            <v>16911.099999999999</v>
          </cell>
        </row>
        <row r="2247">
          <cell r="A2247" t="str">
            <v>CIVLA</v>
          </cell>
          <cell r="B2247" t="str">
            <v>530-24015-004-0000</v>
          </cell>
          <cell r="J2247">
            <v>16911.099999999999</v>
          </cell>
        </row>
        <row r="2248">
          <cell r="A2248" t="str">
            <v>CIVLA</v>
          </cell>
          <cell r="B2248" t="str">
            <v>530-24015-004-0001</v>
          </cell>
          <cell r="J2248">
            <v>1734.18</v>
          </cell>
        </row>
        <row r="2249">
          <cell r="A2249" t="str">
            <v>CIVLA</v>
          </cell>
          <cell r="B2249" t="str">
            <v>530-24015-004-0002</v>
          </cell>
          <cell r="J2249">
            <v>2028.68</v>
          </cell>
        </row>
        <row r="2250">
          <cell r="A2250" t="str">
            <v>CIVLA</v>
          </cell>
          <cell r="B2250" t="str">
            <v>530-24015-004-0003</v>
          </cell>
          <cell r="J2250">
            <v>9704.58</v>
          </cell>
        </row>
        <row r="2251">
          <cell r="A2251" t="str">
            <v>CIVLA</v>
          </cell>
          <cell r="B2251" t="str">
            <v>530-24015-004-0005</v>
          </cell>
          <cell r="J2251">
            <v>2856.33</v>
          </cell>
        </row>
        <row r="2252">
          <cell r="A2252" t="str">
            <v>CIVLA</v>
          </cell>
          <cell r="B2252" t="str">
            <v>530-24015-004-0009</v>
          </cell>
          <cell r="J2252">
            <v>8.6199999999999992</v>
          </cell>
        </row>
        <row r="2253">
          <cell r="A2253" t="str">
            <v>CIVLA</v>
          </cell>
          <cell r="B2253" t="str">
            <v>530-24015-004-0013</v>
          </cell>
          <cell r="J2253">
            <v>578.71</v>
          </cell>
        </row>
        <row r="2254">
          <cell r="A2254" t="str">
            <v>CIVLA</v>
          </cell>
          <cell r="B2254" t="str">
            <v>530-24044-000-0000</v>
          </cell>
          <cell r="J2254">
            <v>1725.84</v>
          </cell>
        </row>
        <row r="2255">
          <cell r="A2255" t="str">
            <v>CIVLA</v>
          </cell>
          <cell r="B2255" t="str">
            <v>530-24044-004-0000</v>
          </cell>
          <cell r="J2255">
            <v>1725.84</v>
          </cell>
        </row>
        <row r="2256">
          <cell r="A2256" t="str">
            <v>CIVLA</v>
          </cell>
          <cell r="B2256" t="str">
            <v>530-24044-004-0002</v>
          </cell>
          <cell r="J2256">
            <v>1725.84</v>
          </cell>
        </row>
        <row r="2257">
          <cell r="A2257" t="str">
            <v>CIVLA</v>
          </cell>
          <cell r="B2257" t="str">
            <v>530-25004-000-0000</v>
          </cell>
          <cell r="J2257">
            <v>1650</v>
          </cell>
        </row>
        <row r="2258">
          <cell r="A2258" t="str">
            <v>CIVLA</v>
          </cell>
          <cell r="B2258" t="str">
            <v>530-25004-004-0000</v>
          </cell>
          <cell r="J2258">
            <v>1650</v>
          </cell>
        </row>
        <row r="2259">
          <cell r="A2259" t="str">
            <v>CIVLA</v>
          </cell>
          <cell r="B2259" t="str">
            <v>530-25004-004-0005</v>
          </cell>
          <cell r="J2259">
            <v>1650</v>
          </cell>
        </row>
        <row r="2260">
          <cell r="A2260" t="str">
            <v>CIVLA</v>
          </cell>
          <cell r="B2260" t="str">
            <v>530-25005-000-0000</v>
          </cell>
          <cell r="J2260">
            <v>7128.83</v>
          </cell>
        </row>
        <row r="2261">
          <cell r="A2261" t="str">
            <v>CIVLA</v>
          </cell>
          <cell r="B2261" t="str">
            <v>530-25005-004-0000</v>
          </cell>
          <cell r="J2261">
            <v>7128.83</v>
          </cell>
        </row>
        <row r="2262">
          <cell r="A2262" t="str">
            <v>CIVLA</v>
          </cell>
          <cell r="B2262" t="str">
            <v>530-25005-004-0002</v>
          </cell>
          <cell r="J2262">
            <v>3748.27</v>
          </cell>
        </row>
        <row r="2263">
          <cell r="A2263" t="str">
            <v>CIVLA</v>
          </cell>
          <cell r="B2263" t="str">
            <v>530-25005-004-0005</v>
          </cell>
          <cell r="J2263">
            <v>3380.56</v>
          </cell>
        </row>
        <row r="2264">
          <cell r="A2264" t="str">
            <v>CIVLA</v>
          </cell>
          <cell r="B2264" t="str">
            <v>530-25006-000-0000</v>
          </cell>
          <cell r="J2264">
            <v>1577.67</v>
          </cell>
        </row>
        <row r="2265">
          <cell r="A2265" t="str">
            <v>CIVLA</v>
          </cell>
          <cell r="B2265" t="str">
            <v>530-25006-004-0000</v>
          </cell>
          <cell r="J2265">
            <v>1577.67</v>
          </cell>
        </row>
        <row r="2266">
          <cell r="A2266" t="str">
            <v>CIVLA</v>
          </cell>
          <cell r="B2266" t="str">
            <v>530-25006-004-0002</v>
          </cell>
          <cell r="J2266">
            <v>1577.67</v>
          </cell>
        </row>
        <row r="2267">
          <cell r="A2267" t="str">
            <v>CIVLA</v>
          </cell>
          <cell r="B2267" t="str">
            <v>530-25007-000-0000</v>
          </cell>
          <cell r="J2267">
            <v>3625.6</v>
          </cell>
        </row>
        <row r="2268">
          <cell r="A2268" t="str">
            <v>CIVLA</v>
          </cell>
          <cell r="B2268" t="str">
            <v>530-25007-004-0000</v>
          </cell>
          <cell r="J2268">
            <v>3625.6</v>
          </cell>
        </row>
        <row r="2269">
          <cell r="A2269" t="str">
            <v>CIVLA</v>
          </cell>
          <cell r="B2269" t="str">
            <v>530-25007-004-0002</v>
          </cell>
          <cell r="J2269">
            <v>1936.69</v>
          </cell>
        </row>
        <row r="2270">
          <cell r="A2270" t="str">
            <v>CIVLA</v>
          </cell>
          <cell r="B2270" t="str">
            <v>530-25007-004-0003</v>
          </cell>
          <cell r="J2270">
            <v>1688.91</v>
          </cell>
        </row>
        <row r="2271">
          <cell r="A2271" t="str">
            <v>CIVLA</v>
          </cell>
          <cell r="B2271" t="str">
            <v>530-25009-000-0000</v>
          </cell>
          <cell r="J2271">
            <v>14324.74</v>
          </cell>
        </row>
        <row r="2272">
          <cell r="A2272" t="str">
            <v>CIVLA</v>
          </cell>
          <cell r="B2272" t="str">
            <v>530-25009-004-0000</v>
          </cell>
          <cell r="J2272">
            <v>14324.74</v>
          </cell>
        </row>
        <row r="2273">
          <cell r="A2273" t="str">
            <v>CIVLA</v>
          </cell>
          <cell r="B2273" t="str">
            <v>530-25009-004-0002</v>
          </cell>
          <cell r="J2273">
            <v>13752.33</v>
          </cell>
        </row>
        <row r="2274">
          <cell r="A2274" t="str">
            <v>CIVLA</v>
          </cell>
          <cell r="B2274" t="str">
            <v>530-25009-004-0005</v>
          </cell>
          <cell r="J2274">
            <v>572.41</v>
          </cell>
        </row>
        <row r="2275">
          <cell r="A2275" t="str">
            <v>CIVLA</v>
          </cell>
          <cell r="B2275" t="str">
            <v>530-25010-000-0000</v>
          </cell>
          <cell r="J2275">
            <v>1962.07</v>
          </cell>
        </row>
        <row r="2276">
          <cell r="A2276" t="str">
            <v>CIVLA</v>
          </cell>
          <cell r="B2276" t="str">
            <v>530-25010-004-0000</v>
          </cell>
          <cell r="J2276">
            <v>1962.07</v>
          </cell>
        </row>
        <row r="2277">
          <cell r="A2277" t="str">
            <v>CIVLA</v>
          </cell>
          <cell r="B2277" t="str">
            <v>530-25010-004-0002</v>
          </cell>
          <cell r="J2277">
            <v>1962.07</v>
          </cell>
        </row>
        <row r="2278">
          <cell r="A2278" t="str">
            <v>CIVLA</v>
          </cell>
          <cell r="B2278" t="str">
            <v>530-25013-000-0000</v>
          </cell>
          <cell r="J2278">
            <v>6344.34</v>
          </cell>
        </row>
        <row r="2279">
          <cell r="A2279" t="str">
            <v>CIVLA</v>
          </cell>
          <cell r="B2279" t="str">
            <v>530-25013-004-0000</v>
          </cell>
          <cell r="J2279">
            <v>6344.34</v>
          </cell>
        </row>
        <row r="2280">
          <cell r="A2280" t="str">
            <v>CIVLA</v>
          </cell>
          <cell r="B2280" t="str">
            <v>530-25013-004-0002</v>
          </cell>
          <cell r="J2280">
            <v>6344.34</v>
          </cell>
        </row>
        <row r="2281">
          <cell r="A2281" t="str">
            <v>CIVLA</v>
          </cell>
          <cell r="B2281" t="str">
            <v>530-25014-000-0000</v>
          </cell>
          <cell r="J2281">
            <v>1625.78</v>
          </cell>
        </row>
        <row r="2282">
          <cell r="A2282" t="str">
            <v>CIVLA</v>
          </cell>
          <cell r="B2282" t="str">
            <v>530-25014-004-0000</v>
          </cell>
          <cell r="J2282">
            <v>1625.78</v>
          </cell>
        </row>
        <row r="2283">
          <cell r="A2283" t="str">
            <v>CIVLA</v>
          </cell>
          <cell r="B2283" t="str">
            <v>530-25014-004-0005</v>
          </cell>
          <cell r="J2283">
            <v>1625.78</v>
          </cell>
        </row>
        <row r="2284">
          <cell r="A2284" t="str">
            <v>CIVLA</v>
          </cell>
          <cell r="B2284" t="str">
            <v>530-25015-000-0000</v>
          </cell>
          <cell r="J2284">
            <v>27639.42</v>
          </cell>
        </row>
        <row r="2285">
          <cell r="A2285" t="str">
            <v>CIVLA</v>
          </cell>
          <cell r="B2285" t="str">
            <v>530-25015-004-0000</v>
          </cell>
          <cell r="J2285">
            <v>27639.42</v>
          </cell>
        </row>
        <row r="2286">
          <cell r="A2286" t="str">
            <v>CIVLA</v>
          </cell>
          <cell r="B2286" t="str">
            <v>530-25015-004-0002</v>
          </cell>
          <cell r="J2286">
            <v>8232.76</v>
          </cell>
        </row>
        <row r="2287">
          <cell r="A2287" t="str">
            <v>CIVLA</v>
          </cell>
          <cell r="B2287" t="str">
            <v>530-25015-004-0005</v>
          </cell>
          <cell r="J2287">
            <v>10469.56</v>
          </cell>
        </row>
        <row r="2288">
          <cell r="A2288" t="str">
            <v>CIVLA</v>
          </cell>
          <cell r="B2288" t="str">
            <v>530-25015-004-0007</v>
          </cell>
          <cell r="J2288">
            <v>8937.1</v>
          </cell>
        </row>
        <row r="2289">
          <cell r="A2289" t="str">
            <v>CIVLA</v>
          </cell>
          <cell r="B2289" t="str">
            <v>530-25025-000-0000</v>
          </cell>
          <cell r="J2289">
            <v>1161207.6100000001</v>
          </cell>
        </row>
        <row r="2290">
          <cell r="A2290" t="str">
            <v>CIVLA</v>
          </cell>
          <cell r="B2290" t="str">
            <v>530-25025-004-0000</v>
          </cell>
          <cell r="J2290">
            <v>1105608.48</v>
          </cell>
        </row>
        <row r="2291">
          <cell r="A2291" t="str">
            <v>CIVLA</v>
          </cell>
          <cell r="B2291" t="str">
            <v>530-25025-004-0001</v>
          </cell>
          <cell r="J2291">
            <v>97492.78</v>
          </cell>
        </row>
        <row r="2292">
          <cell r="A2292" t="str">
            <v>CIVLA</v>
          </cell>
          <cell r="B2292" t="str">
            <v>530-25025-004-0002</v>
          </cell>
          <cell r="J2292">
            <v>282614.53000000003</v>
          </cell>
        </row>
        <row r="2293">
          <cell r="A2293" t="str">
            <v>CIVLA</v>
          </cell>
          <cell r="B2293" t="str">
            <v>530-25025-004-0003</v>
          </cell>
          <cell r="J2293">
            <v>222384.36</v>
          </cell>
        </row>
        <row r="2294">
          <cell r="A2294" t="str">
            <v>CIVLA</v>
          </cell>
          <cell r="B2294" t="str">
            <v>530-25025-004-0004</v>
          </cell>
          <cell r="J2294">
            <v>1175.8800000000001</v>
          </cell>
        </row>
        <row r="2295">
          <cell r="A2295" t="str">
            <v>CIVLA</v>
          </cell>
          <cell r="B2295" t="str">
            <v>530-25025-004-0005</v>
          </cell>
          <cell r="J2295">
            <v>275527.76</v>
          </cell>
        </row>
        <row r="2296">
          <cell r="A2296" t="str">
            <v>CIVLA</v>
          </cell>
          <cell r="B2296" t="str">
            <v>530-25025-004-0006</v>
          </cell>
          <cell r="J2296">
            <v>5381.13</v>
          </cell>
        </row>
        <row r="2297">
          <cell r="A2297" t="str">
            <v>CIVLA</v>
          </cell>
          <cell r="B2297" t="str">
            <v>530-25025-004-0009</v>
          </cell>
          <cell r="J2297">
            <v>137098.82</v>
          </cell>
        </row>
        <row r="2298">
          <cell r="A2298" t="str">
            <v>CIVLA</v>
          </cell>
          <cell r="B2298" t="str">
            <v>530-25025-004-0011</v>
          </cell>
          <cell r="J2298">
            <v>9290.19</v>
          </cell>
        </row>
        <row r="2299">
          <cell r="A2299" t="str">
            <v>CIVLA</v>
          </cell>
          <cell r="B2299" t="str">
            <v>530-25025-004-0013</v>
          </cell>
          <cell r="J2299">
            <v>73264.25</v>
          </cell>
        </row>
        <row r="2300">
          <cell r="A2300" t="str">
            <v>CIVLA</v>
          </cell>
          <cell r="B2300" t="str">
            <v>530-25025-004-0014</v>
          </cell>
          <cell r="J2300">
            <v>1378.78</v>
          </cell>
        </row>
        <row r="2301">
          <cell r="A2301" t="str">
            <v>CIVLA</v>
          </cell>
          <cell r="B2301" t="str">
            <v>530-25025-041-0000</v>
          </cell>
          <cell r="J2301">
            <v>55599.13</v>
          </cell>
        </row>
        <row r="2302">
          <cell r="A2302" t="str">
            <v>CIVLA</v>
          </cell>
          <cell r="B2302" t="str">
            <v>530-25026-000-0000</v>
          </cell>
          <cell r="J2302">
            <v>403.45</v>
          </cell>
        </row>
        <row r="2303">
          <cell r="A2303" t="str">
            <v>CIVLA</v>
          </cell>
          <cell r="B2303" t="str">
            <v>530-25026-004-0000</v>
          </cell>
          <cell r="J2303">
            <v>403.45</v>
          </cell>
        </row>
        <row r="2304">
          <cell r="A2304" t="str">
            <v>CIVLA</v>
          </cell>
          <cell r="B2304" t="str">
            <v>530-25026-004-0005</v>
          </cell>
          <cell r="J2304">
            <v>403.45</v>
          </cell>
        </row>
        <row r="2305">
          <cell r="A2305" t="str">
            <v>CIVLA</v>
          </cell>
          <cell r="B2305" t="str">
            <v>530-25027-000-0000</v>
          </cell>
          <cell r="J2305">
            <v>5170.59</v>
          </cell>
        </row>
        <row r="2306">
          <cell r="A2306" t="str">
            <v>CIVLA</v>
          </cell>
          <cell r="B2306" t="str">
            <v>530-25027-004-0000</v>
          </cell>
          <cell r="J2306">
            <v>5170.59</v>
          </cell>
        </row>
        <row r="2307">
          <cell r="A2307" t="str">
            <v>CIVLA</v>
          </cell>
          <cell r="B2307" t="str">
            <v>530-25027-004-0001</v>
          </cell>
          <cell r="J2307">
            <v>340.35</v>
          </cell>
        </row>
        <row r="2308">
          <cell r="A2308" t="str">
            <v>CIVLA</v>
          </cell>
          <cell r="B2308" t="str">
            <v>530-25027-004-0002</v>
          </cell>
          <cell r="J2308">
            <v>2018.12</v>
          </cell>
        </row>
        <row r="2309">
          <cell r="A2309" t="str">
            <v>CIVLA</v>
          </cell>
          <cell r="B2309" t="str">
            <v>530-25027-004-0003</v>
          </cell>
          <cell r="J2309">
            <v>603.36</v>
          </cell>
        </row>
        <row r="2310">
          <cell r="A2310" t="str">
            <v>CIVLA</v>
          </cell>
          <cell r="B2310" t="str">
            <v>530-25027-004-0004</v>
          </cell>
          <cell r="J2310">
            <v>384.45</v>
          </cell>
        </row>
        <row r="2311">
          <cell r="A2311" t="str">
            <v>CIVLA</v>
          </cell>
          <cell r="B2311" t="str">
            <v>530-25027-004-0005</v>
          </cell>
          <cell r="J2311">
            <v>1009.5</v>
          </cell>
        </row>
        <row r="2312">
          <cell r="A2312" t="str">
            <v>CIVLA</v>
          </cell>
          <cell r="B2312" t="str">
            <v>530-25027-004-0013</v>
          </cell>
          <cell r="J2312">
            <v>814.81</v>
          </cell>
        </row>
        <row r="2313">
          <cell r="A2313" t="str">
            <v>CIVLA</v>
          </cell>
          <cell r="B2313" t="str">
            <v>530-25028-000-0000</v>
          </cell>
          <cell r="J2313">
            <v>47861.58</v>
          </cell>
        </row>
        <row r="2314">
          <cell r="A2314" t="str">
            <v>CIVLA</v>
          </cell>
          <cell r="B2314" t="str">
            <v>530-25028-004-0000</v>
          </cell>
          <cell r="J2314">
            <v>47861.58</v>
          </cell>
        </row>
        <row r="2315">
          <cell r="A2315" t="str">
            <v>CIVLA</v>
          </cell>
          <cell r="B2315" t="str">
            <v>530-25028-004-0001</v>
          </cell>
          <cell r="J2315">
            <v>7480.52</v>
          </cell>
        </row>
        <row r="2316">
          <cell r="A2316" t="str">
            <v>CIVLA</v>
          </cell>
          <cell r="B2316" t="str">
            <v>530-25028-004-0002</v>
          </cell>
          <cell r="J2316">
            <v>6917.69</v>
          </cell>
        </row>
        <row r="2317">
          <cell r="A2317" t="str">
            <v>CIVLA</v>
          </cell>
          <cell r="B2317" t="str">
            <v>530-25028-004-0003</v>
          </cell>
          <cell r="J2317">
            <v>18511.240000000002</v>
          </cell>
        </row>
        <row r="2318">
          <cell r="A2318" t="str">
            <v>CIVLA</v>
          </cell>
          <cell r="B2318" t="str">
            <v>530-25028-004-0005</v>
          </cell>
          <cell r="J2318">
            <v>7541</v>
          </cell>
        </row>
        <row r="2319">
          <cell r="A2319" t="str">
            <v>CIVLA</v>
          </cell>
          <cell r="B2319" t="str">
            <v>530-25028-004-0010</v>
          </cell>
          <cell r="J2319">
            <v>427.24</v>
          </cell>
        </row>
        <row r="2320">
          <cell r="A2320" t="str">
            <v>CIVLA</v>
          </cell>
          <cell r="B2320" t="str">
            <v>530-25028-004-0011</v>
          </cell>
          <cell r="J2320">
            <v>2337.25</v>
          </cell>
        </row>
        <row r="2321">
          <cell r="A2321" t="str">
            <v>CIVLA</v>
          </cell>
          <cell r="B2321" t="str">
            <v>530-25028-004-0013</v>
          </cell>
          <cell r="J2321">
            <v>2388.88</v>
          </cell>
        </row>
        <row r="2322">
          <cell r="A2322" t="str">
            <v>CIVLA</v>
          </cell>
          <cell r="B2322" t="str">
            <v>530-25028-004-0014</v>
          </cell>
          <cell r="J2322">
            <v>2257.7600000000002</v>
          </cell>
        </row>
        <row r="2323">
          <cell r="A2323" t="str">
            <v>CIVLA</v>
          </cell>
          <cell r="B2323" t="str">
            <v>530-25030-000-0000</v>
          </cell>
          <cell r="J2323">
            <v>142000</v>
          </cell>
        </row>
        <row r="2324">
          <cell r="A2324" t="str">
            <v>CIVLA</v>
          </cell>
          <cell r="B2324" t="str">
            <v>530-25030-009-0000</v>
          </cell>
          <cell r="J2324">
            <v>142000</v>
          </cell>
        </row>
        <row r="2325">
          <cell r="A2325" t="str">
            <v>CIVLA</v>
          </cell>
          <cell r="B2325" t="str">
            <v>530-25031-000-0000</v>
          </cell>
          <cell r="J2325">
            <v>10535.59</v>
          </cell>
        </row>
        <row r="2326">
          <cell r="A2326" t="str">
            <v>CIVLA</v>
          </cell>
          <cell r="B2326" t="str">
            <v>530-25031-004-0000</v>
          </cell>
          <cell r="J2326">
            <v>10535.59</v>
          </cell>
        </row>
        <row r="2327">
          <cell r="A2327" t="str">
            <v>CIVLA</v>
          </cell>
          <cell r="B2327" t="str">
            <v>530-25031-004-0001</v>
          </cell>
          <cell r="J2327">
            <v>4800.76</v>
          </cell>
        </row>
        <row r="2328">
          <cell r="A2328" t="str">
            <v>CIVLA</v>
          </cell>
          <cell r="B2328" t="str">
            <v>530-25031-004-0002</v>
          </cell>
          <cell r="J2328">
            <v>3118.63</v>
          </cell>
        </row>
        <row r="2329">
          <cell r="A2329" t="str">
            <v>CIVLA</v>
          </cell>
          <cell r="B2329" t="str">
            <v>530-25031-004-0005</v>
          </cell>
          <cell r="J2329">
            <v>2528.2399999999998</v>
          </cell>
        </row>
        <row r="2330">
          <cell r="A2330" t="str">
            <v>CIVLA</v>
          </cell>
          <cell r="B2330" t="str">
            <v>530-25031-004-0013</v>
          </cell>
          <cell r="J2330">
            <v>87.96</v>
          </cell>
        </row>
        <row r="2331">
          <cell r="A2331" t="str">
            <v>CIVLA</v>
          </cell>
          <cell r="B2331" t="str">
            <v>530-25032-000-0000</v>
          </cell>
          <cell r="J2331">
            <v>1419.8</v>
          </cell>
        </row>
        <row r="2332">
          <cell r="A2332" t="str">
            <v>CIVLA</v>
          </cell>
          <cell r="B2332" t="str">
            <v>530-25032-004-0000</v>
          </cell>
          <cell r="J2332">
            <v>1419.8</v>
          </cell>
        </row>
        <row r="2333">
          <cell r="A2333" t="str">
            <v>CIVLA</v>
          </cell>
          <cell r="B2333" t="str">
            <v>530-25032-004-0001</v>
          </cell>
          <cell r="J2333">
            <v>468.08</v>
          </cell>
        </row>
        <row r="2334">
          <cell r="A2334" t="str">
            <v>CIVLA</v>
          </cell>
          <cell r="B2334" t="str">
            <v>530-25032-004-0005</v>
          </cell>
          <cell r="J2334">
            <v>951.72</v>
          </cell>
        </row>
        <row r="2335">
          <cell r="A2335" t="str">
            <v>CIVLA</v>
          </cell>
          <cell r="B2335" t="str">
            <v>530-25034-000-0000</v>
          </cell>
          <cell r="J2335">
            <v>196868.55</v>
          </cell>
        </row>
        <row r="2336">
          <cell r="A2336" t="str">
            <v>CIVLA</v>
          </cell>
          <cell r="B2336" t="str">
            <v>530-25034-004-0000</v>
          </cell>
          <cell r="J2336">
            <v>196868.55</v>
          </cell>
        </row>
        <row r="2337">
          <cell r="A2337" t="str">
            <v>CIVLA</v>
          </cell>
          <cell r="B2337" t="str">
            <v>530-25034-004-0001</v>
          </cell>
          <cell r="J2337">
            <v>12725.14</v>
          </cell>
        </row>
        <row r="2338">
          <cell r="A2338" t="str">
            <v>CIVLA</v>
          </cell>
          <cell r="B2338" t="str">
            <v>530-25034-004-0002</v>
          </cell>
          <cell r="J2338">
            <v>56233.25</v>
          </cell>
        </row>
        <row r="2339">
          <cell r="A2339" t="str">
            <v>CIVLA</v>
          </cell>
          <cell r="B2339" t="str">
            <v>530-25034-004-0003</v>
          </cell>
          <cell r="J2339">
            <v>68901.16</v>
          </cell>
        </row>
        <row r="2340">
          <cell r="A2340" t="str">
            <v>CIVLA</v>
          </cell>
          <cell r="B2340" t="str">
            <v>530-25034-004-0005</v>
          </cell>
          <cell r="J2340">
            <v>9230.5300000000007</v>
          </cell>
        </row>
        <row r="2341">
          <cell r="A2341" t="str">
            <v>CIVLA</v>
          </cell>
          <cell r="B2341" t="str">
            <v>530-25034-004-0009</v>
          </cell>
          <cell r="J2341">
            <v>2000</v>
          </cell>
        </row>
        <row r="2342">
          <cell r="A2342" t="str">
            <v>CIVLA</v>
          </cell>
          <cell r="B2342" t="str">
            <v>530-25034-004-0011</v>
          </cell>
          <cell r="J2342">
            <v>482.76</v>
          </cell>
        </row>
        <row r="2343">
          <cell r="A2343" t="str">
            <v>CIVLA</v>
          </cell>
          <cell r="B2343" t="str">
            <v>530-25034-004-0013</v>
          </cell>
          <cell r="J2343">
            <v>47295.71</v>
          </cell>
        </row>
        <row r="2344">
          <cell r="A2344" t="str">
            <v>CIVLA</v>
          </cell>
          <cell r="B2344" t="str">
            <v>530-25035-000-0000</v>
          </cell>
          <cell r="J2344">
            <v>214645.36</v>
          </cell>
        </row>
        <row r="2345">
          <cell r="A2345" t="str">
            <v>CIVLA</v>
          </cell>
          <cell r="B2345" t="str">
            <v>530-25035-004-0000</v>
          </cell>
          <cell r="J2345">
            <v>214645.36</v>
          </cell>
        </row>
        <row r="2346">
          <cell r="A2346" t="str">
            <v>CIVLA</v>
          </cell>
          <cell r="B2346" t="str">
            <v>530-25035-004-0001</v>
          </cell>
          <cell r="J2346">
            <v>54424.53</v>
          </cell>
        </row>
        <row r="2347">
          <cell r="A2347" t="str">
            <v>CIVLA</v>
          </cell>
          <cell r="B2347" t="str">
            <v>530-25035-004-0002</v>
          </cell>
          <cell r="J2347">
            <v>91793.93</v>
          </cell>
        </row>
        <row r="2348">
          <cell r="A2348" t="str">
            <v>CIVLA</v>
          </cell>
          <cell r="B2348" t="str">
            <v>530-25035-004-0003</v>
          </cell>
          <cell r="J2348">
            <v>7451.98</v>
          </cell>
        </row>
        <row r="2349">
          <cell r="A2349" t="str">
            <v>CIVLA</v>
          </cell>
          <cell r="B2349" t="str">
            <v>530-25035-004-0005</v>
          </cell>
          <cell r="J2349">
            <v>28049.69</v>
          </cell>
        </row>
        <row r="2350">
          <cell r="A2350" t="str">
            <v>CIVLA</v>
          </cell>
          <cell r="B2350" t="str">
            <v>530-25035-004-0006</v>
          </cell>
          <cell r="J2350">
            <v>4278.46</v>
          </cell>
        </row>
        <row r="2351">
          <cell r="A2351" t="str">
            <v>CIVLA</v>
          </cell>
          <cell r="B2351" t="str">
            <v>530-25035-004-0009</v>
          </cell>
          <cell r="J2351">
            <v>4487.72</v>
          </cell>
        </row>
        <row r="2352">
          <cell r="A2352" t="str">
            <v>CIVLA</v>
          </cell>
          <cell r="B2352" t="str">
            <v>530-25035-004-0011</v>
          </cell>
          <cell r="J2352">
            <v>332</v>
          </cell>
        </row>
        <row r="2353">
          <cell r="A2353" t="str">
            <v>CIVLA</v>
          </cell>
          <cell r="B2353" t="str">
            <v>530-25035-004-0013</v>
          </cell>
          <cell r="J2353">
            <v>23375.63</v>
          </cell>
        </row>
        <row r="2354">
          <cell r="A2354" t="str">
            <v>CIVLA</v>
          </cell>
          <cell r="B2354" t="str">
            <v>530-25035-004-0014</v>
          </cell>
          <cell r="J2354">
            <v>451.42</v>
          </cell>
        </row>
        <row r="2355">
          <cell r="A2355" t="str">
            <v>CIVLA</v>
          </cell>
          <cell r="B2355" t="str">
            <v>530-25036-000-0000</v>
          </cell>
          <cell r="J2355">
            <v>64661.79</v>
          </cell>
        </row>
        <row r="2356">
          <cell r="A2356" t="str">
            <v>CIVLA</v>
          </cell>
          <cell r="B2356" t="str">
            <v>530-25036-004-0000</v>
          </cell>
          <cell r="J2356">
            <v>64661.79</v>
          </cell>
        </row>
        <row r="2357">
          <cell r="A2357" t="str">
            <v>CIVLA</v>
          </cell>
          <cell r="B2357" t="str">
            <v>530-25036-004-0001</v>
          </cell>
          <cell r="J2357">
            <v>17468.810000000001</v>
          </cell>
        </row>
        <row r="2358">
          <cell r="A2358" t="str">
            <v>CIVLA</v>
          </cell>
          <cell r="B2358" t="str">
            <v>530-25036-004-0002</v>
          </cell>
          <cell r="J2358">
            <v>16356.18</v>
          </cell>
        </row>
        <row r="2359">
          <cell r="A2359" t="str">
            <v>CIVLA</v>
          </cell>
          <cell r="B2359" t="str">
            <v>530-25036-004-0003</v>
          </cell>
          <cell r="J2359">
            <v>11628.82</v>
          </cell>
        </row>
        <row r="2360">
          <cell r="A2360" t="str">
            <v>CIVLA</v>
          </cell>
          <cell r="B2360" t="str">
            <v>530-25036-004-0005</v>
          </cell>
          <cell r="J2360">
            <v>7264.66</v>
          </cell>
        </row>
        <row r="2361">
          <cell r="A2361" t="str">
            <v>CIVLA</v>
          </cell>
          <cell r="B2361" t="str">
            <v>530-25036-004-0006</v>
          </cell>
          <cell r="J2361">
            <v>413.79</v>
          </cell>
        </row>
        <row r="2362">
          <cell r="A2362" t="str">
            <v>CIVLA</v>
          </cell>
          <cell r="B2362" t="str">
            <v>530-25036-004-0009</v>
          </cell>
          <cell r="J2362">
            <v>11188.79</v>
          </cell>
        </row>
        <row r="2363">
          <cell r="A2363" t="str">
            <v>CIVLA</v>
          </cell>
          <cell r="B2363" t="str">
            <v>530-25036-004-0013</v>
          </cell>
          <cell r="J2363">
            <v>229.63</v>
          </cell>
        </row>
        <row r="2364">
          <cell r="A2364" t="str">
            <v>CIVLA</v>
          </cell>
          <cell r="B2364" t="str">
            <v>530-25036-004-0014</v>
          </cell>
          <cell r="J2364">
            <v>111.11</v>
          </cell>
        </row>
        <row r="2365">
          <cell r="A2365" t="str">
            <v>CIVLA</v>
          </cell>
          <cell r="B2365" t="str">
            <v>530-25038-000-0000</v>
          </cell>
          <cell r="J2365">
            <v>23994.46</v>
          </cell>
        </row>
        <row r="2366">
          <cell r="A2366" t="str">
            <v>CIVLA</v>
          </cell>
          <cell r="B2366" t="str">
            <v>530-25038-004-0000</v>
          </cell>
          <cell r="J2366">
            <v>23994.46</v>
          </cell>
        </row>
        <row r="2367">
          <cell r="A2367" t="str">
            <v>CIVLA</v>
          </cell>
          <cell r="B2367" t="str">
            <v>530-25038-004-0001</v>
          </cell>
          <cell r="J2367">
            <v>1549.46</v>
          </cell>
        </row>
        <row r="2368">
          <cell r="A2368" t="str">
            <v>CIVLA</v>
          </cell>
          <cell r="B2368" t="str">
            <v>530-25038-004-0002</v>
          </cell>
          <cell r="J2368">
            <v>14892.15</v>
          </cell>
        </row>
        <row r="2369">
          <cell r="A2369" t="str">
            <v>CIVLA</v>
          </cell>
          <cell r="B2369" t="str">
            <v>530-25038-004-0003</v>
          </cell>
          <cell r="J2369">
            <v>5135.3500000000004</v>
          </cell>
        </row>
        <row r="2370">
          <cell r="A2370" t="str">
            <v>CIVLA</v>
          </cell>
          <cell r="B2370" t="str">
            <v>530-25038-004-0013</v>
          </cell>
          <cell r="J2370">
            <v>2417.5</v>
          </cell>
        </row>
        <row r="2371">
          <cell r="A2371" t="str">
            <v>CIVLA</v>
          </cell>
          <cell r="B2371" t="str">
            <v>530-25039-000-0000</v>
          </cell>
          <cell r="J2371">
            <v>91105.46</v>
          </cell>
        </row>
        <row r="2372">
          <cell r="A2372" t="str">
            <v>CIVLA</v>
          </cell>
          <cell r="B2372" t="str">
            <v>530-25039-004-0000</v>
          </cell>
          <cell r="J2372">
            <v>91105.46</v>
          </cell>
        </row>
        <row r="2373">
          <cell r="A2373" t="str">
            <v>CIVLA</v>
          </cell>
          <cell r="B2373" t="str">
            <v>530-25039-004-0001</v>
          </cell>
          <cell r="J2373">
            <v>6237.69</v>
          </cell>
        </row>
        <row r="2374">
          <cell r="A2374" t="str">
            <v>CIVLA</v>
          </cell>
          <cell r="B2374" t="str">
            <v>530-25039-004-0002</v>
          </cell>
          <cell r="J2374">
            <v>13165.57</v>
          </cell>
        </row>
        <row r="2375">
          <cell r="A2375" t="str">
            <v>CIVLA</v>
          </cell>
          <cell r="B2375" t="str">
            <v>530-25039-004-0003</v>
          </cell>
          <cell r="J2375">
            <v>33705.56</v>
          </cell>
        </row>
        <row r="2376">
          <cell r="A2376" t="str">
            <v>CIVLA</v>
          </cell>
          <cell r="B2376" t="str">
            <v>530-25039-004-0004</v>
          </cell>
          <cell r="J2376">
            <v>3369.67</v>
          </cell>
        </row>
        <row r="2377">
          <cell r="A2377" t="str">
            <v>CIVLA</v>
          </cell>
          <cell r="B2377" t="str">
            <v>530-25039-004-0005</v>
          </cell>
          <cell r="J2377">
            <v>15962.81</v>
          </cell>
        </row>
        <row r="2378">
          <cell r="A2378" t="str">
            <v>CIVLA</v>
          </cell>
          <cell r="B2378" t="str">
            <v>530-25039-004-0009</v>
          </cell>
          <cell r="J2378">
            <v>106.9</v>
          </cell>
        </row>
        <row r="2379">
          <cell r="A2379" t="str">
            <v>CIVLA</v>
          </cell>
          <cell r="B2379" t="str">
            <v>530-25039-004-0011</v>
          </cell>
          <cell r="J2379">
            <v>12737.07</v>
          </cell>
        </row>
        <row r="2380">
          <cell r="A2380" t="str">
            <v>CIVLA</v>
          </cell>
          <cell r="B2380" t="str">
            <v>530-25039-004-0013</v>
          </cell>
          <cell r="J2380">
            <v>5820.19</v>
          </cell>
        </row>
        <row r="2381">
          <cell r="A2381" t="str">
            <v>CIVLA</v>
          </cell>
          <cell r="B2381" t="str">
            <v>530-25040-000-0000</v>
          </cell>
          <cell r="J2381">
            <v>188032.37</v>
          </cell>
        </row>
        <row r="2382">
          <cell r="A2382" t="str">
            <v>CIVLA</v>
          </cell>
          <cell r="B2382" t="str">
            <v>530-25040-004-0000</v>
          </cell>
          <cell r="J2382">
            <v>188032.37</v>
          </cell>
        </row>
        <row r="2383">
          <cell r="A2383" t="str">
            <v>CIVLA</v>
          </cell>
          <cell r="B2383" t="str">
            <v>530-25040-004-0001</v>
          </cell>
          <cell r="J2383">
            <v>28313.200000000001</v>
          </cell>
        </row>
        <row r="2384">
          <cell r="A2384" t="str">
            <v>CIVLA</v>
          </cell>
          <cell r="B2384" t="str">
            <v>530-25040-004-0002</v>
          </cell>
          <cell r="J2384">
            <v>38802.870000000003</v>
          </cell>
        </row>
        <row r="2385">
          <cell r="A2385" t="str">
            <v>CIVLA</v>
          </cell>
          <cell r="B2385" t="str">
            <v>530-25040-004-0003</v>
          </cell>
          <cell r="J2385">
            <v>81670.990000000005</v>
          </cell>
        </row>
        <row r="2386">
          <cell r="A2386" t="str">
            <v>CIVLA</v>
          </cell>
          <cell r="B2386" t="str">
            <v>530-25040-004-0004</v>
          </cell>
          <cell r="J2386">
            <v>387.94</v>
          </cell>
        </row>
        <row r="2387">
          <cell r="A2387" t="str">
            <v>CIVLA</v>
          </cell>
          <cell r="B2387" t="str">
            <v>530-25040-004-0005</v>
          </cell>
          <cell r="J2387">
            <v>28944.639999999999</v>
          </cell>
        </row>
        <row r="2388">
          <cell r="A2388" t="str">
            <v>CIVLA</v>
          </cell>
          <cell r="B2388" t="str">
            <v>530-25040-004-0009</v>
          </cell>
          <cell r="J2388">
            <v>85.35</v>
          </cell>
        </row>
        <row r="2389">
          <cell r="A2389" t="str">
            <v>CIVLA</v>
          </cell>
          <cell r="B2389" t="str">
            <v>530-25040-004-0011</v>
          </cell>
          <cell r="J2389">
            <v>2907.58</v>
          </cell>
        </row>
        <row r="2390">
          <cell r="A2390" t="str">
            <v>CIVLA</v>
          </cell>
          <cell r="B2390" t="str">
            <v>530-25040-004-0013</v>
          </cell>
          <cell r="J2390">
            <v>6886.47</v>
          </cell>
        </row>
        <row r="2391">
          <cell r="A2391" t="str">
            <v>CIVLA</v>
          </cell>
          <cell r="B2391" t="str">
            <v>530-25040-004-0014</v>
          </cell>
          <cell r="J2391">
            <v>33.33</v>
          </cell>
        </row>
        <row r="2392">
          <cell r="A2392" t="str">
            <v>CIVLA</v>
          </cell>
          <cell r="B2392" t="str">
            <v>530-25041-000-0000</v>
          </cell>
          <cell r="J2392">
            <v>493099.89</v>
          </cell>
        </row>
        <row r="2393">
          <cell r="A2393" t="str">
            <v>CIVLA</v>
          </cell>
          <cell r="B2393" t="str">
            <v>530-25041-004-0000</v>
          </cell>
          <cell r="J2393">
            <v>493099.89</v>
          </cell>
        </row>
        <row r="2394">
          <cell r="A2394" t="str">
            <v>CIVLA</v>
          </cell>
          <cell r="B2394" t="str">
            <v>530-25041-004-0001</v>
          </cell>
          <cell r="J2394">
            <v>100577.55</v>
          </cell>
        </row>
        <row r="2395">
          <cell r="A2395" t="str">
            <v>CIVLA</v>
          </cell>
          <cell r="B2395" t="str">
            <v>530-25041-004-0002</v>
          </cell>
          <cell r="J2395">
            <v>158023.63</v>
          </cell>
        </row>
        <row r="2396">
          <cell r="A2396" t="str">
            <v>CIVLA</v>
          </cell>
          <cell r="B2396" t="str">
            <v>530-25041-004-0003</v>
          </cell>
          <cell r="J2396">
            <v>124740.88</v>
          </cell>
        </row>
        <row r="2397">
          <cell r="A2397" t="str">
            <v>CIVLA</v>
          </cell>
          <cell r="B2397" t="str">
            <v>530-25041-004-0004</v>
          </cell>
          <cell r="J2397">
            <v>3133.64</v>
          </cell>
        </row>
        <row r="2398">
          <cell r="A2398" t="str">
            <v>CIVLA</v>
          </cell>
          <cell r="B2398" t="str">
            <v>530-25041-004-0005</v>
          </cell>
          <cell r="J2398">
            <v>55041.08</v>
          </cell>
        </row>
        <row r="2399">
          <cell r="A2399" t="str">
            <v>CIVLA</v>
          </cell>
          <cell r="B2399" t="str">
            <v>530-25041-004-0006</v>
          </cell>
          <cell r="J2399">
            <v>1387.94</v>
          </cell>
        </row>
        <row r="2400">
          <cell r="A2400" t="str">
            <v>CIVLA</v>
          </cell>
          <cell r="B2400" t="str">
            <v>530-25041-004-0009</v>
          </cell>
          <cell r="J2400">
            <v>8045.25</v>
          </cell>
        </row>
        <row r="2401">
          <cell r="A2401" t="str">
            <v>CIVLA</v>
          </cell>
          <cell r="B2401" t="str">
            <v>530-25041-004-0011</v>
          </cell>
          <cell r="J2401">
            <v>4472.92</v>
          </cell>
        </row>
        <row r="2402">
          <cell r="A2402" t="str">
            <v>CIVLA</v>
          </cell>
          <cell r="B2402" t="str">
            <v>530-25041-004-0013</v>
          </cell>
          <cell r="J2402">
            <v>30894.26</v>
          </cell>
        </row>
        <row r="2403">
          <cell r="A2403" t="str">
            <v>CIVLA</v>
          </cell>
          <cell r="B2403" t="str">
            <v>530-25041-004-0014</v>
          </cell>
          <cell r="J2403">
            <v>6782.74</v>
          </cell>
        </row>
        <row r="2404">
          <cell r="A2404" t="str">
            <v>CIVLA</v>
          </cell>
          <cell r="B2404" t="str">
            <v>530-25042-000-0000</v>
          </cell>
          <cell r="J2404">
            <v>279571.98</v>
          </cell>
        </row>
        <row r="2405">
          <cell r="A2405" t="str">
            <v>CIVLA</v>
          </cell>
          <cell r="B2405" t="str">
            <v>530-25042-004-0000</v>
          </cell>
          <cell r="J2405">
            <v>279571.98</v>
          </cell>
        </row>
        <row r="2406">
          <cell r="A2406" t="str">
            <v>CIVLA</v>
          </cell>
          <cell r="B2406" t="str">
            <v>530-25042-004-0001</v>
          </cell>
          <cell r="J2406">
            <v>42962.76</v>
          </cell>
        </row>
        <row r="2407">
          <cell r="A2407" t="str">
            <v>CIVLA</v>
          </cell>
          <cell r="B2407" t="str">
            <v>530-25042-004-0002</v>
          </cell>
          <cell r="J2407">
            <v>118387.73</v>
          </cell>
        </row>
        <row r="2408">
          <cell r="A2408" t="str">
            <v>CIVLA</v>
          </cell>
          <cell r="B2408" t="str">
            <v>530-25042-004-0003</v>
          </cell>
          <cell r="J2408">
            <v>44625.760000000002</v>
          </cell>
        </row>
        <row r="2409">
          <cell r="A2409" t="str">
            <v>CIVLA</v>
          </cell>
          <cell r="B2409" t="str">
            <v>530-25042-004-0004</v>
          </cell>
          <cell r="J2409">
            <v>337.07</v>
          </cell>
        </row>
        <row r="2410">
          <cell r="A2410" t="str">
            <v>CIVLA</v>
          </cell>
          <cell r="B2410" t="str">
            <v>530-25042-004-0005</v>
          </cell>
          <cell r="J2410">
            <v>37398.75</v>
          </cell>
        </row>
        <row r="2411">
          <cell r="A2411" t="str">
            <v>CIVLA</v>
          </cell>
          <cell r="B2411" t="str">
            <v>530-25042-004-0006</v>
          </cell>
          <cell r="J2411">
            <v>255.17</v>
          </cell>
        </row>
        <row r="2412">
          <cell r="A2412" t="str">
            <v>CIVLA</v>
          </cell>
          <cell r="B2412" t="str">
            <v>530-25042-004-0009</v>
          </cell>
          <cell r="J2412">
            <v>4007.73</v>
          </cell>
        </row>
        <row r="2413">
          <cell r="A2413" t="str">
            <v>CIVLA</v>
          </cell>
          <cell r="B2413" t="str">
            <v>530-25042-004-0011</v>
          </cell>
          <cell r="J2413">
            <v>385.35</v>
          </cell>
        </row>
        <row r="2414">
          <cell r="A2414" t="str">
            <v>CIVLA</v>
          </cell>
          <cell r="B2414" t="str">
            <v>530-25042-004-0013</v>
          </cell>
          <cell r="J2414">
            <v>29636.94</v>
          </cell>
        </row>
        <row r="2415">
          <cell r="A2415" t="str">
            <v>CIVLA</v>
          </cell>
          <cell r="B2415" t="str">
            <v>530-25042-004-0014</v>
          </cell>
          <cell r="J2415">
            <v>1574.72</v>
          </cell>
        </row>
        <row r="2416">
          <cell r="A2416" t="str">
            <v>CIVLA</v>
          </cell>
          <cell r="B2416" t="str">
            <v>530-25043-000-0000</v>
          </cell>
          <cell r="J2416">
            <v>169193.29</v>
          </cell>
        </row>
        <row r="2417">
          <cell r="A2417" t="str">
            <v>CIVLA</v>
          </cell>
          <cell r="B2417" t="str">
            <v>530-25043-004-0000</v>
          </cell>
          <cell r="J2417">
            <v>169193.29</v>
          </cell>
        </row>
        <row r="2418">
          <cell r="A2418" t="str">
            <v>CIVLA</v>
          </cell>
          <cell r="B2418" t="str">
            <v>530-25043-004-0001</v>
          </cell>
          <cell r="J2418">
            <v>56243.35</v>
          </cell>
        </row>
        <row r="2419">
          <cell r="A2419" t="str">
            <v>CIVLA</v>
          </cell>
          <cell r="B2419" t="str">
            <v>530-25043-004-0002</v>
          </cell>
          <cell r="J2419">
            <v>49535.839999999997</v>
          </cell>
        </row>
        <row r="2420">
          <cell r="A2420" t="str">
            <v>CIVLA</v>
          </cell>
          <cell r="B2420" t="str">
            <v>530-25043-004-0003</v>
          </cell>
          <cell r="J2420">
            <v>27416</v>
          </cell>
        </row>
        <row r="2421">
          <cell r="A2421" t="str">
            <v>CIVLA</v>
          </cell>
          <cell r="B2421" t="str">
            <v>530-25043-004-0004</v>
          </cell>
          <cell r="J2421">
            <v>930.2</v>
          </cell>
        </row>
        <row r="2422">
          <cell r="A2422" t="str">
            <v>CIVLA</v>
          </cell>
          <cell r="B2422" t="str">
            <v>530-25043-004-0005</v>
          </cell>
          <cell r="J2422">
            <v>19852.689999999999</v>
          </cell>
        </row>
        <row r="2423">
          <cell r="A2423" t="str">
            <v>CIVLA</v>
          </cell>
          <cell r="B2423" t="str">
            <v>530-25043-004-0009</v>
          </cell>
          <cell r="J2423">
            <v>193.97</v>
          </cell>
        </row>
        <row r="2424">
          <cell r="A2424" t="str">
            <v>CIVLA</v>
          </cell>
          <cell r="B2424" t="str">
            <v>530-25043-004-0011</v>
          </cell>
          <cell r="J2424">
            <v>6415.46</v>
          </cell>
        </row>
        <row r="2425">
          <cell r="A2425" t="str">
            <v>CIVLA</v>
          </cell>
          <cell r="B2425" t="str">
            <v>530-25043-004-0013</v>
          </cell>
          <cell r="J2425">
            <v>7720.86</v>
          </cell>
        </row>
        <row r="2426">
          <cell r="A2426" t="str">
            <v>CIVLA</v>
          </cell>
          <cell r="B2426" t="str">
            <v>530-25043-004-0014</v>
          </cell>
          <cell r="J2426">
            <v>884.92</v>
          </cell>
        </row>
        <row r="2427">
          <cell r="A2427" t="str">
            <v>CIVLA</v>
          </cell>
          <cell r="B2427" t="str">
            <v>530-25044-000-0000</v>
          </cell>
          <cell r="J2427">
            <v>164075.45000000001</v>
          </cell>
        </row>
        <row r="2428">
          <cell r="A2428" t="str">
            <v>CIVLA</v>
          </cell>
          <cell r="B2428" t="str">
            <v>530-25044-004-0000</v>
          </cell>
          <cell r="J2428">
            <v>163106.99</v>
          </cell>
        </row>
        <row r="2429">
          <cell r="A2429" t="str">
            <v>CIVLA</v>
          </cell>
          <cell r="B2429" t="str">
            <v>530-25044-004-0001</v>
          </cell>
          <cell r="J2429">
            <v>30562.5</v>
          </cell>
        </row>
        <row r="2430">
          <cell r="A2430" t="str">
            <v>CIVLA</v>
          </cell>
          <cell r="B2430" t="str">
            <v>530-25044-004-0002</v>
          </cell>
          <cell r="J2430">
            <v>44580.35</v>
          </cell>
        </row>
        <row r="2431">
          <cell r="A2431" t="str">
            <v>CIVLA</v>
          </cell>
          <cell r="B2431" t="str">
            <v>530-25044-004-0003</v>
          </cell>
          <cell r="J2431">
            <v>4666.99</v>
          </cell>
        </row>
        <row r="2432">
          <cell r="A2432" t="str">
            <v>CIVLA</v>
          </cell>
          <cell r="B2432" t="str">
            <v>530-25044-004-0004</v>
          </cell>
          <cell r="J2432">
            <v>24.14</v>
          </cell>
        </row>
        <row r="2433">
          <cell r="A2433" t="str">
            <v>CIVLA</v>
          </cell>
          <cell r="B2433" t="str">
            <v>530-25044-004-0005</v>
          </cell>
          <cell r="J2433">
            <v>24706.03</v>
          </cell>
        </row>
        <row r="2434">
          <cell r="A2434" t="str">
            <v>CIVLA</v>
          </cell>
          <cell r="B2434" t="str">
            <v>530-25044-004-0006</v>
          </cell>
          <cell r="J2434">
            <v>1566.38</v>
          </cell>
        </row>
        <row r="2435">
          <cell r="A2435" t="str">
            <v>CIVLA</v>
          </cell>
          <cell r="B2435" t="str">
            <v>530-25044-004-0009</v>
          </cell>
          <cell r="J2435">
            <v>16326.15</v>
          </cell>
        </row>
        <row r="2436">
          <cell r="A2436" t="str">
            <v>CIVLA</v>
          </cell>
          <cell r="B2436" t="str">
            <v>530-25044-004-0011</v>
          </cell>
          <cell r="J2436">
            <v>6369.83</v>
          </cell>
        </row>
        <row r="2437">
          <cell r="A2437" t="str">
            <v>CIVLA</v>
          </cell>
          <cell r="B2437" t="str">
            <v>530-25044-004-0013</v>
          </cell>
          <cell r="J2437">
            <v>27921.599999999999</v>
          </cell>
        </row>
        <row r="2438">
          <cell r="A2438" t="str">
            <v>CIVLA</v>
          </cell>
          <cell r="B2438" t="str">
            <v>530-25044-004-0014</v>
          </cell>
          <cell r="J2438">
            <v>6383.02</v>
          </cell>
        </row>
        <row r="2439">
          <cell r="A2439" t="str">
            <v>CIVLA</v>
          </cell>
          <cell r="B2439" t="str">
            <v>530-25044-009-0000</v>
          </cell>
          <cell r="J2439">
            <v>968.46</v>
          </cell>
        </row>
        <row r="2440">
          <cell r="A2440" t="str">
            <v>CIVLA</v>
          </cell>
          <cell r="B2440" t="str">
            <v>530-25044-009-0002</v>
          </cell>
          <cell r="J2440">
            <v>968.46</v>
          </cell>
        </row>
        <row r="2441">
          <cell r="A2441" t="str">
            <v>CIVLA</v>
          </cell>
          <cell r="B2441" t="str">
            <v>530-25045-000-0000</v>
          </cell>
          <cell r="J2441">
            <v>103339.31</v>
          </cell>
        </row>
        <row r="2442">
          <cell r="A2442" t="str">
            <v>CIVLA</v>
          </cell>
          <cell r="B2442" t="str">
            <v>530-25045-004-0000</v>
          </cell>
          <cell r="J2442">
            <v>103339.31</v>
          </cell>
        </row>
        <row r="2443">
          <cell r="A2443" t="str">
            <v>CIVLA</v>
          </cell>
          <cell r="B2443" t="str">
            <v>530-25045-004-0001</v>
          </cell>
          <cell r="J2443">
            <v>33006.629999999997</v>
          </cell>
        </row>
        <row r="2444">
          <cell r="A2444" t="str">
            <v>CIVLA</v>
          </cell>
          <cell r="B2444" t="str">
            <v>530-25045-004-0002</v>
          </cell>
          <cell r="J2444">
            <v>28098.92</v>
          </cell>
        </row>
        <row r="2445">
          <cell r="A2445" t="str">
            <v>CIVLA</v>
          </cell>
          <cell r="B2445" t="str">
            <v>530-25045-004-0003</v>
          </cell>
          <cell r="J2445">
            <v>459.33</v>
          </cell>
        </row>
        <row r="2446">
          <cell r="A2446" t="str">
            <v>CIVLA</v>
          </cell>
          <cell r="B2446" t="str">
            <v>530-25045-004-0004</v>
          </cell>
          <cell r="J2446">
            <v>356.9</v>
          </cell>
        </row>
        <row r="2447">
          <cell r="A2447" t="str">
            <v>CIVLA</v>
          </cell>
          <cell r="B2447" t="str">
            <v>530-25045-004-0005</v>
          </cell>
          <cell r="J2447">
            <v>1878.86</v>
          </cell>
        </row>
        <row r="2448">
          <cell r="A2448" t="str">
            <v>CIVLA</v>
          </cell>
          <cell r="B2448" t="str">
            <v>530-25045-004-0009</v>
          </cell>
          <cell r="J2448">
            <v>26522.31</v>
          </cell>
        </row>
        <row r="2449">
          <cell r="A2449" t="str">
            <v>CIVLA</v>
          </cell>
          <cell r="B2449" t="str">
            <v>530-25045-004-0013</v>
          </cell>
          <cell r="J2449">
            <v>11162.9</v>
          </cell>
        </row>
        <row r="2450">
          <cell r="A2450" t="str">
            <v>CIVLA</v>
          </cell>
          <cell r="B2450" t="str">
            <v>530-25045-004-0014</v>
          </cell>
          <cell r="J2450">
            <v>1853.46</v>
          </cell>
        </row>
        <row r="2451">
          <cell r="A2451" t="str">
            <v>CIVLA</v>
          </cell>
          <cell r="B2451" t="str">
            <v>530-25046-000-0000</v>
          </cell>
          <cell r="J2451">
            <v>570627.6</v>
          </cell>
        </row>
        <row r="2452">
          <cell r="A2452" t="str">
            <v>CIVLA</v>
          </cell>
          <cell r="B2452" t="str">
            <v>530-25046-004-0000</v>
          </cell>
          <cell r="J2452">
            <v>502627.6</v>
          </cell>
        </row>
        <row r="2453">
          <cell r="A2453" t="str">
            <v>CIVLA</v>
          </cell>
          <cell r="B2453" t="str">
            <v>530-25046-004-0001</v>
          </cell>
          <cell r="J2453">
            <v>28192.27</v>
          </cell>
        </row>
        <row r="2454">
          <cell r="A2454" t="str">
            <v>CIVLA</v>
          </cell>
          <cell r="B2454" t="str">
            <v>530-25046-004-0002</v>
          </cell>
          <cell r="J2454">
            <v>203808.52</v>
          </cell>
        </row>
        <row r="2455">
          <cell r="A2455" t="str">
            <v>CIVLA</v>
          </cell>
          <cell r="B2455" t="str">
            <v>530-25046-004-0003</v>
          </cell>
          <cell r="J2455">
            <v>158559.94</v>
          </cell>
        </row>
        <row r="2456">
          <cell r="A2456" t="str">
            <v>CIVLA</v>
          </cell>
          <cell r="B2456" t="str">
            <v>530-25046-004-0004</v>
          </cell>
          <cell r="J2456">
            <v>11980.01</v>
          </cell>
        </row>
        <row r="2457">
          <cell r="A2457" t="str">
            <v>CIVLA</v>
          </cell>
          <cell r="B2457" t="str">
            <v>530-25046-004-0005</v>
          </cell>
          <cell r="J2457">
            <v>12081.75</v>
          </cell>
        </row>
        <row r="2458">
          <cell r="A2458" t="str">
            <v>CIVLA</v>
          </cell>
          <cell r="B2458" t="str">
            <v>530-25046-004-0006</v>
          </cell>
          <cell r="J2458">
            <v>5726.48</v>
          </cell>
        </row>
        <row r="2459">
          <cell r="A2459" t="str">
            <v>CIVLA</v>
          </cell>
          <cell r="B2459" t="str">
            <v>530-25046-004-0009</v>
          </cell>
          <cell r="J2459">
            <v>5663.2</v>
          </cell>
        </row>
        <row r="2460">
          <cell r="A2460" t="str">
            <v>CIVLA</v>
          </cell>
          <cell r="B2460" t="str">
            <v>530-25046-004-0011</v>
          </cell>
          <cell r="J2460">
            <v>25021.97</v>
          </cell>
        </row>
        <row r="2461">
          <cell r="A2461" t="str">
            <v>CIVLA</v>
          </cell>
          <cell r="B2461" t="str">
            <v>530-25046-004-0013</v>
          </cell>
          <cell r="J2461">
            <v>51431.39</v>
          </cell>
        </row>
        <row r="2462">
          <cell r="A2462" t="str">
            <v>CIVLA</v>
          </cell>
          <cell r="B2462" t="str">
            <v>530-25046-004-0014</v>
          </cell>
          <cell r="J2462">
            <v>162.07</v>
          </cell>
        </row>
        <row r="2463">
          <cell r="A2463" t="str">
            <v>CIVLA</v>
          </cell>
          <cell r="B2463" t="str">
            <v>530-25046-009-0000</v>
          </cell>
          <cell r="J2463">
            <v>68000</v>
          </cell>
        </row>
        <row r="2464">
          <cell r="A2464" t="str">
            <v>CIVLA</v>
          </cell>
          <cell r="B2464" t="str">
            <v>530-25047-000-0000</v>
          </cell>
          <cell r="J2464">
            <v>123764.69</v>
          </cell>
        </row>
        <row r="2465">
          <cell r="A2465" t="str">
            <v>CIVLA</v>
          </cell>
          <cell r="B2465" t="str">
            <v>530-25047-004-0000</v>
          </cell>
          <cell r="J2465">
            <v>123764.69</v>
          </cell>
        </row>
        <row r="2466">
          <cell r="A2466" t="str">
            <v>CIVLA</v>
          </cell>
          <cell r="B2466" t="str">
            <v>530-25047-004-0001</v>
          </cell>
          <cell r="J2466">
            <v>3839.15</v>
          </cell>
        </row>
        <row r="2467">
          <cell r="A2467" t="str">
            <v>CIVLA</v>
          </cell>
          <cell r="B2467" t="str">
            <v>530-25047-004-0002</v>
          </cell>
          <cell r="J2467">
            <v>40201.35</v>
          </cell>
        </row>
        <row r="2468">
          <cell r="A2468" t="str">
            <v>CIVLA</v>
          </cell>
          <cell r="B2468" t="str">
            <v>530-25047-004-0003</v>
          </cell>
          <cell r="J2468">
            <v>37786.39</v>
          </cell>
        </row>
        <row r="2469">
          <cell r="A2469" t="str">
            <v>CIVLA</v>
          </cell>
          <cell r="B2469" t="str">
            <v>530-25047-004-0004</v>
          </cell>
          <cell r="J2469">
            <v>409.49</v>
          </cell>
        </row>
        <row r="2470">
          <cell r="A2470" t="str">
            <v>CIVLA</v>
          </cell>
          <cell r="B2470" t="str">
            <v>530-25047-004-0005</v>
          </cell>
          <cell r="J2470">
            <v>24420.32</v>
          </cell>
        </row>
        <row r="2471">
          <cell r="A2471" t="str">
            <v>CIVLA</v>
          </cell>
          <cell r="B2471" t="str">
            <v>530-25047-004-0009</v>
          </cell>
          <cell r="J2471">
            <v>3156.17</v>
          </cell>
        </row>
        <row r="2472">
          <cell r="A2472" t="str">
            <v>CIVLA</v>
          </cell>
          <cell r="B2472" t="str">
            <v>530-25047-004-0011</v>
          </cell>
          <cell r="J2472">
            <v>257.76</v>
          </cell>
        </row>
        <row r="2473">
          <cell r="A2473" t="str">
            <v>CIVLA</v>
          </cell>
          <cell r="B2473" t="str">
            <v>530-25047-004-0013</v>
          </cell>
          <cell r="J2473">
            <v>12023.21</v>
          </cell>
        </row>
        <row r="2474">
          <cell r="A2474" t="str">
            <v>CIVLA</v>
          </cell>
          <cell r="B2474" t="str">
            <v>530-25047-004-0014</v>
          </cell>
          <cell r="J2474">
            <v>1670.85</v>
          </cell>
        </row>
        <row r="2475">
          <cell r="A2475" t="str">
            <v>CIVLA</v>
          </cell>
          <cell r="B2475" t="str">
            <v>530-25301-000-0000</v>
          </cell>
          <cell r="J2475">
            <v>5622.05</v>
          </cell>
        </row>
        <row r="2476">
          <cell r="A2476" t="str">
            <v>CIVLA</v>
          </cell>
          <cell r="B2476" t="str">
            <v>530-25301-004-0000</v>
          </cell>
          <cell r="J2476">
            <v>5622.05</v>
          </cell>
        </row>
        <row r="2477">
          <cell r="A2477" t="str">
            <v>CIVLA</v>
          </cell>
          <cell r="B2477" t="str">
            <v>530-25301-004-0001</v>
          </cell>
          <cell r="J2477">
            <v>163.35</v>
          </cell>
        </row>
        <row r="2478">
          <cell r="A2478" t="str">
            <v>CIVLA</v>
          </cell>
          <cell r="B2478" t="str">
            <v>530-25301-004-0002</v>
          </cell>
          <cell r="J2478">
            <v>3918.39</v>
          </cell>
        </row>
        <row r="2479">
          <cell r="A2479" t="str">
            <v>CIVLA</v>
          </cell>
          <cell r="B2479" t="str">
            <v>530-25301-004-0003</v>
          </cell>
          <cell r="J2479">
            <v>699.79</v>
          </cell>
        </row>
        <row r="2480">
          <cell r="A2480" t="str">
            <v>CIVLA</v>
          </cell>
          <cell r="B2480" t="str">
            <v>530-25301-004-0005</v>
          </cell>
          <cell r="J2480">
            <v>840.52</v>
          </cell>
        </row>
        <row r="2481">
          <cell r="A2481" t="str">
            <v>CIVLA</v>
          </cell>
          <cell r="B2481" t="str">
            <v>530-25303-000-0000</v>
          </cell>
          <cell r="J2481">
            <v>8115.11</v>
          </cell>
        </row>
        <row r="2482">
          <cell r="A2482" t="str">
            <v>CIVLA</v>
          </cell>
          <cell r="B2482" t="str">
            <v>530-25303-004-0000</v>
          </cell>
          <cell r="J2482">
            <v>8115.11</v>
          </cell>
        </row>
        <row r="2483">
          <cell r="A2483" t="str">
            <v>CIVLA</v>
          </cell>
          <cell r="B2483" t="str">
            <v>530-25303-004-0001</v>
          </cell>
          <cell r="J2483">
            <v>2017.55</v>
          </cell>
        </row>
        <row r="2484">
          <cell r="A2484" t="str">
            <v>CIVLA</v>
          </cell>
          <cell r="B2484" t="str">
            <v>530-25303-004-0002</v>
          </cell>
          <cell r="J2484">
            <v>2277.65</v>
          </cell>
        </row>
        <row r="2485">
          <cell r="A2485" t="str">
            <v>CIVLA</v>
          </cell>
          <cell r="B2485" t="str">
            <v>530-25303-004-0003</v>
          </cell>
          <cell r="J2485">
            <v>2554.3200000000002</v>
          </cell>
        </row>
        <row r="2486">
          <cell r="A2486" t="str">
            <v>CIVLA</v>
          </cell>
          <cell r="B2486" t="str">
            <v>530-25303-004-0005</v>
          </cell>
          <cell r="J2486">
            <v>712.93</v>
          </cell>
        </row>
        <row r="2487">
          <cell r="A2487" t="str">
            <v>CIVLA</v>
          </cell>
          <cell r="B2487" t="str">
            <v>530-25303-004-0009</v>
          </cell>
          <cell r="J2487">
            <v>476.73</v>
          </cell>
        </row>
        <row r="2488">
          <cell r="A2488" t="str">
            <v>CIVLA</v>
          </cell>
          <cell r="B2488" t="str">
            <v>530-25303-004-0013</v>
          </cell>
          <cell r="J2488">
            <v>75.930000000000007</v>
          </cell>
        </row>
        <row r="2489">
          <cell r="A2489" t="str">
            <v>CIVLA</v>
          </cell>
          <cell r="B2489" t="str">
            <v>530-25403-000-0000</v>
          </cell>
          <cell r="J2489">
            <v>6588.68</v>
          </cell>
        </row>
        <row r="2490">
          <cell r="A2490" t="str">
            <v>CIVLA</v>
          </cell>
          <cell r="B2490" t="str">
            <v>530-25403-004-0000</v>
          </cell>
          <cell r="J2490">
            <v>6588.68</v>
          </cell>
        </row>
        <row r="2491">
          <cell r="A2491" t="str">
            <v>CIVLA</v>
          </cell>
          <cell r="B2491" t="str">
            <v>530-25403-004-0001</v>
          </cell>
          <cell r="J2491">
            <v>1628.12</v>
          </cell>
        </row>
        <row r="2492">
          <cell r="A2492" t="str">
            <v>CIVLA</v>
          </cell>
          <cell r="B2492" t="str">
            <v>530-25403-004-0002</v>
          </cell>
          <cell r="J2492">
            <v>4362.5600000000004</v>
          </cell>
        </row>
        <row r="2493">
          <cell r="A2493" t="str">
            <v>CIVLA</v>
          </cell>
          <cell r="B2493" t="str">
            <v>530-25403-004-0003</v>
          </cell>
          <cell r="J2493">
            <v>598</v>
          </cell>
        </row>
        <row r="2494">
          <cell r="A2494" t="str">
            <v>CIVLA</v>
          </cell>
          <cell r="B2494" t="str">
            <v>530-25406-000-0000</v>
          </cell>
          <cell r="J2494">
            <v>5938.99</v>
          </cell>
        </row>
        <row r="2495">
          <cell r="A2495" t="str">
            <v>CIVLA</v>
          </cell>
          <cell r="B2495" t="str">
            <v>530-25406-004-0000</v>
          </cell>
          <cell r="J2495">
            <v>5938.99</v>
          </cell>
        </row>
        <row r="2496">
          <cell r="A2496" t="str">
            <v>CIVLA</v>
          </cell>
          <cell r="B2496" t="str">
            <v>530-25406-004-0001</v>
          </cell>
          <cell r="J2496">
            <v>647.88</v>
          </cell>
        </row>
        <row r="2497">
          <cell r="A2497" t="str">
            <v>CIVLA</v>
          </cell>
          <cell r="B2497" t="str">
            <v>530-25406-004-0002</v>
          </cell>
          <cell r="J2497">
            <v>1291.5999999999999</v>
          </cell>
        </row>
        <row r="2498">
          <cell r="A2498" t="str">
            <v>CIVLA</v>
          </cell>
          <cell r="B2498" t="str">
            <v>530-25406-004-0005</v>
          </cell>
          <cell r="J2498">
            <v>690</v>
          </cell>
        </row>
        <row r="2499">
          <cell r="A2499" t="str">
            <v>CIVLA</v>
          </cell>
          <cell r="B2499" t="str">
            <v>530-25406-004-0009</v>
          </cell>
          <cell r="J2499">
            <v>346.55</v>
          </cell>
        </row>
        <row r="2500">
          <cell r="A2500" t="str">
            <v>CIVLA</v>
          </cell>
          <cell r="B2500" t="str">
            <v>530-25406-004-0013</v>
          </cell>
          <cell r="J2500">
            <v>2962.96</v>
          </cell>
        </row>
        <row r="2501">
          <cell r="A2501" t="str">
            <v>CIVLA</v>
          </cell>
          <cell r="B2501" t="str">
            <v>530-26004-000-0000</v>
          </cell>
          <cell r="J2501">
            <v>255861.67</v>
          </cell>
        </row>
        <row r="2502">
          <cell r="A2502" t="str">
            <v>CIVLA</v>
          </cell>
          <cell r="B2502" t="str">
            <v>530-26004-001-0000</v>
          </cell>
          <cell r="J2502">
            <v>891.53</v>
          </cell>
        </row>
        <row r="2503">
          <cell r="A2503" t="str">
            <v>CIVLA</v>
          </cell>
          <cell r="B2503" t="str">
            <v>530-26004-001-0001</v>
          </cell>
          <cell r="J2503">
            <v>488.15</v>
          </cell>
        </row>
        <row r="2504">
          <cell r="A2504" t="str">
            <v>CIVLA</v>
          </cell>
          <cell r="B2504" t="str">
            <v>530-26004-001-0002</v>
          </cell>
          <cell r="J2504">
            <v>90</v>
          </cell>
        </row>
        <row r="2505">
          <cell r="A2505" t="str">
            <v>CIVLA</v>
          </cell>
          <cell r="B2505" t="str">
            <v>530-26004-001-0005</v>
          </cell>
          <cell r="J2505">
            <v>69.52</v>
          </cell>
        </row>
        <row r="2506">
          <cell r="A2506" t="str">
            <v>CIVLA</v>
          </cell>
          <cell r="B2506" t="str">
            <v>530-26004-001-0006</v>
          </cell>
          <cell r="J2506">
            <v>69.52</v>
          </cell>
        </row>
        <row r="2507">
          <cell r="A2507" t="str">
            <v>CIVLA</v>
          </cell>
          <cell r="B2507" t="str">
            <v>530-26004-001-0009</v>
          </cell>
          <cell r="J2507">
            <v>174.34</v>
          </cell>
        </row>
        <row r="2508">
          <cell r="A2508" t="str">
            <v>CIVLA</v>
          </cell>
          <cell r="B2508" t="str">
            <v>530-26004-002-0000</v>
          </cell>
          <cell r="J2508">
            <v>127.83</v>
          </cell>
        </row>
        <row r="2509">
          <cell r="A2509" t="str">
            <v>CIVLA</v>
          </cell>
          <cell r="B2509" t="str">
            <v>530-26004-002-0001</v>
          </cell>
          <cell r="J2509">
            <v>101.08</v>
          </cell>
        </row>
        <row r="2510">
          <cell r="A2510" t="str">
            <v>CIVLA</v>
          </cell>
          <cell r="B2510" t="str">
            <v>530-26004-002-0004</v>
          </cell>
          <cell r="J2510">
            <v>26.75</v>
          </cell>
        </row>
        <row r="2511">
          <cell r="A2511" t="str">
            <v>CIVLA</v>
          </cell>
          <cell r="B2511" t="str">
            <v>530-26004-004-0000</v>
          </cell>
          <cell r="J2511">
            <v>254842.31</v>
          </cell>
        </row>
        <row r="2512">
          <cell r="A2512" t="str">
            <v>CIVLA</v>
          </cell>
          <cell r="B2512" t="str">
            <v>530-26004-004-0001</v>
          </cell>
          <cell r="J2512">
            <v>53385.9</v>
          </cell>
        </row>
        <row r="2513">
          <cell r="A2513" t="str">
            <v>CIVLA</v>
          </cell>
          <cell r="B2513" t="str">
            <v>530-26004-004-0002</v>
          </cell>
          <cell r="J2513">
            <v>69178.11</v>
          </cell>
        </row>
        <row r="2514">
          <cell r="A2514" t="str">
            <v>CIVLA</v>
          </cell>
          <cell r="B2514" t="str">
            <v>530-26004-004-0003</v>
          </cell>
          <cell r="J2514">
            <v>88140</v>
          </cell>
        </row>
        <row r="2515">
          <cell r="A2515" t="str">
            <v>CIVLA</v>
          </cell>
          <cell r="B2515" t="str">
            <v>530-26004-004-0004</v>
          </cell>
          <cell r="J2515">
            <v>6014.68</v>
          </cell>
        </row>
        <row r="2516">
          <cell r="A2516" t="str">
            <v>CIVLA</v>
          </cell>
          <cell r="B2516" t="str">
            <v>530-26004-004-0005</v>
          </cell>
          <cell r="J2516">
            <v>30620.39</v>
          </cell>
        </row>
        <row r="2517">
          <cell r="A2517" t="str">
            <v>CIVLA</v>
          </cell>
          <cell r="B2517" t="str">
            <v>530-26004-004-0007</v>
          </cell>
          <cell r="J2517">
            <v>1752.49</v>
          </cell>
        </row>
        <row r="2518">
          <cell r="A2518" t="str">
            <v>CIVLA</v>
          </cell>
          <cell r="B2518" t="str">
            <v>530-26004-004-0011</v>
          </cell>
          <cell r="J2518">
            <v>268.97000000000003</v>
          </cell>
        </row>
        <row r="2519">
          <cell r="A2519" t="str">
            <v>CIVLA</v>
          </cell>
          <cell r="B2519" t="str">
            <v>530-26004-004-0013</v>
          </cell>
          <cell r="J2519">
            <v>5010.0200000000004</v>
          </cell>
        </row>
        <row r="2520">
          <cell r="A2520" t="str">
            <v>CIVLA</v>
          </cell>
          <cell r="B2520" t="str">
            <v>530-26004-004-0014</v>
          </cell>
          <cell r="J2520">
            <v>471.75</v>
          </cell>
        </row>
        <row r="2521">
          <cell r="A2521" t="str">
            <v>CIVLA</v>
          </cell>
          <cell r="B2521" t="str">
            <v>530-26005-000-0000</v>
          </cell>
          <cell r="J2521">
            <v>34724.42</v>
          </cell>
        </row>
        <row r="2522">
          <cell r="A2522" t="str">
            <v>CIVLA</v>
          </cell>
          <cell r="B2522" t="str">
            <v>530-26005-004-0000</v>
          </cell>
          <cell r="J2522">
            <v>34724.42</v>
          </cell>
        </row>
        <row r="2523">
          <cell r="A2523" t="str">
            <v>CIVLA</v>
          </cell>
          <cell r="B2523" t="str">
            <v>530-26005-004-0001</v>
          </cell>
          <cell r="J2523">
            <v>5160.92</v>
          </cell>
        </row>
        <row r="2524">
          <cell r="A2524" t="str">
            <v>CIVLA</v>
          </cell>
          <cell r="B2524" t="str">
            <v>530-26005-004-0002</v>
          </cell>
          <cell r="J2524">
            <v>9320.7999999999993</v>
          </cell>
        </row>
        <row r="2525">
          <cell r="A2525" t="str">
            <v>CIVLA</v>
          </cell>
          <cell r="B2525" t="str">
            <v>530-26005-004-0003</v>
          </cell>
          <cell r="J2525">
            <v>6095.95</v>
          </cell>
        </row>
        <row r="2526">
          <cell r="A2526" t="str">
            <v>CIVLA</v>
          </cell>
          <cell r="B2526" t="str">
            <v>530-26005-004-0005</v>
          </cell>
          <cell r="J2526">
            <v>9976.49</v>
          </cell>
        </row>
        <row r="2527">
          <cell r="A2527" t="str">
            <v>CIVLA</v>
          </cell>
          <cell r="B2527" t="str">
            <v>530-26005-004-0013</v>
          </cell>
          <cell r="J2527">
            <v>3981.47</v>
          </cell>
        </row>
        <row r="2528">
          <cell r="A2528" t="str">
            <v>CIVLA</v>
          </cell>
          <cell r="B2528" t="str">
            <v>530-26005-004-0014</v>
          </cell>
          <cell r="J2528">
            <v>188.79</v>
          </cell>
        </row>
        <row r="2529">
          <cell r="A2529" t="str">
            <v>CIVLA</v>
          </cell>
          <cell r="B2529" t="str">
            <v>530-26006-000-0000</v>
          </cell>
          <cell r="J2529">
            <v>156658.04999999999</v>
          </cell>
        </row>
        <row r="2530">
          <cell r="A2530" t="str">
            <v>CIVLA</v>
          </cell>
          <cell r="B2530" t="str">
            <v>530-26006-004-0000</v>
          </cell>
          <cell r="J2530">
            <v>156658.04999999999</v>
          </cell>
        </row>
        <row r="2531">
          <cell r="A2531" t="str">
            <v>CIVLA</v>
          </cell>
          <cell r="B2531" t="str">
            <v>530-26006-004-0001</v>
          </cell>
          <cell r="J2531">
            <v>23534.33</v>
          </cell>
        </row>
        <row r="2532">
          <cell r="A2532" t="str">
            <v>CIVLA</v>
          </cell>
          <cell r="B2532" t="str">
            <v>530-26006-004-0002</v>
          </cell>
          <cell r="J2532">
            <v>32301.439999999999</v>
          </cell>
        </row>
        <row r="2533">
          <cell r="A2533" t="str">
            <v>CIVLA</v>
          </cell>
          <cell r="B2533" t="str">
            <v>530-26006-004-0003</v>
          </cell>
          <cell r="J2533">
            <v>42631.45</v>
          </cell>
        </row>
        <row r="2534">
          <cell r="A2534" t="str">
            <v>CIVLA</v>
          </cell>
          <cell r="B2534" t="str">
            <v>530-26006-004-0005</v>
          </cell>
          <cell r="J2534">
            <v>54986.48</v>
          </cell>
        </row>
        <row r="2535">
          <cell r="A2535" t="str">
            <v>CIVLA</v>
          </cell>
          <cell r="B2535" t="str">
            <v>530-26006-004-0006</v>
          </cell>
          <cell r="J2535">
            <v>1900.01</v>
          </cell>
        </row>
        <row r="2536">
          <cell r="A2536" t="str">
            <v>CIVLA</v>
          </cell>
          <cell r="B2536" t="str">
            <v>530-26006-004-0011</v>
          </cell>
          <cell r="J2536">
            <v>119.82</v>
          </cell>
        </row>
        <row r="2537">
          <cell r="A2537" t="str">
            <v>CIVLA</v>
          </cell>
          <cell r="B2537" t="str">
            <v>530-26006-004-0013</v>
          </cell>
          <cell r="J2537">
            <v>1012.96</v>
          </cell>
        </row>
        <row r="2538">
          <cell r="A2538" t="str">
            <v>CIVLA</v>
          </cell>
          <cell r="B2538" t="str">
            <v>530-26006-004-0014</v>
          </cell>
          <cell r="J2538">
            <v>171.56</v>
          </cell>
        </row>
        <row r="2539">
          <cell r="A2539" t="str">
            <v>CIVLA</v>
          </cell>
          <cell r="B2539" t="str">
            <v>530-26007-000-0000</v>
          </cell>
          <cell r="J2539">
            <v>91467.02</v>
          </cell>
        </row>
        <row r="2540">
          <cell r="A2540" t="str">
            <v>CIVLA</v>
          </cell>
          <cell r="B2540" t="str">
            <v>530-26007-004-0000</v>
          </cell>
          <cell r="J2540">
            <v>91467.02</v>
          </cell>
        </row>
        <row r="2541">
          <cell r="A2541" t="str">
            <v>CIVLA</v>
          </cell>
          <cell r="B2541" t="str">
            <v>530-26007-004-0001</v>
          </cell>
          <cell r="J2541">
            <v>15711.12</v>
          </cell>
        </row>
        <row r="2542">
          <cell r="A2542" t="str">
            <v>CIVLA</v>
          </cell>
          <cell r="B2542" t="str">
            <v>530-26007-004-0002</v>
          </cell>
          <cell r="J2542">
            <v>23004.43</v>
          </cell>
        </row>
        <row r="2543">
          <cell r="A2543" t="str">
            <v>CIVLA</v>
          </cell>
          <cell r="B2543" t="str">
            <v>530-26007-004-0003</v>
          </cell>
          <cell r="J2543">
            <v>18977.830000000002</v>
          </cell>
        </row>
        <row r="2544">
          <cell r="A2544" t="str">
            <v>CIVLA</v>
          </cell>
          <cell r="B2544" t="str">
            <v>530-26007-004-0005</v>
          </cell>
          <cell r="J2544">
            <v>19319.939999999999</v>
          </cell>
        </row>
        <row r="2545">
          <cell r="A2545" t="str">
            <v>CIVLA</v>
          </cell>
          <cell r="B2545" t="str">
            <v>530-26007-004-0009</v>
          </cell>
          <cell r="J2545">
            <v>9250</v>
          </cell>
        </row>
        <row r="2546">
          <cell r="A2546" t="str">
            <v>CIVLA</v>
          </cell>
          <cell r="B2546" t="str">
            <v>530-26007-004-0013</v>
          </cell>
          <cell r="J2546">
            <v>5203.7</v>
          </cell>
        </row>
        <row r="2547">
          <cell r="A2547" t="str">
            <v>CIVLA</v>
          </cell>
          <cell r="B2547" t="str">
            <v>530-26008-000-0000</v>
          </cell>
          <cell r="J2547">
            <v>173959.5</v>
          </cell>
        </row>
        <row r="2548">
          <cell r="A2548" t="str">
            <v>CIVLA</v>
          </cell>
          <cell r="B2548" t="str">
            <v>530-26008-004-0000</v>
          </cell>
          <cell r="J2548">
            <v>81959.5</v>
          </cell>
        </row>
        <row r="2549">
          <cell r="A2549" t="str">
            <v>CIVLA</v>
          </cell>
          <cell r="B2549" t="str">
            <v>530-26008-004-0001</v>
          </cell>
          <cell r="J2549">
            <v>5409.59</v>
          </cell>
        </row>
        <row r="2550">
          <cell r="A2550" t="str">
            <v>CIVLA</v>
          </cell>
          <cell r="B2550" t="str">
            <v>530-26008-004-0002</v>
          </cell>
          <cell r="J2550">
            <v>23609.23</v>
          </cell>
        </row>
        <row r="2551">
          <cell r="A2551" t="str">
            <v>CIVLA</v>
          </cell>
          <cell r="B2551" t="str">
            <v>530-26008-004-0003</v>
          </cell>
          <cell r="J2551">
            <v>7200.01</v>
          </cell>
        </row>
        <row r="2552">
          <cell r="A2552" t="str">
            <v>CIVLA</v>
          </cell>
          <cell r="B2552" t="str">
            <v>530-26008-004-0005</v>
          </cell>
          <cell r="J2552">
            <v>23318.97</v>
          </cell>
        </row>
        <row r="2553">
          <cell r="A2553" t="str">
            <v>CIVLA</v>
          </cell>
          <cell r="B2553" t="str">
            <v>530-26008-004-0011</v>
          </cell>
          <cell r="J2553">
            <v>1411.39</v>
          </cell>
        </row>
        <row r="2554">
          <cell r="A2554" t="str">
            <v>CIVLA</v>
          </cell>
          <cell r="B2554" t="str">
            <v>530-26008-004-0013</v>
          </cell>
          <cell r="J2554">
            <v>20046.28</v>
          </cell>
        </row>
        <row r="2555">
          <cell r="A2555" t="str">
            <v>CIVLA</v>
          </cell>
          <cell r="B2555" t="str">
            <v>530-26008-004-0014</v>
          </cell>
          <cell r="J2555">
            <v>964.03</v>
          </cell>
        </row>
        <row r="2556">
          <cell r="A2556" t="str">
            <v>CIVLA</v>
          </cell>
          <cell r="B2556" t="str">
            <v>530-26008-009-0000</v>
          </cell>
          <cell r="J2556">
            <v>92000</v>
          </cell>
        </row>
        <row r="2557">
          <cell r="A2557" t="str">
            <v>CIVLA</v>
          </cell>
          <cell r="B2557" t="str">
            <v>530-26009-000-0000</v>
          </cell>
          <cell r="J2557">
            <v>68627.100000000006</v>
          </cell>
        </row>
        <row r="2558">
          <cell r="A2558" t="str">
            <v>CIVLA</v>
          </cell>
          <cell r="B2558" t="str">
            <v>530-26009-004-0000</v>
          </cell>
          <cell r="J2558">
            <v>68627.100000000006</v>
          </cell>
        </row>
        <row r="2559">
          <cell r="A2559" t="str">
            <v>CIVLA</v>
          </cell>
          <cell r="B2559" t="str">
            <v>530-26009-004-0001</v>
          </cell>
          <cell r="J2559">
            <v>15170</v>
          </cell>
        </row>
        <row r="2560">
          <cell r="A2560" t="str">
            <v>CIVLA</v>
          </cell>
          <cell r="B2560" t="str">
            <v>530-26009-004-0002</v>
          </cell>
          <cell r="J2560">
            <v>12755.22</v>
          </cell>
        </row>
        <row r="2561">
          <cell r="A2561" t="str">
            <v>CIVLA</v>
          </cell>
          <cell r="B2561" t="str">
            <v>530-26009-004-0003</v>
          </cell>
          <cell r="J2561">
            <v>12604.72</v>
          </cell>
        </row>
        <row r="2562">
          <cell r="A2562" t="str">
            <v>CIVLA</v>
          </cell>
          <cell r="B2562" t="str">
            <v>530-26009-004-0005</v>
          </cell>
          <cell r="J2562">
            <v>20848.400000000001</v>
          </cell>
        </row>
        <row r="2563">
          <cell r="A2563" t="str">
            <v>CIVLA</v>
          </cell>
          <cell r="B2563" t="str">
            <v>530-26009-004-0006</v>
          </cell>
          <cell r="J2563">
            <v>2154.08</v>
          </cell>
        </row>
        <row r="2564">
          <cell r="A2564" t="str">
            <v>CIVLA</v>
          </cell>
          <cell r="B2564" t="str">
            <v>530-26009-004-0013</v>
          </cell>
          <cell r="J2564">
            <v>4889.8</v>
          </cell>
        </row>
        <row r="2565">
          <cell r="A2565" t="str">
            <v>CIVLA</v>
          </cell>
          <cell r="B2565" t="str">
            <v>530-26009-004-0014</v>
          </cell>
          <cell r="J2565">
            <v>204.88</v>
          </cell>
        </row>
        <row r="2566">
          <cell r="A2566" t="str">
            <v>CIVLA</v>
          </cell>
          <cell r="B2566" t="str">
            <v>530-26010-000-0000</v>
          </cell>
          <cell r="J2566">
            <v>98008.35</v>
          </cell>
        </row>
        <row r="2567">
          <cell r="A2567" t="str">
            <v>CIVLA</v>
          </cell>
          <cell r="B2567" t="str">
            <v>530-26010-004-0000</v>
          </cell>
          <cell r="J2567">
            <v>98008.35</v>
          </cell>
        </row>
        <row r="2568">
          <cell r="A2568" t="str">
            <v>CIVLA</v>
          </cell>
          <cell r="B2568" t="str">
            <v>530-26010-004-0001</v>
          </cell>
          <cell r="J2568">
            <v>9218.92</v>
          </cell>
        </row>
        <row r="2569">
          <cell r="A2569" t="str">
            <v>CIVLA</v>
          </cell>
          <cell r="B2569" t="str">
            <v>530-26010-004-0002</v>
          </cell>
          <cell r="J2569">
            <v>19120.47</v>
          </cell>
        </row>
        <row r="2570">
          <cell r="A2570" t="str">
            <v>CIVLA</v>
          </cell>
          <cell r="B2570" t="str">
            <v>530-26010-004-0003</v>
          </cell>
          <cell r="J2570">
            <v>14995.2</v>
          </cell>
        </row>
        <row r="2571">
          <cell r="A2571" t="str">
            <v>CIVLA</v>
          </cell>
          <cell r="B2571" t="str">
            <v>530-26010-004-0005</v>
          </cell>
          <cell r="J2571">
            <v>42167.57</v>
          </cell>
        </row>
        <row r="2572">
          <cell r="A2572" t="str">
            <v>CIVLA</v>
          </cell>
          <cell r="B2572" t="str">
            <v>530-26010-004-0009</v>
          </cell>
          <cell r="J2572">
            <v>359.49</v>
          </cell>
        </row>
        <row r="2573">
          <cell r="A2573" t="str">
            <v>CIVLA</v>
          </cell>
          <cell r="B2573" t="str">
            <v>530-26010-004-0011</v>
          </cell>
          <cell r="J2573">
            <v>525.86</v>
          </cell>
        </row>
        <row r="2574">
          <cell r="A2574" t="str">
            <v>CIVLA</v>
          </cell>
          <cell r="B2574" t="str">
            <v>530-26010-004-0013</v>
          </cell>
          <cell r="J2574">
            <v>11620.84</v>
          </cell>
        </row>
        <row r="2575">
          <cell r="A2575" t="str">
            <v>CIVLA</v>
          </cell>
          <cell r="B2575" t="str">
            <v>530-26011-000-0000</v>
          </cell>
          <cell r="J2575">
            <v>211216.68</v>
          </cell>
        </row>
        <row r="2576">
          <cell r="A2576" t="str">
            <v>CIVLA</v>
          </cell>
          <cell r="B2576" t="str">
            <v>530-26011-004-0000</v>
          </cell>
          <cell r="J2576">
            <v>31216.68</v>
          </cell>
        </row>
        <row r="2577">
          <cell r="A2577" t="str">
            <v>CIVLA</v>
          </cell>
          <cell r="B2577" t="str">
            <v>530-26011-004-0001</v>
          </cell>
          <cell r="J2577">
            <v>3604.45</v>
          </cell>
        </row>
        <row r="2578">
          <cell r="A2578" t="str">
            <v>CIVLA</v>
          </cell>
          <cell r="B2578" t="str">
            <v>530-26011-004-0002</v>
          </cell>
          <cell r="J2578">
            <v>6348.28</v>
          </cell>
        </row>
        <row r="2579">
          <cell r="A2579" t="str">
            <v>CIVLA</v>
          </cell>
          <cell r="B2579" t="str">
            <v>530-26011-004-0003</v>
          </cell>
          <cell r="J2579">
            <v>8912.2199999999993</v>
          </cell>
        </row>
        <row r="2580">
          <cell r="A2580" t="str">
            <v>CIVLA</v>
          </cell>
          <cell r="B2580" t="str">
            <v>530-26011-004-0005</v>
          </cell>
          <cell r="J2580">
            <v>7319.83</v>
          </cell>
        </row>
        <row r="2581">
          <cell r="A2581" t="str">
            <v>CIVLA</v>
          </cell>
          <cell r="B2581" t="str">
            <v>530-26011-004-0011</v>
          </cell>
          <cell r="J2581">
            <v>706.9</v>
          </cell>
        </row>
        <row r="2582">
          <cell r="A2582" t="str">
            <v>CIVLA</v>
          </cell>
          <cell r="B2582" t="str">
            <v>530-26011-004-0013</v>
          </cell>
          <cell r="J2582">
            <v>4166.67</v>
          </cell>
        </row>
        <row r="2583">
          <cell r="A2583" t="str">
            <v>CIVLA</v>
          </cell>
          <cell r="B2583" t="str">
            <v>530-26011-004-0014</v>
          </cell>
          <cell r="J2583">
            <v>158.33000000000001</v>
          </cell>
        </row>
        <row r="2584">
          <cell r="A2584" t="str">
            <v>CIVLA</v>
          </cell>
          <cell r="B2584" t="str">
            <v>530-26011-009-0000</v>
          </cell>
          <cell r="J2584">
            <v>180000</v>
          </cell>
        </row>
        <row r="2585">
          <cell r="A2585" t="str">
            <v>CIVLA</v>
          </cell>
          <cell r="B2585" t="str">
            <v>530-26012-000-0000</v>
          </cell>
          <cell r="J2585">
            <v>45867.360000000001</v>
          </cell>
        </row>
        <row r="2586">
          <cell r="A2586" t="str">
            <v>CIVLA</v>
          </cell>
          <cell r="B2586" t="str">
            <v>530-26012-004-0000</v>
          </cell>
          <cell r="J2586">
            <v>45867.360000000001</v>
          </cell>
        </row>
        <row r="2587">
          <cell r="A2587" t="str">
            <v>CIVLA</v>
          </cell>
          <cell r="B2587" t="str">
            <v>530-26012-004-0001</v>
          </cell>
          <cell r="J2587">
            <v>1479.33</v>
          </cell>
        </row>
        <row r="2588">
          <cell r="A2588" t="str">
            <v>CIVLA</v>
          </cell>
          <cell r="B2588" t="str">
            <v>530-26012-004-0002</v>
          </cell>
          <cell r="J2588">
            <v>26886.92</v>
          </cell>
        </row>
        <row r="2589">
          <cell r="A2589" t="str">
            <v>CIVLA</v>
          </cell>
          <cell r="B2589" t="str">
            <v>530-26012-004-0003</v>
          </cell>
          <cell r="J2589">
            <v>4249.3900000000003</v>
          </cell>
        </row>
        <row r="2590">
          <cell r="A2590" t="str">
            <v>CIVLA</v>
          </cell>
          <cell r="B2590" t="str">
            <v>530-26012-004-0005</v>
          </cell>
          <cell r="J2590">
            <v>13019.82</v>
          </cell>
        </row>
        <row r="2591">
          <cell r="A2591" t="str">
            <v>CIVLA</v>
          </cell>
          <cell r="B2591" t="str">
            <v>530-26012-004-0014</v>
          </cell>
          <cell r="J2591">
            <v>231.9</v>
          </cell>
        </row>
        <row r="2592">
          <cell r="A2592" t="str">
            <v>CIVLA</v>
          </cell>
          <cell r="B2592" t="str">
            <v>530-26013-000-0000</v>
          </cell>
          <cell r="J2592">
            <v>65496.38</v>
          </cell>
        </row>
        <row r="2593">
          <cell r="A2593" t="str">
            <v>CIVLA</v>
          </cell>
          <cell r="B2593" t="str">
            <v>530-26013-004-0000</v>
          </cell>
          <cell r="J2593">
            <v>65496.38</v>
          </cell>
        </row>
        <row r="2594">
          <cell r="A2594" t="str">
            <v>CIVLA</v>
          </cell>
          <cell r="B2594" t="str">
            <v>530-26013-004-0001</v>
          </cell>
          <cell r="J2594">
            <v>3490.93</v>
          </cell>
        </row>
        <row r="2595">
          <cell r="A2595" t="str">
            <v>CIVLA</v>
          </cell>
          <cell r="B2595" t="str">
            <v>530-26013-004-0002</v>
          </cell>
          <cell r="J2595">
            <v>23088.080000000002</v>
          </cell>
        </row>
        <row r="2596">
          <cell r="A2596" t="str">
            <v>CIVLA</v>
          </cell>
          <cell r="B2596" t="str">
            <v>530-26013-004-0003</v>
          </cell>
          <cell r="J2596">
            <v>9409.4</v>
          </cell>
        </row>
        <row r="2597">
          <cell r="A2597" t="str">
            <v>CIVLA</v>
          </cell>
          <cell r="B2597" t="str">
            <v>530-26013-004-0005</v>
          </cell>
          <cell r="J2597">
            <v>6176.07</v>
          </cell>
        </row>
        <row r="2598">
          <cell r="A2598" t="str">
            <v>CIVLA</v>
          </cell>
          <cell r="B2598" t="str">
            <v>530-26013-004-0009</v>
          </cell>
          <cell r="J2598">
            <v>2786.42</v>
          </cell>
        </row>
        <row r="2599">
          <cell r="A2599" t="str">
            <v>CIVLA</v>
          </cell>
          <cell r="B2599" t="str">
            <v>530-26013-004-0013</v>
          </cell>
          <cell r="J2599">
            <v>19444.419999999998</v>
          </cell>
        </row>
        <row r="2600">
          <cell r="A2600" t="str">
            <v>CIVLA</v>
          </cell>
          <cell r="B2600" t="str">
            <v>530-26013-004-0014</v>
          </cell>
          <cell r="J2600">
            <v>1101.06</v>
          </cell>
        </row>
        <row r="2601">
          <cell r="A2601" t="str">
            <v>CIVLA</v>
          </cell>
          <cell r="B2601" t="str">
            <v>530-26014-000-0000</v>
          </cell>
          <cell r="J2601">
            <v>65615.06</v>
          </cell>
        </row>
        <row r="2602">
          <cell r="A2602" t="str">
            <v>CIVLA</v>
          </cell>
          <cell r="B2602" t="str">
            <v>530-26014-004-0000</v>
          </cell>
          <cell r="J2602">
            <v>65615.06</v>
          </cell>
        </row>
        <row r="2603">
          <cell r="A2603" t="str">
            <v>CIVLA</v>
          </cell>
          <cell r="B2603" t="str">
            <v>530-26014-004-0001</v>
          </cell>
          <cell r="J2603">
            <v>546.30999999999995</v>
          </cell>
        </row>
        <row r="2604">
          <cell r="A2604" t="str">
            <v>CIVLA</v>
          </cell>
          <cell r="B2604" t="str">
            <v>530-26014-004-0002</v>
          </cell>
          <cell r="J2604">
            <v>6899.06</v>
          </cell>
        </row>
        <row r="2605">
          <cell r="A2605" t="str">
            <v>CIVLA</v>
          </cell>
          <cell r="B2605" t="str">
            <v>530-26014-004-0003</v>
          </cell>
          <cell r="J2605">
            <v>4065.4</v>
          </cell>
        </row>
        <row r="2606">
          <cell r="A2606" t="str">
            <v>CIVLA</v>
          </cell>
          <cell r="B2606" t="str">
            <v>530-26014-004-0005</v>
          </cell>
          <cell r="J2606">
            <v>9836.74</v>
          </cell>
        </row>
        <row r="2607">
          <cell r="A2607" t="str">
            <v>CIVLA</v>
          </cell>
          <cell r="B2607" t="str">
            <v>530-26014-004-0009</v>
          </cell>
          <cell r="J2607">
            <v>93.97</v>
          </cell>
        </row>
        <row r="2608">
          <cell r="A2608" t="str">
            <v>CIVLA</v>
          </cell>
          <cell r="B2608" t="str">
            <v>530-26014-004-0013</v>
          </cell>
          <cell r="J2608">
            <v>44173.58</v>
          </cell>
        </row>
        <row r="2609">
          <cell r="A2609" t="str">
            <v>CIVLA</v>
          </cell>
          <cell r="B2609" t="str">
            <v>530-26015-000-0000</v>
          </cell>
          <cell r="J2609">
            <v>77688.460000000006</v>
          </cell>
        </row>
        <row r="2610">
          <cell r="A2610" t="str">
            <v>CIVLA</v>
          </cell>
          <cell r="B2610" t="str">
            <v>530-26015-004-0000</v>
          </cell>
          <cell r="J2610">
            <v>77688.460000000006</v>
          </cell>
        </row>
        <row r="2611">
          <cell r="A2611" t="str">
            <v>CIVLA</v>
          </cell>
          <cell r="B2611" t="str">
            <v>530-26015-004-0001</v>
          </cell>
          <cell r="J2611">
            <v>703.7</v>
          </cell>
        </row>
        <row r="2612">
          <cell r="A2612" t="str">
            <v>CIVLA</v>
          </cell>
          <cell r="B2612" t="str">
            <v>530-26015-004-0002</v>
          </cell>
          <cell r="J2612">
            <v>8958.31</v>
          </cell>
        </row>
        <row r="2613">
          <cell r="A2613" t="str">
            <v>CIVLA</v>
          </cell>
          <cell r="B2613" t="str">
            <v>530-26015-004-0003</v>
          </cell>
          <cell r="J2613">
            <v>13308.48</v>
          </cell>
        </row>
        <row r="2614">
          <cell r="A2614" t="str">
            <v>CIVLA</v>
          </cell>
          <cell r="B2614" t="str">
            <v>530-26015-004-0004</v>
          </cell>
          <cell r="J2614">
            <v>387.94</v>
          </cell>
        </row>
        <row r="2615">
          <cell r="A2615" t="str">
            <v>CIVLA</v>
          </cell>
          <cell r="B2615" t="str">
            <v>530-26015-004-0005</v>
          </cell>
          <cell r="J2615">
            <v>47530.94</v>
          </cell>
        </row>
        <row r="2616">
          <cell r="A2616" t="str">
            <v>CIVLA</v>
          </cell>
          <cell r="B2616" t="str">
            <v>530-26015-004-0013</v>
          </cell>
          <cell r="J2616">
            <v>6645.38</v>
          </cell>
        </row>
        <row r="2617">
          <cell r="A2617" t="str">
            <v>CIVLA</v>
          </cell>
          <cell r="B2617" t="str">
            <v>530-26015-004-0014</v>
          </cell>
          <cell r="J2617">
            <v>153.71</v>
          </cell>
        </row>
        <row r="2618">
          <cell r="A2618" t="str">
            <v>CIVLA</v>
          </cell>
          <cell r="B2618" t="str">
            <v>530-26016-000-0000</v>
          </cell>
          <cell r="J2618">
            <v>1545.24</v>
          </cell>
        </row>
        <row r="2619">
          <cell r="A2619" t="str">
            <v>CIVLA</v>
          </cell>
          <cell r="B2619" t="str">
            <v>530-26016-004-0000</v>
          </cell>
          <cell r="J2619">
            <v>1545.24</v>
          </cell>
        </row>
        <row r="2620">
          <cell r="A2620" t="str">
            <v>CIVLA</v>
          </cell>
          <cell r="B2620" t="str">
            <v>530-26016-004-0001</v>
          </cell>
          <cell r="J2620">
            <v>268.52</v>
          </cell>
        </row>
        <row r="2621">
          <cell r="A2621" t="str">
            <v>CIVLA</v>
          </cell>
          <cell r="B2621" t="str">
            <v>530-26016-004-0005</v>
          </cell>
          <cell r="J2621">
            <v>1276.72</v>
          </cell>
        </row>
        <row r="2622">
          <cell r="A2622" t="str">
            <v>CIVLA</v>
          </cell>
          <cell r="B2622" t="str">
            <v>530-26017-000-0000</v>
          </cell>
          <cell r="J2622">
            <v>89775.19</v>
          </cell>
        </row>
        <row r="2623">
          <cell r="A2623" t="str">
            <v>CIVLA</v>
          </cell>
          <cell r="B2623" t="str">
            <v>530-26017-004-0000</v>
          </cell>
          <cell r="J2623">
            <v>89775.19</v>
          </cell>
        </row>
        <row r="2624">
          <cell r="A2624" t="str">
            <v>CIVLA</v>
          </cell>
          <cell r="B2624" t="str">
            <v>530-26017-004-0001</v>
          </cell>
          <cell r="J2624">
            <v>1759.25</v>
          </cell>
        </row>
        <row r="2625">
          <cell r="A2625" t="str">
            <v>CIVLA</v>
          </cell>
          <cell r="B2625" t="str">
            <v>530-26017-004-0002</v>
          </cell>
          <cell r="J2625">
            <v>37370.06</v>
          </cell>
        </row>
        <row r="2626">
          <cell r="A2626" t="str">
            <v>CIVLA</v>
          </cell>
          <cell r="B2626" t="str">
            <v>530-26017-004-0003</v>
          </cell>
          <cell r="J2626">
            <v>21136.51</v>
          </cell>
        </row>
        <row r="2627">
          <cell r="A2627" t="str">
            <v>CIVLA</v>
          </cell>
          <cell r="B2627" t="str">
            <v>530-26017-004-0004</v>
          </cell>
          <cell r="J2627">
            <v>2695.26</v>
          </cell>
        </row>
        <row r="2628">
          <cell r="A2628" t="str">
            <v>CIVLA</v>
          </cell>
          <cell r="B2628" t="str">
            <v>530-26017-004-0005</v>
          </cell>
          <cell r="J2628">
            <v>5796.91</v>
          </cell>
        </row>
        <row r="2629">
          <cell r="A2629" t="str">
            <v>CIVLA</v>
          </cell>
          <cell r="B2629" t="str">
            <v>530-26017-004-0009</v>
          </cell>
          <cell r="J2629">
            <v>498.54</v>
          </cell>
        </row>
        <row r="2630">
          <cell r="A2630" t="str">
            <v>CIVLA</v>
          </cell>
          <cell r="B2630" t="str">
            <v>530-26017-004-0011</v>
          </cell>
          <cell r="J2630">
            <v>1224</v>
          </cell>
        </row>
        <row r="2631">
          <cell r="A2631" t="str">
            <v>CIVLA</v>
          </cell>
          <cell r="B2631" t="str">
            <v>530-26017-004-0013</v>
          </cell>
          <cell r="J2631">
            <v>18279.84</v>
          </cell>
        </row>
        <row r="2632">
          <cell r="A2632" t="str">
            <v>CIVLA</v>
          </cell>
          <cell r="B2632" t="str">
            <v>530-26017-004-0014</v>
          </cell>
          <cell r="J2632">
            <v>1014.82</v>
          </cell>
        </row>
        <row r="2633">
          <cell r="A2633" t="str">
            <v>CIVLA</v>
          </cell>
          <cell r="B2633" t="str">
            <v>530-26018-000-0000</v>
          </cell>
          <cell r="J2633">
            <v>400586.56</v>
          </cell>
        </row>
        <row r="2634">
          <cell r="A2634" t="str">
            <v>CIVLA</v>
          </cell>
          <cell r="B2634" t="str">
            <v>530-26018-004-0000</v>
          </cell>
          <cell r="J2634">
            <v>322086.56</v>
          </cell>
        </row>
        <row r="2635">
          <cell r="A2635" t="str">
            <v>CIVLA</v>
          </cell>
          <cell r="B2635" t="str">
            <v>530-26018-004-0001</v>
          </cell>
          <cell r="J2635">
            <v>8917.59</v>
          </cell>
        </row>
        <row r="2636">
          <cell r="A2636" t="str">
            <v>CIVLA</v>
          </cell>
          <cell r="B2636" t="str">
            <v>530-26018-004-0002</v>
          </cell>
          <cell r="J2636">
            <v>110931.36</v>
          </cell>
        </row>
        <row r="2637">
          <cell r="A2637" t="str">
            <v>CIVLA</v>
          </cell>
          <cell r="B2637" t="str">
            <v>530-26018-004-0003</v>
          </cell>
          <cell r="J2637">
            <v>148986.39000000001</v>
          </cell>
        </row>
        <row r="2638">
          <cell r="A2638" t="str">
            <v>CIVLA</v>
          </cell>
          <cell r="B2638" t="str">
            <v>530-26018-004-0004</v>
          </cell>
          <cell r="J2638">
            <v>8592.5300000000007</v>
          </cell>
        </row>
        <row r="2639">
          <cell r="A2639" t="str">
            <v>CIVLA</v>
          </cell>
          <cell r="B2639" t="str">
            <v>530-26018-004-0005</v>
          </cell>
          <cell r="J2639">
            <v>18135.87</v>
          </cell>
        </row>
        <row r="2640">
          <cell r="A2640" t="str">
            <v>CIVLA</v>
          </cell>
          <cell r="B2640" t="str">
            <v>530-26018-004-0009</v>
          </cell>
          <cell r="J2640">
            <v>1381.9</v>
          </cell>
        </row>
        <row r="2641">
          <cell r="A2641" t="str">
            <v>CIVLA</v>
          </cell>
          <cell r="B2641" t="str">
            <v>530-26018-004-0011</v>
          </cell>
          <cell r="J2641">
            <v>8214.07</v>
          </cell>
        </row>
        <row r="2642">
          <cell r="A2642" t="str">
            <v>CIVLA</v>
          </cell>
          <cell r="B2642" t="str">
            <v>530-26018-004-0013</v>
          </cell>
          <cell r="J2642">
            <v>16725.5</v>
          </cell>
        </row>
        <row r="2643">
          <cell r="A2643" t="str">
            <v>CIVLA</v>
          </cell>
          <cell r="B2643" t="str">
            <v>530-26018-004-0014</v>
          </cell>
          <cell r="J2643">
            <v>201.35</v>
          </cell>
        </row>
        <row r="2644">
          <cell r="A2644" t="str">
            <v>CIVLA</v>
          </cell>
          <cell r="B2644" t="str">
            <v>530-26018-009-0000</v>
          </cell>
          <cell r="J2644">
            <v>78500</v>
          </cell>
        </row>
        <row r="2645">
          <cell r="A2645" t="str">
            <v>CIVLA</v>
          </cell>
          <cell r="B2645" t="str">
            <v>530-26019-000-0000</v>
          </cell>
          <cell r="J2645">
            <v>331834.71999999997</v>
          </cell>
        </row>
        <row r="2646">
          <cell r="A2646" t="str">
            <v>CIVLA</v>
          </cell>
          <cell r="B2646" t="str">
            <v>530-26019-004-0000</v>
          </cell>
          <cell r="J2646">
            <v>57834.720000000001</v>
          </cell>
        </row>
        <row r="2647">
          <cell r="A2647" t="str">
            <v>CIVLA</v>
          </cell>
          <cell r="B2647" t="str">
            <v>530-26019-004-0001</v>
          </cell>
          <cell r="J2647">
            <v>703.71</v>
          </cell>
        </row>
        <row r="2648">
          <cell r="A2648" t="str">
            <v>CIVLA</v>
          </cell>
          <cell r="B2648" t="str">
            <v>530-26019-004-0002</v>
          </cell>
          <cell r="J2648">
            <v>13320.3</v>
          </cell>
        </row>
        <row r="2649">
          <cell r="A2649" t="str">
            <v>CIVLA</v>
          </cell>
          <cell r="B2649" t="str">
            <v>530-26019-004-0003</v>
          </cell>
          <cell r="J2649">
            <v>19610.669999999998</v>
          </cell>
        </row>
        <row r="2650">
          <cell r="A2650" t="str">
            <v>CIVLA</v>
          </cell>
          <cell r="B2650" t="str">
            <v>530-26019-004-0004</v>
          </cell>
          <cell r="J2650">
            <v>636.91999999999996</v>
          </cell>
        </row>
        <row r="2651">
          <cell r="A2651" t="str">
            <v>CIVLA</v>
          </cell>
          <cell r="B2651" t="str">
            <v>530-26019-004-0005</v>
          </cell>
          <cell r="J2651">
            <v>16649.41</v>
          </cell>
        </row>
        <row r="2652">
          <cell r="A2652" t="str">
            <v>CIVLA</v>
          </cell>
          <cell r="B2652" t="str">
            <v>530-26019-004-0009</v>
          </cell>
          <cell r="J2652">
            <v>416.38</v>
          </cell>
        </row>
        <row r="2653">
          <cell r="A2653" t="str">
            <v>CIVLA</v>
          </cell>
          <cell r="B2653" t="str">
            <v>530-26019-004-0013</v>
          </cell>
          <cell r="J2653">
            <v>6497.33</v>
          </cell>
        </row>
        <row r="2654">
          <cell r="A2654" t="str">
            <v>CIVLA</v>
          </cell>
          <cell r="B2654" t="str">
            <v>530-26019-009-0000</v>
          </cell>
          <cell r="J2654">
            <v>274000</v>
          </cell>
        </row>
        <row r="2655">
          <cell r="A2655" t="str">
            <v>CIVLA</v>
          </cell>
          <cell r="B2655" t="str">
            <v>530-26020-000-0000</v>
          </cell>
          <cell r="J2655">
            <v>67711.27</v>
          </cell>
        </row>
        <row r="2656">
          <cell r="A2656" t="str">
            <v>CIVLA</v>
          </cell>
          <cell r="B2656" t="str">
            <v>530-26020-004-0000</v>
          </cell>
          <cell r="J2656">
            <v>67711.27</v>
          </cell>
        </row>
        <row r="2657">
          <cell r="A2657" t="str">
            <v>CIVLA</v>
          </cell>
          <cell r="B2657" t="str">
            <v>530-26020-004-0001</v>
          </cell>
          <cell r="J2657">
            <v>814.82</v>
          </cell>
        </row>
        <row r="2658">
          <cell r="A2658" t="str">
            <v>CIVLA</v>
          </cell>
          <cell r="B2658" t="str">
            <v>530-26020-004-0002</v>
          </cell>
          <cell r="J2658">
            <v>26443.96</v>
          </cell>
        </row>
        <row r="2659">
          <cell r="A2659" t="str">
            <v>CIVLA</v>
          </cell>
          <cell r="B2659" t="str">
            <v>530-26020-004-0003</v>
          </cell>
          <cell r="J2659">
            <v>11755.26</v>
          </cell>
        </row>
        <row r="2660">
          <cell r="A2660" t="str">
            <v>CIVLA</v>
          </cell>
          <cell r="B2660" t="str">
            <v>530-26020-004-0005</v>
          </cell>
          <cell r="J2660">
            <v>22329.63</v>
          </cell>
        </row>
        <row r="2661">
          <cell r="A2661" t="str">
            <v>CIVLA</v>
          </cell>
          <cell r="B2661" t="str">
            <v>530-26020-004-0009</v>
          </cell>
          <cell r="J2661">
            <v>653.6</v>
          </cell>
        </row>
        <row r="2662">
          <cell r="A2662" t="str">
            <v>CIVLA</v>
          </cell>
          <cell r="B2662" t="str">
            <v>530-26020-004-0011</v>
          </cell>
          <cell r="J2662">
            <v>1171.56</v>
          </cell>
        </row>
        <row r="2663">
          <cell r="A2663" t="str">
            <v>CIVLA</v>
          </cell>
          <cell r="B2663" t="str">
            <v>530-26020-004-0013</v>
          </cell>
          <cell r="J2663">
            <v>4193.3</v>
          </cell>
        </row>
        <row r="2664">
          <cell r="A2664" t="str">
            <v>CIVLA</v>
          </cell>
          <cell r="B2664" t="str">
            <v>530-26020-004-0014</v>
          </cell>
          <cell r="J2664">
            <v>349.14</v>
          </cell>
        </row>
        <row r="2665">
          <cell r="A2665" t="str">
            <v>CIVLA</v>
          </cell>
          <cell r="B2665" t="str">
            <v>530-26021-000-0000</v>
          </cell>
          <cell r="J2665">
            <v>31567.67</v>
          </cell>
        </row>
        <row r="2666">
          <cell r="A2666" t="str">
            <v>CIVLA</v>
          </cell>
          <cell r="B2666" t="str">
            <v>530-26021-004-0000</v>
          </cell>
          <cell r="J2666">
            <v>31567.67</v>
          </cell>
        </row>
        <row r="2667">
          <cell r="A2667" t="str">
            <v>CIVLA</v>
          </cell>
          <cell r="B2667" t="str">
            <v>530-26021-004-0001</v>
          </cell>
          <cell r="J2667">
            <v>1703.43</v>
          </cell>
        </row>
        <row r="2668">
          <cell r="A2668" t="str">
            <v>CIVLA</v>
          </cell>
          <cell r="B2668" t="str">
            <v>530-26021-004-0002</v>
          </cell>
          <cell r="J2668">
            <v>6770.45</v>
          </cell>
        </row>
        <row r="2669">
          <cell r="A2669" t="str">
            <v>CIVLA</v>
          </cell>
          <cell r="B2669" t="str">
            <v>530-26021-004-0003</v>
          </cell>
          <cell r="J2669">
            <v>8556.48</v>
          </cell>
        </row>
        <row r="2670">
          <cell r="A2670" t="str">
            <v>CIVLA</v>
          </cell>
          <cell r="B2670" t="str">
            <v>530-26021-004-0004</v>
          </cell>
          <cell r="J2670">
            <v>387.94</v>
          </cell>
        </row>
        <row r="2671">
          <cell r="A2671" t="str">
            <v>CIVLA</v>
          </cell>
          <cell r="B2671" t="str">
            <v>530-26021-004-0005</v>
          </cell>
          <cell r="J2671">
            <v>8076.43</v>
          </cell>
        </row>
        <row r="2672">
          <cell r="A2672" t="str">
            <v>CIVLA</v>
          </cell>
          <cell r="B2672" t="str">
            <v>530-26021-004-0009</v>
          </cell>
          <cell r="J2672">
            <v>3824.41</v>
          </cell>
        </row>
        <row r="2673">
          <cell r="A2673" t="str">
            <v>CIVLA</v>
          </cell>
          <cell r="B2673" t="str">
            <v>530-26021-004-0011</v>
          </cell>
          <cell r="J2673">
            <v>637.92999999999995</v>
          </cell>
        </row>
        <row r="2674">
          <cell r="A2674" t="str">
            <v>CIVLA</v>
          </cell>
          <cell r="B2674" t="str">
            <v>530-26021-004-0013</v>
          </cell>
          <cell r="J2674">
            <v>1610.6</v>
          </cell>
        </row>
        <row r="2675">
          <cell r="A2675" t="str">
            <v>CIVLA</v>
          </cell>
          <cell r="B2675" t="str">
            <v>530-26022-000-0000</v>
          </cell>
          <cell r="J2675">
            <v>19248.91</v>
          </cell>
        </row>
        <row r="2676">
          <cell r="A2676" t="str">
            <v>CIVLA</v>
          </cell>
          <cell r="B2676" t="str">
            <v>530-26022-004-0000</v>
          </cell>
          <cell r="J2676">
            <v>19248.91</v>
          </cell>
        </row>
        <row r="2677">
          <cell r="A2677" t="str">
            <v>CIVLA</v>
          </cell>
          <cell r="B2677" t="str">
            <v>530-26022-004-0001</v>
          </cell>
          <cell r="J2677">
            <v>1259.25</v>
          </cell>
        </row>
        <row r="2678">
          <cell r="A2678" t="str">
            <v>CIVLA</v>
          </cell>
          <cell r="B2678" t="str">
            <v>530-26022-004-0002</v>
          </cell>
          <cell r="J2678">
            <v>5628.3</v>
          </cell>
        </row>
        <row r="2679">
          <cell r="A2679" t="str">
            <v>CIVLA</v>
          </cell>
          <cell r="B2679" t="str">
            <v>530-26022-004-0003</v>
          </cell>
          <cell r="J2679">
            <v>734.75</v>
          </cell>
        </row>
        <row r="2680">
          <cell r="A2680" t="str">
            <v>CIVLA</v>
          </cell>
          <cell r="B2680" t="str">
            <v>530-26022-004-0005</v>
          </cell>
          <cell r="J2680">
            <v>1659.87</v>
          </cell>
        </row>
        <row r="2681">
          <cell r="A2681" t="str">
            <v>CIVLA</v>
          </cell>
          <cell r="B2681" t="str">
            <v>530-26022-004-0009</v>
          </cell>
          <cell r="J2681">
            <v>1608.88</v>
          </cell>
        </row>
        <row r="2682">
          <cell r="A2682" t="str">
            <v>CIVLA</v>
          </cell>
          <cell r="B2682" t="str">
            <v>530-26022-004-0011</v>
          </cell>
          <cell r="J2682">
            <v>318.97000000000003</v>
          </cell>
        </row>
        <row r="2683">
          <cell r="A2683" t="str">
            <v>CIVLA</v>
          </cell>
          <cell r="B2683" t="str">
            <v>530-26022-004-0013</v>
          </cell>
          <cell r="J2683">
            <v>8038.89</v>
          </cell>
        </row>
        <row r="2684">
          <cell r="A2684" t="str">
            <v>CIVLA</v>
          </cell>
          <cell r="B2684" t="str">
            <v>530-26023-000-0000</v>
          </cell>
          <cell r="J2684">
            <v>2221.09</v>
          </cell>
        </row>
        <row r="2685">
          <cell r="A2685" t="str">
            <v>CIVLA</v>
          </cell>
          <cell r="B2685" t="str">
            <v>530-26023-004-0000</v>
          </cell>
          <cell r="J2685">
            <v>2221.09</v>
          </cell>
        </row>
        <row r="2686">
          <cell r="A2686" t="str">
            <v>CIVLA</v>
          </cell>
          <cell r="B2686" t="str">
            <v>530-26023-004-0001</v>
          </cell>
          <cell r="J2686">
            <v>92.59</v>
          </cell>
        </row>
        <row r="2687">
          <cell r="A2687" t="str">
            <v>CIVLA</v>
          </cell>
          <cell r="B2687" t="str">
            <v>530-26023-004-0003</v>
          </cell>
          <cell r="J2687">
            <v>2128.5</v>
          </cell>
        </row>
        <row r="2688">
          <cell r="A2688" t="str">
            <v>CIVLA</v>
          </cell>
          <cell r="B2688" t="str">
            <v>530-26025-000-0000</v>
          </cell>
          <cell r="J2688">
            <v>32870.18</v>
          </cell>
        </row>
        <row r="2689">
          <cell r="A2689" t="str">
            <v>CIVLA</v>
          </cell>
          <cell r="B2689" t="str">
            <v>530-26025-004-0000</v>
          </cell>
          <cell r="J2689">
            <v>32870.18</v>
          </cell>
        </row>
        <row r="2690">
          <cell r="A2690" t="str">
            <v>CIVLA</v>
          </cell>
          <cell r="B2690" t="str">
            <v>530-26025-004-0001</v>
          </cell>
          <cell r="J2690">
            <v>323.16000000000003</v>
          </cell>
        </row>
        <row r="2691">
          <cell r="A2691" t="str">
            <v>CIVLA</v>
          </cell>
          <cell r="B2691" t="str">
            <v>530-26025-004-0002</v>
          </cell>
          <cell r="J2691">
            <v>22162.720000000001</v>
          </cell>
        </row>
        <row r="2692">
          <cell r="A2692" t="str">
            <v>CIVLA</v>
          </cell>
          <cell r="B2692" t="str">
            <v>530-26025-004-0003</v>
          </cell>
          <cell r="J2692">
            <v>3160.37</v>
          </cell>
        </row>
        <row r="2693">
          <cell r="A2693" t="str">
            <v>CIVLA</v>
          </cell>
          <cell r="B2693" t="str">
            <v>530-26025-004-0004</v>
          </cell>
          <cell r="J2693">
            <v>690.43</v>
          </cell>
        </row>
        <row r="2694">
          <cell r="A2694" t="str">
            <v>CIVLA</v>
          </cell>
          <cell r="B2694" t="str">
            <v>530-26025-004-0005</v>
          </cell>
          <cell r="J2694">
            <v>1604.31</v>
          </cell>
        </row>
        <row r="2695">
          <cell r="A2695" t="str">
            <v>CIVLA</v>
          </cell>
          <cell r="B2695" t="str">
            <v>530-26025-004-0006</v>
          </cell>
          <cell r="J2695">
            <v>1219</v>
          </cell>
        </row>
        <row r="2696">
          <cell r="A2696" t="str">
            <v>CIVLA</v>
          </cell>
          <cell r="B2696" t="str">
            <v>530-26025-004-0009</v>
          </cell>
          <cell r="J2696">
            <v>1273.6300000000001</v>
          </cell>
        </row>
        <row r="2697">
          <cell r="A2697" t="str">
            <v>CIVLA</v>
          </cell>
          <cell r="B2697" t="str">
            <v>530-26025-004-0013</v>
          </cell>
          <cell r="J2697">
            <v>2414.34</v>
          </cell>
        </row>
        <row r="2698">
          <cell r="A2698" t="str">
            <v>CIVLA</v>
          </cell>
          <cell r="B2698" t="str">
            <v>530-26025-004-0014</v>
          </cell>
          <cell r="J2698">
            <v>22.22</v>
          </cell>
        </row>
        <row r="2699">
          <cell r="A2699" t="str">
            <v>CIVLA</v>
          </cell>
          <cell r="B2699" t="str">
            <v>530-26026-000-0000</v>
          </cell>
          <cell r="J2699">
            <v>240644.06</v>
          </cell>
        </row>
        <row r="2700">
          <cell r="A2700" t="str">
            <v>CIVLA</v>
          </cell>
          <cell r="B2700" t="str">
            <v>530-26026-004-0000</v>
          </cell>
          <cell r="J2700">
            <v>90644.06</v>
          </cell>
        </row>
        <row r="2701">
          <cell r="A2701" t="str">
            <v>CIVLA</v>
          </cell>
          <cell r="B2701" t="str">
            <v>530-26026-004-0001</v>
          </cell>
          <cell r="J2701">
            <v>712.95</v>
          </cell>
        </row>
        <row r="2702">
          <cell r="A2702" t="str">
            <v>CIVLA</v>
          </cell>
          <cell r="B2702" t="str">
            <v>530-26026-004-0002</v>
          </cell>
          <cell r="J2702">
            <v>37902</v>
          </cell>
        </row>
        <row r="2703">
          <cell r="A2703" t="str">
            <v>CIVLA</v>
          </cell>
          <cell r="B2703" t="str">
            <v>530-26026-004-0003</v>
          </cell>
          <cell r="J2703">
            <v>27940.17</v>
          </cell>
        </row>
        <row r="2704">
          <cell r="A2704" t="str">
            <v>CIVLA</v>
          </cell>
          <cell r="B2704" t="str">
            <v>530-26026-004-0005</v>
          </cell>
          <cell r="J2704">
            <v>17369.25</v>
          </cell>
        </row>
        <row r="2705">
          <cell r="A2705" t="str">
            <v>CIVLA</v>
          </cell>
          <cell r="B2705" t="str">
            <v>530-26026-004-0009</v>
          </cell>
          <cell r="J2705">
            <v>374.14</v>
          </cell>
        </row>
        <row r="2706">
          <cell r="A2706" t="str">
            <v>CIVLA</v>
          </cell>
          <cell r="B2706" t="str">
            <v>530-26026-004-0011</v>
          </cell>
          <cell r="J2706">
            <v>400</v>
          </cell>
        </row>
        <row r="2707">
          <cell r="A2707" t="str">
            <v>CIVLA</v>
          </cell>
          <cell r="B2707" t="str">
            <v>530-26026-004-0013</v>
          </cell>
          <cell r="J2707">
            <v>5945.55</v>
          </cell>
        </row>
        <row r="2708">
          <cell r="A2708" t="str">
            <v>CIVLA</v>
          </cell>
          <cell r="B2708" t="str">
            <v>530-26026-009-0000</v>
          </cell>
          <cell r="J2708">
            <v>150000</v>
          </cell>
        </row>
        <row r="2709">
          <cell r="A2709" t="str">
            <v>CIVLA</v>
          </cell>
          <cell r="B2709" t="str">
            <v>530-26027-000-0000</v>
          </cell>
          <cell r="J2709">
            <v>281230.37</v>
          </cell>
        </row>
        <row r="2710">
          <cell r="A2710" t="str">
            <v>CIVLA</v>
          </cell>
          <cell r="B2710" t="str">
            <v>530-26027-004-0000</v>
          </cell>
          <cell r="J2710">
            <v>66230.37</v>
          </cell>
        </row>
        <row r="2711">
          <cell r="A2711" t="str">
            <v>CIVLA</v>
          </cell>
          <cell r="B2711" t="str">
            <v>530-26027-004-0001</v>
          </cell>
          <cell r="J2711">
            <v>2233.33</v>
          </cell>
        </row>
        <row r="2712">
          <cell r="A2712" t="str">
            <v>CIVLA</v>
          </cell>
          <cell r="B2712" t="str">
            <v>530-26027-004-0002</v>
          </cell>
          <cell r="J2712">
            <v>14072.63</v>
          </cell>
        </row>
        <row r="2713">
          <cell r="A2713" t="str">
            <v>CIVLA</v>
          </cell>
          <cell r="B2713" t="str">
            <v>530-26027-004-0003</v>
          </cell>
          <cell r="J2713">
            <v>28269.9</v>
          </cell>
        </row>
        <row r="2714">
          <cell r="A2714" t="str">
            <v>CIVLA</v>
          </cell>
          <cell r="B2714" t="str">
            <v>530-26027-004-0005</v>
          </cell>
          <cell r="J2714">
            <v>7451.21</v>
          </cell>
        </row>
        <row r="2715">
          <cell r="A2715" t="str">
            <v>CIVLA</v>
          </cell>
          <cell r="B2715" t="str">
            <v>530-26027-004-0006</v>
          </cell>
          <cell r="J2715">
            <v>1487.07</v>
          </cell>
        </row>
        <row r="2716">
          <cell r="A2716" t="str">
            <v>CIVLA</v>
          </cell>
          <cell r="B2716" t="str">
            <v>530-26027-004-0009</v>
          </cell>
          <cell r="J2716">
            <v>687.98</v>
          </cell>
        </row>
        <row r="2717">
          <cell r="A2717" t="str">
            <v>CIVLA</v>
          </cell>
          <cell r="B2717" t="str">
            <v>530-26027-004-0011</v>
          </cell>
          <cell r="J2717">
            <v>2831.45</v>
          </cell>
        </row>
        <row r="2718">
          <cell r="A2718" t="str">
            <v>CIVLA</v>
          </cell>
          <cell r="B2718" t="str">
            <v>530-26027-004-0013</v>
          </cell>
          <cell r="J2718">
            <v>8871.7999999999993</v>
          </cell>
        </row>
        <row r="2719">
          <cell r="A2719" t="str">
            <v>CIVLA</v>
          </cell>
          <cell r="B2719" t="str">
            <v>530-26027-004-0014</v>
          </cell>
          <cell r="J2719">
            <v>325</v>
          </cell>
        </row>
        <row r="2720">
          <cell r="A2720" t="str">
            <v>CIVLA</v>
          </cell>
          <cell r="B2720" t="str">
            <v>530-26027-009-0000</v>
          </cell>
          <cell r="J2720">
            <v>215000</v>
          </cell>
        </row>
        <row r="2721">
          <cell r="A2721" t="str">
            <v>CIVLA</v>
          </cell>
          <cell r="B2721" t="str">
            <v>530-26028-000-0000</v>
          </cell>
          <cell r="J2721">
            <v>49653.65</v>
          </cell>
        </row>
        <row r="2722">
          <cell r="A2722" t="str">
            <v>CIVLA</v>
          </cell>
          <cell r="B2722" t="str">
            <v>530-26028-004-0000</v>
          </cell>
          <cell r="J2722">
            <v>49653.65</v>
          </cell>
        </row>
        <row r="2723">
          <cell r="A2723" t="str">
            <v>CIVLA</v>
          </cell>
          <cell r="B2723" t="str">
            <v>530-26028-004-0001</v>
          </cell>
          <cell r="J2723">
            <v>537.04</v>
          </cell>
        </row>
        <row r="2724">
          <cell r="A2724" t="str">
            <v>CIVLA</v>
          </cell>
          <cell r="B2724" t="str">
            <v>530-26028-004-0002</v>
          </cell>
          <cell r="J2724">
            <v>15547.96</v>
          </cell>
        </row>
        <row r="2725">
          <cell r="A2725" t="str">
            <v>CIVLA</v>
          </cell>
          <cell r="B2725" t="str">
            <v>530-26028-004-0003</v>
          </cell>
          <cell r="J2725">
            <v>13079.62</v>
          </cell>
        </row>
        <row r="2726">
          <cell r="A2726" t="str">
            <v>CIVLA</v>
          </cell>
          <cell r="B2726" t="str">
            <v>530-26028-004-0004</v>
          </cell>
          <cell r="J2726">
            <v>732.76</v>
          </cell>
        </row>
        <row r="2727">
          <cell r="A2727" t="str">
            <v>CIVLA</v>
          </cell>
          <cell r="B2727" t="str">
            <v>530-26028-004-0005</v>
          </cell>
          <cell r="J2727">
            <v>8645.42</v>
          </cell>
        </row>
        <row r="2728">
          <cell r="A2728" t="str">
            <v>CIVLA</v>
          </cell>
          <cell r="B2728" t="str">
            <v>530-26028-004-0009</v>
          </cell>
          <cell r="J2728">
            <v>523.44000000000005</v>
          </cell>
        </row>
        <row r="2729">
          <cell r="A2729" t="str">
            <v>CIVLA</v>
          </cell>
          <cell r="B2729" t="str">
            <v>530-26028-004-0011</v>
          </cell>
          <cell r="J2729">
            <v>3220.24</v>
          </cell>
        </row>
        <row r="2730">
          <cell r="A2730" t="str">
            <v>CIVLA</v>
          </cell>
          <cell r="B2730" t="str">
            <v>530-26028-004-0013</v>
          </cell>
          <cell r="J2730">
            <v>6920.87</v>
          </cell>
        </row>
        <row r="2731">
          <cell r="A2731" t="str">
            <v>CIVLA</v>
          </cell>
          <cell r="B2731" t="str">
            <v>530-26028-004-0014</v>
          </cell>
          <cell r="J2731">
            <v>446.3</v>
          </cell>
        </row>
        <row r="2732">
          <cell r="A2732" t="str">
            <v>CIVLA</v>
          </cell>
          <cell r="B2732" t="str">
            <v>530-26029-000-0000</v>
          </cell>
          <cell r="J2732">
            <v>26597</v>
          </cell>
        </row>
        <row r="2733">
          <cell r="A2733" t="str">
            <v>CIVLA</v>
          </cell>
          <cell r="B2733" t="str">
            <v>530-26029-004-0000</v>
          </cell>
          <cell r="J2733">
            <v>26597</v>
          </cell>
        </row>
        <row r="2734">
          <cell r="A2734" t="str">
            <v>CIVLA</v>
          </cell>
          <cell r="B2734" t="str">
            <v>530-26029-004-0001</v>
          </cell>
          <cell r="J2734">
            <v>481.49</v>
          </cell>
        </row>
        <row r="2735">
          <cell r="A2735" t="str">
            <v>CIVLA</v>
          </cell>
          <cell r="B2735" t="str">
            <v>530-26029-004-0002</v>
          </cell>
          <cell r="J2735">
            <v>10791.23</v>
          </cell>
        </row>
        <row r="2736">
          <cell r="A2736" t="str">
            <v>CIVLA</v>
          </cell>
          <cell r="B2736" t="str">
            <v>530-26029-004-0003</v>
          </cell>
          <cell r="J2736">
            <v>2691.85</v>
          </cell>
        </row>
        <row r="2737">
          <cell r="A2737" t="str">
            <v>CIVLA</v>
          </cell>
          <cell r="B2737" t="str">
            <v>530-26029-004-0004</v>
          </cell>
          <cell r="J2737">
            <v>1348.28</v>
          </cell>
        </row>
        <row r="2738">
          <cell r="A2738" t="str">
            <v>CIVLA</v>
          </cell>
          <cell r="B2738" t="str">
            <v>530-26029-004-0005</v>
          </cell>
          <cell r="J2738">
            <v>7106.31</v>
          </cell>
        </row>
        <row r="2739">
          <cell r="A2739" t="str">
            <v>CIVLA</v>
          </cell>
          <cell r="B2739" t="str">
            <v>530-26029-004-0013</v>
          </cell>
          <cell r="J2739">
            <v>4177.84</v>
          </cell>
        </row>
        <row r="2740">
          <cell r="A2740" t="str">
            <v>CIVLA</v>
          </cell>
          <cell r="B2740" t="str">
            <v>530-26030-000-0000</v>
          </cell>
          <cell r="J2740">
            <v>226314.81</v>
          </cell>
        </row>
        <row r="2741">
          <cell r="A2741" t="str">
            <v>CIVLA</v>
          </cell>
          <cell r="B2741" t="str">
            <v>530-26030-004-0000</v>
          </cell>
          <cell r="J2741">
            <v>2314.81</v>
          </cell>
        </row>
        <row r="2742">
          <cell r="A2742" t="str">
            <v>CIVLA</v>
          </cell>
          <cell r="B2742" t="str">
            <v>530-26030-004-0013</v>
          </cell>
          <cell r="J2742">
            <v>2314.81</v>
          </cell>
        </row>
        <row r="2743">
          <cell r="A2743" t="str">
            <v>CIVLA</v>
          </cell>
          <cell r="B2743" t="str">
            <v>530-26030-009-0000</v>
          </cell>
          <cell r="J2743">
            <v>224000</v>
          </cell>
        </row>
        <row r="2744">
          <cell r="A2744" t="str">
            <v>CIVLA</v>
          </cell>
          <cell r="B2744" t="str">
            <v>530-26031-000-0000</v>
          </cell>
          <cell r="J2744">
            <v>366147.81</v>
          </cell>
        </row>
        <row r="2745">
          <cell r="A2745" t="str">
            <v>CIVLA</v>
          </cell>
          <cell r="B2745" t="str">
            <v>530-26031-004-0000</v>
          </cell>
          <cell r="J2745">
            <v>187747.81</v>
          </cell>
        </row>
        <row r="2746">
          <cell r="A2746" t="str">
            <v>CIVLA</v>
          </cell>
          <cell r="B2746" t="str">
            <v>530-26031-004-0001</v>
          </cell>
          <cell r="J2746">
            <v>4240.74</v>
          </cell>
        </row>
        <row r="2747">
          <cell r="A2747" t="str">
            <v>CIVLA</v>
          </cell>
          <cell r="B2747" t="str">
            <v>530-26031-004-0002</v>
          </cell>
          <cell r="J2747">
            <v>87559.55</v>
          </cell>
        </row>
        <row r="2748">
          <cell r="A2748" t="str">
            <v>CIVLA</v>
          </cell>
          <cell r="B2748" t="str">
            <v>530-26031-004-0003</v>
          </cell>
          <cell r="J2748">
            <v>67914.259999999995</v>
          </cell>
        </row>
        <row r="2749">
          <cell r="A2749" t="str">
            <v>CIVLA</v>
          </cell>
          <cell r="B2749" t="str">
            <v>530-26031-004-0004</v>
          </cell>
          <cell r="J2749">
            <v>581.9</v>
          </cell>
        </row>
        <row r="2750">
          <cell r="A2750" t="str">
            <v>CIVLA</v>
          </cell>
          <cell r="B2750" t="str">
            <v>530-26031-004-0005</v>
          </cell>
          <cell r="J2750">
            <v>20425.28</v>
          </cell>
        </row>
        <row r="2751">
          <cell r="A2751" t="str">
            <v>CIVLA</v>
          </cell>
          <cell r="B2751" t="str">
            <v>530-26031-004-0009</v>
          </cell>
          <cell r="J2751">
            <v>863.6</v>
          </cell>
        </row>
        <row r="2752">
          <cell r="A2752" t="str">
            <v>CIVLA</v>
          </cell>
          <cell r="B2752" t="str">
            <v>530-26031-004-0013</v>
          </cell>
          <cell r="J2752">
            <v>6116.18</v>
          </cell>
        </row>
        <row r="2753">
          <cell r="A2753" t="str">
            <v>CIVLA</v>
          </cell>
          <cell r="B2753" t="str">
            <v>530-26031-004-0014</v>
          </cell>
          <cell r="J2753">
            <v>46.3</v>
          </cell>
        </row>
        <row r="2754">
          <cell r="A2754" t="str">
            <v>CIVLA</v>
          </cell>
          <cell r="B2754" t="str">
            <v>530-26031-009-0000</v>
          </cell>
          <cell r="J2754">
            <v>178400</v>
          </cell>
        </row>
        <row r="2755">
          <cell r="A2755" t="str">
            <v>CIVLA</v>
          </cell>
          <cell r="B2755" t="str">
            <v>530-26032-000-0000</v>
          </cell>
          <cell r="J2755">
            <v>148339.89000000001</v>
          </cell>
        </row>
        <row r="2756">
          <cell r="A2756" t="str">
            <v>CIVLA</v>
          </cell>
          <cell r="B2756" t="str">
            <v>530-26032-004-0000</v>
          </cell>
          <cell r="J2756">
            <v>48339.89</v>
          </cell>
        </row>
        <row r="2757">
          <cell r="A2757" t="str">
            <v>CIVLA</v>
          </cell>
          <cell r="B2757" t="str">
            <v>530-26032-004-0001</v>
          </cell>
          <cell r="J2757">
            <v>524.08000000000004</v>
          </cell>
        </row>
        <row r="2758">
          <cell r="A2758" t="str">
            <v>CIVLA</v>
          </cell>
          <cell r="B2758" t="str">
            <v>530-26032-004-0002</v>
          </cell>
          <cell r="J2758">
            <v>14197.5</v>
          </cell>
        </row>
        <row r="2759">
          <cell r="A2759" t="str">
            <v>CIVLA</v>
          </cell>
          <cell r="B2759" t="str">
            <v>530-26032-004-0003</v>
          </cell>
          <cell r="J2759">
            <v>16424.52</v>
          </cell>
        </row>
        <row r="2760">
          <cell r="A2760" t="str">
            <v>CIVLA</v>
          </cell>
          <cell r="B2760" t="str">
            <v>530-26032-004-0005</v>
          </cell>
          <cell r="J2760">
            <v>13193.55</v>
          </cell>
        </row>
        <row r="2761">
          <cell r="A2761" t="str">
            <v>CIVLA</v>
          </cell>
          <cell r="B2761" t="str">
            <v>530-26032-004-0009</v>
          </cell>
          <cell r="J2761">
            <v>710</v>
          </cell>
        </row>
        <row r="2762">
          <cell r="A2762" t="str">
            <v>CIVLA</v>
          </cell>
          <cell r="B2762" t="str">
            <v>530-26032-004-0011</v>
          </cell>
          <cell r="J2762">
            <v>1737.07</v>
          </cell>
        </row>
        <row r="2763">
          <cell r="A2763" t="str">
            <v>CIVLA</v>
          </cell>
          <cell r="B2763" t="str">
            <v>530-26032-004-0013</v>
          </cell>
          <cell r="J2763">
            <v>1553.17</v>
          </cell>
        </row>
        <row r="2764">
          <cell r="A2764" t="str">
            <v>CIVLA</v>
          </cell>
          <cell r="B2764" t="str">
            <v>530-26032-009-0000</v>
          </cell>
          <cell r="J2764">
            <v>100000</v>
          </cell>
        </row>
        <row r="2765">
          <cell r="A2765" t="str">
            <v>CIVLA</v>
          </cell>
          <cell r="B2765" t="str">
            <v>530-26033-000-0000</v>
          </cell>
          <cell r="J2765">
            <v>165208.6</v>
          </cell>
        </row>
        <row r="2766">
          <cell r="A2766" t="str">
            <v>CIVLA</v>
          </cell>
          <cell r="B2766" t="str">
            <v>530-26033-004-0000</v>
          </cell>
          <cell r="J2766">
            <v>165208.6</v>
          </cell>
        </row>
        <row r="2767">
          <cell r="A2767" t="str">
            <v>CIVLA</v>
          </cell>
          <cell r="B2767" t="str">
            <v>530-26033-004-0001</v>
          </cell>
          <cell r="J2767">
            <v>4101.8599999999997</v>
          </cell>
        </row>
        <row r="2768">
          <cell r="A2768" t="str">
            <v>CIVLA</v>
          </cell>
          <cell r="B2768" t="str">
            <v>530-26033-004-0002</v>
          </cell>
          <cell r="J2768">
            <v>107651.71</v>
          </cell>
        </row>
        <row r="2769">
          <cell r="A2769" t="str">
            <v>CIVLA</v>
          </cell>
          <cell r="B2769" t="str">
            <v>530-26033-004-0003</v>
          </cell>
          <cell r="J2769">
            <v>28820.18</v>
          </cell>
        </row>
        <row r="2770">
          <cell r="A2770" t="str">
            <v>CIVLA</v>
          </cell>
          <cell r="B2770" t="str">
            <v>530-26033-004-0004</v>
          </cell>
          <cell r="J2770">
            <v>143.1</v>
          </cell>
        </row>
        <row r="2771">
          <cell r="A2771" t="str">
            <v>CIVLA</v>
          </cell>
          <cell r="B2771" t="str">
            <v>530-26033-004-0005</v>
          </cell>
          <cell r="J2771">
            <v>18028.59</v>
          </cell>
        </row>
        <row r="2772">
          <cell r="A2772" t="str">
            <v>CIVLA</v>
          </cell>
          <cell r="B2772" t="str">
            <v>530-26033-004-0009</v>
          </cell>
          <cell r="J2772">
            <v>240.53</v>
          </cell>
        </row>
        <row r="2773">
          <cell r="A2773" t="str">
            <v>CIVLA</v>
          </cell>
          <cell r="B2773" t="str">
            <v>530-26033-004-0011</v>
          </cell>
          <cell r="J2773">
            <v>3988.02</v>
          </cell>
        </row>
        <row r="2774">
          <cell r="A2774" t="str">
            <v>CIVLA</v>
          </cell>
          <cell r="B2774" t="str">
            <v>530-26033-004-0013</v>
          </cell>
          <cell r="J2774">
            <v>427.78</v>
          </cell>
        </row>
        <row r="2775">
          <cell r="A2775" t="str">
            <v>CIVLA</v>
          </cell>
          <cell r="B2775" t="str">
            <v>530-26033-004-0014</v>
          </cell>
          <cell r="J2775">
            <v>1806.83</v>
          </cell>
        </row>
        <row r="2776">
          <cell r="A2776" t="str">
            <v>CIVLA</v>
          </cell>
          <cell r="B2776" t="str">
            <v>530-26034-000-0000</v>
          </cell>
          <cell r="J2776">
            <v>150108.51999999999</v>
          </cell>
        </row>
        <row r="2777">
          <cell r="A2777" t="str">
            <v>CIVLA</v>
          </cell>
          <cell r="B2777" t="str">
            <v>530-26034-004-0000</v>
          </cell>
          <cell r="J2777">
            <v>5108.5200000000004</v>
          </cell>
        </row>
        <row r="2778">
          <cell r="A2778" t="str">
            <v>CIVLA</v>
          </cell>
          <cell r="B2778" t="str">
            <v>530-26034-004-0001</v>
          </cell>
          <cell r="J2778">
            <v>129.63</v>
          </cell>
        </row>
        <row r="2779">
          <cell r="A2779" t="str">
            <v>CIVLA</v>
          </cell>
          <cell r="B2779" t="str">
            <v>530-26034-004-0002</v>
          </cell>
          <cell r="J2779">
            <v>1679.3</v>
          </cell>
        </row>
        <row r="2780">
          <cell r="A2780" t="str">
            <v>CIVLA</v>
          </cell>
          <cell r="B2780" t="str">
            <v>530-26034-004-0005</v>
          </cell>
          <cell r="J2780">
            <v>850.52</v>
          </cell>
        </row>
        <row r="2781">
          <cell r="A2781" t="str">
            <v>CIVLA</v>
          </cell>
          <cell r="B2781" t="str">
            <v>530-26034-004-0013</v>
          </cell>
          <cell r="J2781">
            <v>2347.2199999999998</v>
          </cell>
        </row>
        <row r="2782">
          <cell r="A2782" t="str">
            <v>CIVLA</v>
          </cell>
          <cell r="B2782" t="str">
            <v>530-26034-004-0014</v>
          </cell>
          <cell r="J2782">
            <v>101.85</v>
          </cell>
        </row>
        <row r="2783">
          <cell r="A2783" t="str">
            <v>CIVLA</v>
          </cell>
          <cell r="B2783" t="str">
            <v>530-26034-009-0000</v>
          </cell>
          <cell r="J2783">
            <v>145000</v>
          </cell>
        </row>
        <row r="2784">
          <cell r="A2784" t="str">
            <v>CIVLA</v>
          </cell>
          <cell r="B2784" t="str">
            <v>530-26035-000-0000</v>
          </cell>
          <cell r="J2784">
            <v>294797.24</v>
          </cell>
        </row>
        <row r="2785">
          <cell r="A2785" t="str">
            <v>CIVLA</v>
          </cell>
          <cell r="B2785" t="str">
            <v>530-26035-004-0000</v>
          </cell>
          <cell r="J2785">
            <v>36797.24</v>
          </cell>
        </row>
        <row r="2786">
          <cell r="A2786" t="str">
            <v>CIVLA</v>
          </cell>
          <cell r="B2786" t="str">
            <v>530-26035-004-0001</v>
          </cell>
          <cell r="J2786">
            <v>1037.04</v>
          </cell>
        </row>
        <row r="2787">
          <cell r="A2787" t="str">
            <v>CIVLA</v>
          </cell>
          <cell r="B2787" t="str">
            <v>530-26035-004-0002</v>
          </cell>
          <cell r="J2787">
            <v>10394.69</v>
          </cell>
        </row>
        <row r="2788">
          <cell r="A2788" t="str">
            <v>CIVLA</v>
          </cell>
          <cell r="B2788" t="str">
            <v>530-26035-004-0003</v>
          </cell>
          <cell r="J2788">
            <v>12124.76</v>
          </cell>
        </row>
        <row r="2789">
          <cell r="A2789" t="str">
            <v>CIVLA</v>
          </cell>
          <cell r="B2789" t="str">
            <v>530-26035-004-0004</v>
          </cell>
          <cell r="J2789">
            <v>2296.9</v>
          </cell>
        </row>
        <row r="2790">
          <cell r="A2790" t="str">
            <v>CIVLA</v>
          </cell>
          <cell r="B2790" t="str">
            <v>530-26035-004-0005</v>
          </cell>
          <cell r="J2790">
            <v>6161.4</v>
          </cell>
        </row>
        <row r="2791">
          <cell r="A2791" t="str">
            <v>CIVLA</v>
          </cell>
          <cell r="B2791" t="str">
            <v>530-26035-004-0006</v>
          </cell>
          <cell r="J2791">
            <v>75</v>
          </cell>
        </row>
        <row r="2792">
          <cell r="A2792" t="str">
            <v>CIVLA</v>
          </cell>
          <cell r="B2792" t="str">
            <v>530-26035-004-0009</v>
          </cell>
          <cell r="J2792">
            <v>977.16</v>
          </cell>
        </row>
        <row r="2793">
          <cell r="A2793" t="str">
            <v>CIVLA</v>
          </cell>
          <cell r="B2793" t="str">
            <v>530-26035-004-0011</v>
          </cell>
          <cell r="J2793">
            <v>158.62</v>
          </cell>
        </row>
        <row r="2794">
          <cell r="A2794" t="str">
            <v>CIVLA</v>
          </cell>
          <cell r="B2794" t="str">
            <v>530-26035-004-0013</v>
          </cell>
          <cell r="J2794">
            <v>3571.67</v>
          </cell>
        </row>
        <row r="2795">
          <cell r="A2795" t="str">
            <v>CIVLA</v>
          </cell>
          <cell r="B2795" t="str">
            <v>530-26035-009-0000</v>
          </cell>
          <cell r="J2795">
            <v>258000</v>
          </cell>
        </row>
        <row r="2796">
          <cell r="A2796" t="str">
            <v>CIVLA</v>
          </cell>
          <cell r="B2796" t="str">
            <v>530-26036-000-0000</v>
          </cell>
          <cell r="J2796">
            <v>2580.71</v>
          </cell>
        </row>
        <row r="2797">
          <cell r="A2797" t="str">
            <v>CIVLA</v>
          </cell>
          <cell r="B2797" t="str">
            <v>530-26036-004-0000</v>
          </cell>
          <cell r="J2797">
            <v>2580.71</v>
          </cell>
        </row>
        <row r="2798">
          <cell r="A2798" t="str">
            <v>CIVLA</v>
          </cell>
          <cell r="B2798" t="str">
            <v>530-26036-004-0001</v>
          </cell>
          <cell r="J2798">
            <v>55.56</v>
          </cell>
        </row>
        <row r="2799">
          <cell r="A2799" t="str">
            <v>CIVLA</v>
          </cell>
          <cell r="B2799" t="str">
            <v>530-26036-004-0002</v>
          </cell>
          <cell r="J2799">
            <v>788.79</v>
          </cell>
        </row>
        <row r="2800">
          <cell r="A2800" t="str">
            <v>CIVLA</v>
          </cell>
          <cell r="B2800" t="str">
            <v>530-26036-004-0005</v>
          </cell>
          <cell r="J2800">
            <v>1671.55</v>
          </cell>
        </row>
        <row r="2801">
          <cell r="A2801" t="str">
            <v>CIVLA</v>
          </cell>
          <cell r="B2801" t="str">
            <v>530-26036-004-0013</v>
          </cell>
          <cell r="J2801">
            <v>64.81</v>
          </cell>
        </row>
        <row r="2802">
          <cell r="A2802" t="str">
            <v>CIVLA</v>
          </cell>
          <cell r="B2802" t="str">
            <v>530-26301-000-0000</v>
          </cell>
          <cell r="J2802">
            <v>17755.54</v>
          </cell>
        </row>
        <row r="2803">
          <cell r="A2803" t="str">
            <v>CIVLA</v>
          </cell>
          <cell r="B2803" t="str">
            <v>530-26301-004-0000</v>
          </cell>
          <cell r="J2803">
            <v>17755.54</v>
          </cell>
        </row>
        <row r="2804">
          <cell r="A2804" t="str">
            <v>CIVLA</v>
          </cell>
          <cell r="B2804" t="str">
            <v>530-26301-004-0001</v>
          </cell>
          <cell r="J2804">
            <v>2315.04</v>
          </cell>
        </row>
        <row r="2805">
          <cell r="A2805" t="str">
            <v>CIVLA</v>
          </cell>
          <cell r="B2805" t="str">
            <v>530-26301-004-0002</v>
          </cell>
          <cell r="J2805">
            <v>3266.99</v>
          </cell>
        </row>
        <row r="2806">
          <cell r="A2806" t="str">
            <v>CIVLA</v>
          </cell>
          <cell r="B2806" t="str">
            <v>530-26301-004-0003</v>
          </cell>
          <cell r="J2806">
            <v>7046.31</v>
          </cell>
        </row>
        <row r="2807">
          <cell r="A2807" t="str">
            <v>CIVLA</v>
          </cell>
          <cell r="B2807" t="str">
            <v>530-26301-004-0005</v>
          </cell>
          <cell r="J2807">
            <v>2357.58</v>
          </cell>
        </row>
        <row r="2808">
          <cell r="A2808" t="str">
            <v>CIVLA</v>
          </cell>
          <cell r="B2808" t="str">
            <v>530-26301-004-0013</v>
          </cell>
          <cell r="J2808">
            <v>2769.62</v>
          </cell>
        </row>
        <row r="2809">
          <cell r="A2809" t="str">
            <v>CIVLA</v>
          </cell>
          <cell r="B2809" t="str">
            <v>530-26361-000-0000</v>
          </cell>
          <cell r="J2809">
            <v>7963.8</v>
          </cell>
        </row>
        <row r="2810">
          <cell r="A2810" t="str">
            <v>CIVLA</v>
          </cell>
          <cell r="B2810" t="str">
            <v>530-26361-001-0000</v>
          </cell>
          <cell r="J2810">
            <v>891.53</v>
          </cell>
        </row>
        <row r="2811">
          <cell r="A2811" t="str">
            <v>CIVLA</v>
          </cell>
          <cell r="B2811" t="str">
            <v>530-26361-001-0001</v>
          </cell>
          <cell r="J2811">
            <v>488.15</v>
          </cell>
        </row>
        <row r="2812">
          <cell r="A2812" t="str">
            <v>CIVLA</v>
          </cell>
          <cell r="B2812" t="str">
            <v>530-26361-001-0002</v>
          </cell>
          <cell r="J2812">
            <v>90</v>
          </cell>
        </row>
        <row r="2813">
          <cell r="A2813" t="str">
            <v>CIVLA</v>
          </cell>
          <cell r="B2813" t="str">
            <v>530-26361-001-0005</v>
          </cell>
          <cell r="J2813">
            <v>69.52</v>
          </cell>
        </row>
        <row r="2814">
          <cell r="A2814" t="str">
            <v>CIVLA</v>
          </cell>
          <cell r="B2814" t="str">
            <v>530-26361-001-0006</v>
          </cell>
          <cell r="J2814">
            <v>69.52</v>
          </cell>
        </row>
        <row r="2815">
          <cell r="A2815" t="str">
            <v>CIVLA</v>
          </cell>
          <cell r="B2815" t="str">
            <v>530-26361-001-0009</v>
          </cell>
          <cell r="J2815">
            <v>174.34</v>
          </cell>
        </row>
        <row r="2816">
          <cell r="A2816" t="str">
            <v>CIVLA</v>
          </cell>
          <cell r="B2816" t="str">
            <v>530-26361-002-0000</v>
          </cell>
          <cell r="J2816">
            <v>127.83</v>
          </cell>
        </row>
        <row r="2817">
          <cell r="A2817" t="str">
            <v>CIVLA</v>
          </cell>
          <cell r="B2817" t="str">
            <v>530-26361-002-0001</v>
          </cell>
          <cell r="J2817">
            <v>101.08</v>
          </cell>
        </row>
        <row r="2818">
          <cell r="A2818" t="str">
            <v>CIVLA</v>
          </cell>
          <cell r="B2818" t="str">
            <v>530-26361-002-0004</v>
          </cell>
          <cell r="J2818">
            <v>26.75</v>
          </cell>
        </row>
        <row r="2819">
          <cell r="A2819" t="str">
            <v>CIVLA</v>
          </cell>
          <cell r="B2819" t="str">
            <v>530-26361-004-0000</v>
          </cell>
          <cell r="J2819">
            <v>6944.44</v>
          </cell>
        </row>
        <row r="2820">
          <cell r="A2820" t="str">
            <v>CIVLA</v>
          </cell>
          <cell r="B2820" t="str">
            <v>530-26361-004-0013</v>
          </cell>
          <cell r="J2820">
            <v>6944.44</v>
          </cell>
        </row>
        <row r="2821">
          <cell r="A2821" t="str">
            <v>CIVLA</v>
          </cell>
          <cell r="B2821" t="str">
            <v>530-26362-000-0000</v>
          </cell>
          <cell r="J2821">
            <v>699.14</v>
          </cell>
        </row>
        <row r="2822">
          <cell r="A2822" t="str">
            <v>CIVLA</v>
          </cell>
          <cell r="B2822" t="str">
            <v>530-26362-004-0000</v>
          </cell>
          <cell r="J2822">
            <v>699.14</v>
          </cell>
        </row>
        <row r="2823">
          <cell r="A2823" t="str">
            <v>CIVLA</v>
          </cell>
          <cell r="B2823" t="str">
            <v>530-26362-004-0002</v>
          </cell>
          <cell r="J2823">
            <v>699.14</v>
          </cell>
        </row>
        <row r="2824">
          <cell r="A2824" t="str">
            <v>CIVLA</v>
          </cell>
          <cell r="B2824" t="str">
            <v>530-26403-000-0000</v>
          </cell>
          <cell r="J2824">
            <v>18.52</v>
          </cell>
        </row>
        <row r="2825">
          <cell r="A2825" t="str">
            <v>CIVLA</v>
          </cell>
          <cell r="B2825" t="str">
            <v>530-26403-004-0000</v>
          </cell>
          <cell r="J2825">
            <v>18.52</v>
          </cell>
        </row>
        <row r="2826">
          <cell r="A2826" t="str">
            <v>CIVLA</v>
          </cell>
          <cell r="B2826" t="str">
            <v>530-26403-004-0001</v>
          </cell>
          <cell r="J2826">
            <v>18.52</v>
          </cell>
        </row>
        <row r="2827">
          <cell r="A2827" t="str">
            <v>CIVLA</v>
          </cell>
          <cell r="B2827" t="str">
            <v>530-26414-000-0000</v>
          </cell>
          <cell r="J2827">
            <v>18.52</v>
          </cell>
        </row>
        <row r="2828">
          <cell r="A2828" t="str">
            <v>CIVLA</v>
          </cell>
          <cell r="B2828" t="str">
            <v>530-26414-004-0000</v>
          </cell>
          <cell r="J2828">
            <v>18.52</v>
          </cell>
        </row>
        <row r="2829">
          <cell r="A2829" t="str">
            <v>CIVLA</v>
          </cell>
          <cell r="B2829" t="str">
            <v>530-26414-004-0001</v>
          </cell>
          <cell r="J2829">
            <v>18.52</v>
          </cell>
        </row>
        <row r="2830">
          <cell r="A2830" t="str">
            <v>CIVLA</v>
          </cell>
          <cell r="B2830" t="str">
            <v>530-26418-000-0000</v>
          </cell>
          <cell r="J2830">
            <v>285603.45</v>
          </cell>
        </row>
        <row r="2831">
          <cell r="A2831" t="str">
            <v>CIVLA</v>
          </cell>
          <cell r="B2831" t="str">
            <v>530-26418-004-0000</v>
          </cell>
          <cell r="J2831">
            <v>603.45000000000005</v>
          </cell>
        </row>
        <row r="2832">
          <cell r="A2832" t="str">
            <v>CIVLA</v>
          </cell>
          <cell r="B2832" t="str">
            <v>530-26418-004-0002</v>
          </cell>
          <cell r="J2832">
            <v>603.45000000000005</v>
          </cell>
        </row>
        <row r="2833">
          <cell r="A2833" t="str">
            <v>CIVLA</v>
          </cell>
          <cell r="B2833" t="str">
            <v>530-26418-009-0000</v>
          </cell>
          <cell r="J2833">
            <v>285000</v>
          </cell>
        </row>
        <row r="2834">
          <cell r="A2834" t="str">
            <v>CIVLA</v>
          </cell>
          <cell r="B2834" t="str">
            <v>530-26422-000-0000</v>
          </cell>
          <cell r="J2834">
            <v>480.97</v>
          </cell>
        </row>
        <row r="2835">
          <cell r="A2835" t="str">
            <v>CIVLA</v>
          </cell>
          <cell r="B2835" t="str">
            <v>530-26422-004-0000</v>
          </cell>
          <cell r="J2835">
            <v>480.97</v>
          </cell>
        </row>
        <row r="2836">
          <cell r="A2836" t="str">
            <v>CIVLA</v>
          </cell>
          <cell r="B2836" t="str">
            <v>530-26422-004-0013</v>
          </cell>
          <cell r="J2836">
            <v>480.97</v>
          </cell>
        </row>
        <row r="2837">
          <cell r="A2837" t="str">
            <v>CIVLA</v>
          </cell>
          <cell r="B2837" t="str">
            <v>530-26435-000-0000</v>
          </cell>
          <cell r="J2837">
            <v>852.14</v>
          </cell>
        </row>
        <row r="2838">
          <cell r="A2838" t="str">
            <v>CIVLA</v>
          </cell>
          <cell r="B2838" t="str">
            <v>530-26435-004-0000</v>
          </cell>
          <cell r="J2838">
            <v>852.14</v>
          </cell>
        </row>
        <row r="2839">
          <cell r="A2839" t="str">
            <v>CIVLA</v>
          </cell>
          <cell r="B2839" t="str">
            <v>530-26435-004-0001</v>
          </cell>
          <cell r="J2839">
            <v>18.52</v>
          </cell>
        </row>
        <row r="2840">
          <cell r="A2840" t="str">
            <v>CIVLA</v>
          </cell>
          <cell r="B2840" t="str">
            <v>530-26435-004-0005</v>
          </cell>
          <cell r="J2840">
            <v>833.62</v>
          </cell>
        </row>
        <row r="2841">
          <cell r="A2841" t="str">
            <v>CIVLA</v>
          </cell>
          <cell r="B2841" t="str">
            <v>530-26440-000-0000</v>
          </cell>
          <cell r="J2841">
            <v>462.38</v>
          </cell>
        </row>
        <row r="2842">
          <cell r="A2842" t="str">
            <v>CIVLA</v>
          </cell>
          <cell r="B2842" t="str">
            <v>530-26440-004-0000</v>
          </cell>
          <cell r="J2842">
            <v>462.38</v>
          </cell>
        </row>
        <row r="2843">
          <cell r="A2843" t="str">
            <v>CIVLA</v>
          </cell>
          <cell r="B2843" t="str">
            <v>530-26440-004-0013</v>
          </cell>
          <cell r="J2843">
            <v>462.38</v>
          </cell>
        </row>
        <row r="2844">
          <cell r="A2844" t="str">
            <v>CIVLA</v>
          </cell>
          <cell r="B2844" t="str">
            <v>530-26455-000-0000</v>
          </cell>
          <cell r="J2844">
            <v>1281.01</v>
          </cell>
        </row>
        <row r="2845">
          <cell r="A2845" t="str">
            <v>CIVLA</v>
          </cell>
          <cell r="B2845" t="str">
            <v>530-26455-004-0000</v>
          </cell>
          <cell r="J2845">
            <v>1281.01</v>
          </cell>
        </row>
        <row r="2846">
          <cell r="A2846" t="str">
            <v>CIVLA</v>
          </cell>
          <cell r="B2846" t="str">
            <v>530-26455-004-0001</v>
          </cell>
          <cell r="J2846">
            <v>37.04</v>
          </cell>
        </row>
        <row r="2847">
          <cell r="A2847" t="str">
            <v>CIVLA</v>
          </cell>
          <cell r="B2847" t="str">
            <v>530-26455-004-0002</v>
          </cell>
          <cell r="J2847">
            <v>862.07</v>
          </cell>
        </row>
        <row r="2848">
          <cell r="A2848" t="str">
            <v>CIVLA</v>
          </cell>
          <cell r="B2848" t="str">
            <v>530-26455-004-0005</v>
          </cell>
          <cell r="J2848">
            <v>381.9</v>
          </cell>
        </row>
        <row r="2849">
          <cell r="A2849" t="str">
            <v>CIVLA</v>
          </cell>
          <cell r="B2849" t="str">
            <v>530-26701-000-0000</v>
          </cell>
          <cell r="J2849">
            <v>8181.85</v>
          </cell>
        </row>
        <row r="2850">
          <cell r="A2850" t="str">
            <v>CIVLA</v>
          </cell>
          <cell r="B2850" t="str">
            <v>530-26701-004-0000</v>
          </cell>
          <cell r="J2850">
            <v>8181.85</v>
          </cell>
        </row>
        <row r="2851">
          <cell r="A2851" t="str">
            <v>CIVLA</v>
          </cell>
          <cell r="B2851" t="str">
            <v>530-26701-004-0001</v>
          </cell>
          <cell r="J2851">
            <v>55.56</v>
          </cell>
        </row>
        <row r="2852">
          <cell r="A2852" t="str">
            <v>CIVLA</v>
          </cell>
          <cell r="B2852" t="str">
            <v>530-26701-004-0002</v>
          </cell>
          <cell r="J2852">
            <v>1250.0999999999999</v>
          </cell>
        </row>
        <row r="2853">
          <cell r="A2853" t="str">
            <v>CIVLA</v>
          </cell>
          <cell r="B2853" t="str">
            <v>530-26701-004-0003</v>
          </cell>
          <cell r="J2853">
            <v>1333.48</v>
          </cell>
        </row>
        <row r="2854">
          <cell r="A2854" t="str">
            <v>CIVLA</v>
          </cell>
          <cell r="B2854" t="str">
            <v>530-26701-004-0004</v>
          </cell>
          <cell r="J2854">
            <v>190.52</v>
          </cell>
        </row>
        <row r="2855">
          <cell r="A2855" t="str">
            <v>CIVLA</v>
          </cell>
          <cell r="B2855" t="str">
            <v>530-26701-004-0005</v>
          </cell>
          <cell r="J2855">
            <v>1907.75</v>
          </cell>
        </row>
        <row r="2856">
          <cell r="A2856" t="str">
            <v>CIVLA</v>
          </cell>
          <cell r="B2856" t="str">
            <v>530-26701-004-0009</v>
          </cell>
          <cell r="J2856">
            <v>1500</v>
          </cell>
        </row>
        <row r="2857">
          <cell r="A2857" t="str">
            <v>CIVLA</v>
          </cell>
          <cell r="B2857" t="str">
            <v>530-26701-004-0013</v>
          </cell>
          <cell r="J2857">
            <v>1944.44</v>
          </cell>
        </row>
        <row r="2858">
          <cell r="A2858" t="str">
            <v>CIVLA</v>
          </cell>
          <cell r="B2858" t="str">
            <v>530-26702-000-0000</v>
          </cell>
          <cell r="J2858">
            <v>8580.92</v>
          </cell>
        </row>
        <row r="2859">
          <cell r="A2859" t="str">
            <v>CIVLA</v>
          </cell>
          <cell r="B2859" t="str">
            <v>530-26702-004-0000</v>
          </cell>
          <cell r="J2859">
            <v>8580.92</v>
          </cell>
        </row>
        <row r="2860">
          <cell r="A2860" t="str">
            <v>CIVLA</v>
          </cell>
          <cell r="B2860" t="str">
            <v>530-26702-004-0001</v>
          </cell>
          <cell r="J2860">
            <v>18.52</v>
          </cell>
        </row>
        <row r="2861">
          <cell r="A2861" t="str">
            <v>CIVLA</v>
          </cell>
          <cell r="B2861" t="str">
            <v>530-26702-004-0002</v>
          </cell>
          <cell r="J2861">
            <v>1852.21</v>
          </cell>
        </row>
        <row r="2862">
          <cell r="A2862" t="str">
            <v>CIVLA</v>
          </cell>
          <cell r="B2862" t="str">
            <v>530-26702-004-0003</v>
          </cell>
          <cell r="J2862">
            <v>955.9</v>
          </cell>
        </row>
        <row r="2863">
          <cell r="A2863" t="str">
            <v>CIVLA</v>
          </cell>
          <cell r="B2863" t="str">
            <v>530-26702-004-0005</v>
          </cell>
          <cell r="J2863">
            <v>4345.96</v>
          </cell>
        </row>
        <row r="2864">
          <cell r="A2864" t="str">
            <v>CIVLA</v>
          </cell>
          <cell r="B2864" t="str">
            <v>530-26702-004-0009</v>
          </cell>
          <cell r="J2864">
            <v>1350</v>
          </cell>
        </row>
        <row r="2865">
          <cell r="A2865" t="str">
            <v>CIVLA</v>
          </cell>
          <cell r="B2865" t="str">
            <v>530-26702-004-0013</v>
          </cell>
          <cell r="J2865">
            <v>58.33</v>
          </cell>
        </row>
        <row r="2866">
          <cell r="A2866" t="str">
            <v>CIVLA</v>
          </cell>
          <cell r="B2866" t="str">
            <v>530-99999-000-0000</v>
          </cell>
          <cell r="J2866">
            <v>7956.58</v>
          </cell>
        </row>
        <row r="2867">
          <cell r="A2867" t="str">
            <v>CIVLA</v>
          </cell>
          <cell r="B2867" t="str">
            <v>530-99999-004-0000</v>
          </cell>
          <cell r="J2867">
            <v>7956.58</v>
          </cell>
        </row>
        <row r="2868">
          <cell r="A2868" t="str">
            <v>CIVLA</v>
          </cell>
          <cell r="B2868" t="str">
            <v>530-99999-004-0001</v>
          </cell>
          <cell r="J2868">
            <v>6359</v>
          </cell>
        </row>
        <row r="2869">
          <cell r="A2869" t="str">
            <v>CIVLA</v>
          </cell>
          <cell r="B2869" t="str">
            <v>530-99999-004-0005</v>
          </cell>
          <cell r="J2869">
            <v>-469.32</v>
          </cell>
        </row>
        <row r="2870">
          <cell r="A2870" t="str">
            <v>CIVLA</v>
          </cell>
          <cell r="B2870" t="str">
            <v>530-99999-004-0009</v>
          </cell>
          <cell r="J2870">
            <v>2066.9</v>
          </cell>
        </row>
        <row r="2871">
          <cell r="A2871" t="str">
            <v>CIVLA</v>
          </cell>
          <cell r="B2871" t="str">
            <v>550-00000-000-0000</v>
          </cell>
          <cell r="J2871">
            <v>11304601.82</v>
          </cell>
        </row>
        <row r="2872">
          <cell r="A2872" t="str">
            <v>CIVLA</v>
          </cell>
          <cell r="B2872" t="str">
            <v>550-99999-000-0000</v>
          </cell>
          <cell r="J2872">
            <v>11304601.82</v>
          </cell>
        </row>
        <row r="2873">
          <cell r="A2873" t="str">
            <v>CIVLA</v>
          </cell>
          <cell r="B2873" t="str">
            <v>550-99999-001-0000</v>
          </cell>
          <cell r="J2873">
            <v>2711060.2</v>
          </cell>
        </row>
        <row r="2874">
          <cell r="A2874" t="str">
            <v>CIVLA</v>
          </cell>
          <cell r="B2874" t="str">
            <v>550-99999-001-0001</v>
          </cell>
          <cell r="J2874">
            <v>1907333.85</v>
          </cell>
        </row>
        <row r="2875">
          <cell r="A2875" t="str">
            <v>CIVLA</v>
          </cell>
          <cell r="B2875" t="str">
            <v>550-99999-001-0002</v>
          </cell>
          <cell r="J2875">
            <v>197426.79</v>
          </cell>
        </row>
        <row r="2876">
          <cell r="A2876" t="str">
            <v>CIVLA</v>
          </cell>
          <cell r="B2876" t="str">
            <v>550-99999-001-0004</v>
          </cell>
          <cell r="J2876">
            <v>3305.25</v>
          </cell>
        </row>
        <row r="2877">
          <cell r="A2877" t="str">
            <v>CIVLA</v>
          </cell>
          <cell r="B2877" t="str">
            <v>550-99999-001-0005</v>
          </cell>
          <cell r="J2877">
            <v>111755.33</v>
          </cell>
        </row>
        <row r="2878">
          <cell r="A2878" t="str">
            <v>CIVLA</v>
          </cell>
          <cell r="B2878" t="str">
            <v>550-99999-001-0006</v>
          </cell>
          <cell r="J2878">
            <v>111755.33</v>
          </cell>
        </row>
        <row r="2879">
          <cell r="A2879" t="str">
            <v>CIVLA</v>
          </cell>
          <cell r="B2879" t="str">
            <v>550-99999-001-0009</v>
          </cell>
          <cell r="J2879">
            <v>125923.48</v>
          </cell>
        </row>
        <row r="2880">
          <cell r="A2880" t="str">
            <v>CIVLA</v>
          </cell>
          <cell r="B2880" t="str">
            <v>550-99999-001-0010</v>
          </cell>
          <cell r="J2880">
            <v>76106.63</v>
          </cell>
        </row>
        <row r="2881">
          <cell r="A2881" t="str">
            <v>CIVLA</v>
          </cell>
          <cell r="B2881" t="str">
            <v>550-99999-001-0011</v>
          </cell>
          <cell r="J2881">
            <v>177453.54</v>
          </cell>
        </row>
        <row r="2882">
          <cell r="A2882" t="str">
            <v>CIVLA</v>
          </cell>
          <cell r="B2882" t="str">
            <v>550-99999-002-0000</v>
          </cell>
          <cell r="J2882">
            <v>909370.08</v>
          </cell>
        </row>
        <row r="2883">
          <cell r="A2883" t="str">
            <v>CIVLA</v>
          </cell>
          <cell r="B2883" t="str">
            <v>550-99999-002-0001</v>
          </cell>
          <cell r="J2883">
            <v>232324.96</v>
          </cell>
        </row>
        <row r="2884">
          <cell r="A2884" t="str">
            <v>CIVLA</v>
          </cell>
          <cell r="B2884" t="str">
            <v>550-99999-002-0002</v>
          </cell>
          <cell r="J2884">
            <v>288928.65999999997</v>
          </cell>
        </row>
        <row r="2885">
          <cell r="A2885" t="str">
            <v>CIVLA</v>
          </cell>
          <cell r="B2885" t="str">
            <v>550-99999-002-0003</v>
          </cell>
          <cell r="J2885">
            <v>169918.05</v>
          </cell>
        </row>
        <row r="2886">
          <cell r="A2886" t="str">
            <v>CIVLA</v>
          </cell>
          <cell r="B2886" t="str">
            <v>550-99999-002-0004</v>
          </cell>
          <cell r="J2886">
            <v>218198.41</v>
          </cell>
        </row>
        <row r="2887">
          <cell r="A2887" t="str">
            <v>CIVLA</v>
          </cell>
          <cell r="B2887" t="str">
            <v>550-99999-003-0000</v>
          </cell>
          <cell r="J2887">
            <v>51350.99</v>
          </cell>
        </row>
        <row r="2888">
          <cell r="A2888" t="str">
            <v>CIVLA</v>
          </cell>
          <cell r="B2888" t="str">
            <v>550-99999-004-0000</v>
          </cell>
          <cell r="J2888">
            <v>1763069.1</v>
          </cell>
        </row>
        <row r="2889">
          <cell r="A2889" t="str">
            <v>CIVLA</v>
          </cell>
          <cell r="B2889" t="str">
            <v>550-99999-004-0001</v>
          </cell>
          <cell r="J2889">
            <v>963839.31</v>
          </cell>
        </row>
        <row r="2890">
          <cell r="A2890" t="str">
            <v>CIVLA</v>
          </cell>
          <cell r="B2890" t="str">
            <v>550-99999-004-0002</v>
          </cell>
          <cell r="J2890">
            <v>575901.46</v>
          </cell>
        </row>
        <row r="2891">
          <cell r="A2891" t="str">
            <v>CIVLA</v>
          </cell>
          <cell r="B2891" t="str">
            <v>550-99999-004-0003</v>
          </cell>
          <cell r="J2891">
            <v>27520.6</v>
          </cell>
        </row>
        <row r="2892">
          <cell r="A2892" t="str">
            <v>CIVLA</v>
          </cell>
          <cell r="B2892" t="str">
            <v>550-99999-004-0004</v>
          </cell>
          <cell r="J2892">
            <v>3115.58</v>
          </cell>
        </row>
        <row r="2893">
          <cell r="A2893" t="str">
            <v>CIVLA</v>
          </cell>
          <cell r="B2893" t="str">
            <v>550-99999-004-0005</v>
          </cell>
          <cell r="J2893">
            <v>148142.54999999999</v>
          </cell>
        </row>
        <row r="2894">
          <cell r="A2894" t="str">
            <v>CIVLA</v>
          </cell>
          <cell r="B2894" t="str">
            <v>550-99999-004-0006</v>
          </cell>
          <cell r="J2894">
            <v>1786.28</v>
          </cell>
        </row>
        <row r="2895">
          <cell r="A2895" t="str">
            <v>CIVLA</v>
          </cell>
          <cell r="B2895" t="str">
            <v>550-99999-004-0009</v>
          </cell>
          <cell r="J2895">
            <v>17262.87</v>
          </cell>
        </row>
        <row r="2896">
          <cell r="A2896" t="str">
            <v>CIVLA</v>
          </cell>
          <cell r="B2896" t="str">
            <v>550-99999-004-0011</v>
          </cell>
          <cell r="J2896">
            <v>6233.71</v>
          </cell>
        </row>
        <row r="2897">
          <cell r="A2897" t="str">
            <v>CIVLA</v>
          </cell>
          <cell r="B2897" t="str">
            <v>550-99999-004-0013</v>
          </cell>
          <cell r="J2897">
            <v>19020.78</v>
          </cell>
        </row>
        <row r="2898">
          <cell r="A2898" t="str">
            <v>CIVLA</v>
          </cell>
          <cell r="B2898" t="str">
            <v>550-99999-004-0014</v>
          </cell>
          <cell r="J2898">
            <v>245.96</v>
          </cell>
        </row>
        <row r="2899">
          <cell r="A2899" t="str">
            <v>CIVLA</v>
          </cell>
          <cell r="B2899" t="str">
            <v>550-99999-006-0000</v>
          </cell>
          <cell r="J2899">
            <v>559917.29</v>
          </cell>
        </row>
        <row r="2900">
          <cell r="A2900" t="str">
            <v>CIVLA</v>
          </cell>
          <cell r="B2900" t="str">
            <v>550-99999-007-0000</v>
          </cell>
          <cell r="J2900">
            <v>21173</v>
          </cell>
        </row>
        <row r="2901">
          <cell r="A2901" t="str">
            <v>CIVLA</v>
          </cell>
          <cell r="B2901" t="str">
            <v>550-99999-007-0010</v>
          </cell>
          <cell r="J2901">
            <v>-58892.24</v>
          </cell>
        </row>
        <row r="2902">
          <cell r="A2902" t="str">
            <v>CIVLA</v>
          </cell>
          <cell r="B2902" t="str">
            <v>550-99999-007-0020</v>
          </cell>
          <cell r="J2902">
            <v>62602.5</v>
          </cell>
        </row>
        <row r="2903">
          <cell r="A2903" t="str">
            <v>CIVLA</v>
          </cell>
          <cell r="B2903" t="str">
            <v>550-99999-007-0050</v>
          </cell>
          <cell r="J2903">
            <v>-270.02999999999997</v>
          </cell>
        </row>
        <row r="2904">
          <cell r="A2904" t="str">
            <v>CIVLA</v>
          </cell>
          <cell r="B2904" t="str">
            <v>550-99999-007-0060</v>
          </cell>
          <cell r="J2904">
            <v>24427.46</v>
          </cell>
        </row>
        <row r="2905">
          <cell r="A2905" t="str">
            <v>CIVLA</v>
          </cell>
          <cell r="B2905" t="str">
            <v>550-99999-007-0070</v>
          </cell>
          <cell r="J2905">
            <v>-6694.69</v>
          </cell>
        </row>
        <row r="2906">
          <cell r="A2906" t="str">
            <v>CIVLA</v>
          </cell>
          <cell r="B2906" t="str">
            <v>550-99999-008-0000</v>
          </cell>
          <cell r="J2906">
            <v>578154.84</v>
          </cell>
        </row>
        <row r="2907">
          <cell r="A2907" t="str">
            <v>CIVLA</v>
          </cell>
          <cell r="B2907" t="str">
            <v>550-99999-008-0003</v>
          </cell>
          <cell r="J2907">
            <v>305821.56</v>
          </cell>
        </row>
        <row r="2908">
          <cell r="A2908" t="str">
            <v>CIVLA</v>
          </cell>
          <cell r="B2908" t="str">
            <v>550-99999-008-0004</v>
          </cell>
          <cell r="J2908">
            <v>271014.28000000003</v>
          </cell>
        </row>
        <row r="2909">
          <cell r="A2909" t="str">
            <v>CIVLA</v>
          </cell>
          <cell r="B2909" t="str">
            <v>550-99999-008-0007</v>
          </cell>
          <cell r="J2909">
            <v>1319</v>
          </cell>
        </row>
        <row r="2910">
          <cell r="A2910" t="str">
            <v>CIVLA</v>
          </cell>
          <cell r="B2910" t="str">
            <v>550-99999-009-0000</v>
          </cell>
          <cell r="J2910">
            <v>1005290.14</v>
          </cell>
        </row>
        <row r="2911">
          <cell r="A2911" t="str">
            <v>CIVLA</v>
          </cell>
          <cell r="B2911" t="str">
            <v>550-99999-009-0001</v>
          </cell>
          <cell r="J2911">
            <v>827500</v>
          </cell>
        </row>
        <row r="2912">
          <cell r="A2912" t="str">
            <v>CIVLA</v>
          </cell>
          <cell r="B2912" t="str">
            <v>550-99999-009-0002</v>
          </cell>
          <cell r="J2912">
            <v>177790.14</v>
          </cell>
        </row>
        <row r="2913">
          <cell r="A2913" t="str">
            <v>CIVLA</v>
          </cell>
          <cell r="B2913" t="str">
            <v>550-99999-023-0000</v>
          </cell>
          <cell r="J2913">
            <v>8875.02</v>
          </cell>
        </row>
        <row r="2914">
          <cell r="A2914" t="str">
            <v>CIVLA</v>
          </cell>
          <cell r="B2914" t="str">
            <v>550-99999-024-0000</v>
          </cell>
          <cell r="J2914">
            <v>4640</v>
          </cell>
        </row>
        <row r="2915">
          <cell r="A2915" t="str">
            <v>CIVLA</v>
          </cell>
          <cell r="B2915" t="str">
            <v>550-99999-028-0000</v>
          </cell>
          <cell r="J2915">
            <v>245027.03</v>
          </cell>
        </row>
        <row r="2916">
          <cell r="A2916" t="str">
            <v>CIVLA</v>
          </cell>
          <cell r="B2916" t="str">
            <v>550-99999-029-0000</v>
          </cell>
          <cell r="J2916">
            <v>713369.58</v>
          </cell>
        </row>
        <row r="2917">
          <cell r="A2917" t="str">
            <v>CIVLA</v>
          </cell>
          <cell r="B2917" t="str">
            <v>550-99999-030-0000</v>
          </cell>
          <cell r="J2917">
            <v>2200</v>
          </cell>
        </row>
        <row r="2918">
          <cell r="A2918" t="str">
            <v>CIVLA</v>
          </cell>
          <cell r="B2918" t="str">
            <v>550-99999-031-0000</v>
          </cell>
          <cell r="J2918">
            <v>76728.820000000007</v>
          </cell>
        </row>
        <row r="2919">
          <cell r="A2919" t="str">
            <v>CIVLA</v>
          </cell>
          <cell r="B2919" t="str">
            <v>550-99999-031-0005</v>
          </cell>
          <cell r="J2919">
            <v>201.72</v>
          </cell>
        </row>
        <row r="2920">
          <cell r="A2920" t="str">
            <v>CIVLA</v>
          </cell>
          <cell r="B2920" t="str">
            <v>550-99999-031-0013</v>
          </cell>
          <cell r="J2920">
            <v>76527.100000000006</v>
          </cell>
        </row>
        <row r="2921">
          <cell r="A2921" t="str">
            <v>CIVLA</v>
          </cell>
          <cell r="B2921" t="str">
            <v>550-99999-036-0000</v>
          </cell>
          <cell r="J2921">
            <v>751566.62</v>
          </cell>
        </row>
        <row r="2922">
          <cell r="A2922" t="str">
            <v>CIVLA</v>
          </cell>
          <cell r="B2922" t="str">
            <v>550-99999-036-0001</v>
          </cell>
          <cell r="J2922">
            <v>3300</v>
          </cell>
        </row>
        <row r="2923">
          <cell r="A2923" t="str">
            <v>CIVLA</v>
          </cell>
          <cell r="B2923" t="str">
            <v>550-99999-036-0002</v>
          </cell>
          <cell r="J2923">
            <v>5849</v>
          </cell>
        </row>
        <row r="2924">
          <cell r="A2924" t="str">
            <v>CIVLA</v>
          </cell>
          <cell r="B2924" t="str">
            <v>550-99999-036-0003</v>
          </cell>
          <cell r="J2924">
            <v>10823</v>
          </cell>
        </row>
        <row r="2925">
          <cell r="A2925" t="str">
            <v>CIVLA</v>
          </cell>
          <cell r="B2925" t="str">
            <v>550-99999-036-0004</v>
          </cell>
          <cell r="J2925">
            <v>76252.09</v>
          </cell>
        </row>
        <row r="2926">
          <cell r="A2926" t="str">
            <v>CIVLA</v>
          </cell>
          <cell r="B2926" t="str">
            <v>550-99999-036-0005</v>
          </cell>
          <cell r="J2926">
            <v>604908.31999999995</v>
          </cell>
        </row>
        <row r="2927">
          <cell r="A2927" t="str">
            <v>CIVLA</v>
          </cell>
          <cell r="B2927" t="str">
            <v>550-99999-036-0007</v>
          </cell>
          <cell r="J2927">
            <v>50434.21</v>
          </cell>
        </row>
        <row r="2928">
          <cell r="A2928" t="str">
            <v>CIVLA</v>
          </cell>
          <cell r="B2928" t="str">
            <v>550-99999-056-0000</v>
          </cell>
          <cell r="J2928">
            <v>1537851.25</v>
          </cell>
        </row>
        <row r="2929">
          <cell r="A2929" t="str">
            <v>CIVLA</v>
          </cell>
          <cell r="B2929" t="str">
            <v>550-99999-056-0001</v>
          </cell>
          <cell r="J2929">
            <v>1153329.57</v>
          </cell>
        </row>
        <row r="2930">
          <cell r="A2930" t="str">
            <v>CIVLA</v>
          </cell>
          <cell r="B2930" t="str">
            <v>550-99999-056-0002</v>
          </cell>
          <cell r="J2930">
            <v>99173</v>
          </cell>
        </row>
        <row r="2931">
          <cell r="A2931" t="str">
            <v>CIVLA</v>
          </cell>
          <cell r="B2931" t="str">
            <v>550-99999-056-0004</v>
          </cell>
          <cell r="J2931">
            <v>6021.48</v>
          </cell>
        </row>
        <row r="2932">
          <cell r="A2932" t="str">
            <v>CIVLA</v>
          </cell>
          <cell r="B2932" t="str">
            <v>550-99999-056-0005</v>
          </cell>
          <cell r="J2932">
            <v>27877.65</v>
          </cell>
        </row>
        <row r="2933">
          <cell r="A2933" t="str">
            <v>CIVLA</v>
          </cell>
          <cell r="B2933" t="str">
            <v>550-99999-056-0006</v>
          </cell>
          <cell r="J2933">
            <v>27877.65</v>
          </cell>
        </row>
        <row r="2934">
          <cell r="A2934" t="str">
            <v>CIVLA</v>
          </cell>
          <cell r="B2934" t="str">
            <v>550-99999-056-0008</v>
          </cell>
          <cell r="J2934">
            <v>4978.6499999999996</v>
          </cell>
        </row>
        <row r="2935">
          <cell r="A2935" t="str">
            <v>CIVLA</v>
          </cell>
          <cell r="B2935" t="str">
            <v>550-99999-056-0009</v>
          </cell>
          <cell r="J2935">
            <v>73241.539999999994</v>
          </cell>
        </row>
        <row r="2936">
          <cell r="A2936" t="str">
            <v>CIVLA</v>
          </cell>
          <cell r="B2936" t="str">
            <v>550-99999-056-0010</v>
          </cell>
          <cell r="J2936">
            <v>34885.08</v>
          </cell>
        </row>
        <row r="2937">
          <cell r="A2937" t="str">
            <v>CIVLA</v>
          </cell>
          <cell r="B2937" t="str">
            <v>550-99999-056-0011</v>
          </cell>
          <cell r="J2937">
            <v>110466.63</v>
          </cell>
        </row>
        <row r="2938">
          <cell r="A2938" t="str">
            <v>CIVLA</v>
          </cell>
          <cell r="B2938" t="str">
            <v>550-99999-057-0000</v>
          </cell>
          <cell r="J2938">
            <v>361362.54</v>
          </cell>
        </row>
        <row r="2939">
          <cell r="A2939" t="str">
            <v>CIVLA</v>
          </cell>
          <cell r="B2939" t="str">
            <v>550-99999-057-0001</v>
          </cell>
          <cell r="J2939">
            <v>162045.93</v>
          </cell>
        </row>
        <row r="2940">
          <cell r="A2940" t="str">
            <v>CIVLA</v>
          </cell>
          <cell r="B2940" t="str">
            <v>550-99999-057-0002</v>
          </cell>
          <cell r="J2940">
            <v>94755.79</v>
          </cell>
        </row>
        <row r="2941">
          <cell r="A2941" t="str">
            <v>CIVLA</v>
          </cell>
          <cell r="B2941" t="str">
            <v>550-99999-057-0003</v>
          </cell>
          <cell r="J2941">
            <v>58386.82</v>
          </cell>
        </row>
        <row r="2942">
          <cell r="A2942" t="str">
            <v>CIVLA</v>
          </cell>
          <cell r="B2942" t="str">
            <v>550-99999-057-0004</v>
          </cell>
          <cell r="J2942">
            <v>46174</v>
          </cell>
        </row>
        <row r="2943">
          <cell r="A2943" t="str">
            <v>CIVLA</v>
          </cell>
          <cell r="B2943" t="str">
            <v>550-99999-058-0000</v>
          </cell>
          <cell r="J2943">
            <v>56839.44</v>
          </cell>
        </row>
        <row r="2944">
          <cell r="A2944" t="str">
            <v>CIVLA</v>
          </cell>
          <cell r="B2944" t="str">
            <v>550-99999-061-0000</v>
          </cell>
          <cell r="J2944">
            <v>-53244.12</v>
          </cell>
        </row>
        <row r="2945">
          <cell r="A2945" t="str">
            <v>CIVLA</v>
          </cell>
          <cell r="B2945" t="str">
            <v>551-00000-000-0000</v>
          </cell>
          <cell r="J2945">
            <v>1952586.23</v>
          </cell>
        </row>
        <row r="2946">
          <cell r="A2946" t="str">
            <v>CIVLA</v>
          </cell>
          <cell r="B2946" t="str">
            <v>551-99999-000-0000</v>
          </cell>
          <cell r="J2946">
            <v>1952586.23</v>
          </cell>
        </row>
        <row r="2947">
          <cell r="A2947" t="str">
            <v>CIVLA</v>
          </cell>
          <cell r="B2947" t="str">
            <v>551-99999-053-0000</v>
          </cell>
          <cell r="J2947">
            <v>1952586.23</v>
          </cell>
        </row>
        <row r="2948">
          <cell r="A2948" t="str">
            <v>CIVLA</v>
          </cell>
          <cell r="B2948" t="str">
            <v>560-00000-000-0000</v>
          </cell>
          <cell r="J2948">
            <v>417830.26</v>
          </cell>
        </row>
        <row r="2949">
          <cell r="A2949" t="str">
            <v>CIVLA</v>
          </cell>
          <cell r="B2949" t="str">
            <v>560-99999-000-0000</v>
          </cell>
          <cell r="J2949">
            <v>417830.26</v>
          </cell>
        </row>
        <row r="2950">
          <cell r="A2950" t="str">
            <v>CIVLA</v>
          </cell>
          <cell r="B2950" t="str">
            <v>560-99999-001-0000</v>
          </cell>
          <cell r="J2950">
            <v>20162.310000000001</v>
          </cell>
        </row>
        <row r="2951">
          <cell r="A2951" t="str">
            <v>CIVLA</v>
          </cell>
          <cell r="B2951" t="str">
            <v>560-99999-001-0001</v>
          </cell>
          <cell r="J2951">
            <v>12493.86</v>
          </cell>
        </row>
        <row r="2952">
          <cell r="A2952" t="str">
            <v>CIVLA</v>
          </cell>
          <cell r="B2952" t="str">
            <v>560-99999-001-0002</v>
          </cell>
          <cell r="J2952">
            <v>1696</v>
          </cell>
        </row>
        <row r="2953">
          <cell r="A2953" t="str">
            <v>CIVLA</v>
          </cell>
          <cell r="B2953" t="str">
            <v>560-99999-001-0005</v>
          </cell>
          <cell r="J2953">
            <v>834.18</v>
          </cell>
        </row>
        <row r="2954">
          <cell r="A2954" t="str">
            <v>CIVLA</v>
          </cell>
          <cell r="B2954" t="str">
            <v>560-99999-001-0006</v>
          </cell>
          <cell r="J2954">
            <v>834.18</v>
          </cell>
        </row>
        <row r="2955">
          <cell r="A2955" t="str">
            <v>CIVLA</v>
          </cell>
          <cell r="B2955" t="str">
            <v>560-99999-001-0009</v>
          </cell>
          <cell r="J2955">
            <v>4304.09</v>
          </cell>
        </row>
        <row r="2956">
          <cell r="A2956" t="str">
            <v>CIVLA</v>
          </cell>
          <cell r="B2956" t="str">
            <v>560-99999-002-0000</v>
          </cell>
          <cell r="J2956">
            <v>99302.3</v>
          </cell>
        </row>
        <row r="2957">
          <cell r="A2957" t="str">
            <v>CIVLA</v>
          </cell>
          <cell r="B2957" t="str">
            <v>560-99999-002-0001</v>
          </cell>
          <cell r="J2957">
            <v>98697.43</v>
          </cell>
        </row>
        <row r="2958">
          <cell r="A2958" t="str">
            <v>CIVLA</v>
          </cell>
          <cell r="B2958" t="str">
            <v>560-99999-002-0004</v>
          </cell>
          <cell r="J2958">
            <v>604.87</v>
          </cell>
        </row>
        <row r="2959">
          <cell r="A2959" t="str">
            <v>CIVLA</v>
          </cell>
          <cell r="B2959" t="str">
            <v>560-99999-004-0000</v>
          </cell>
          <cell r="J2959">
            <v>304258.76</v>
          </cell>
        </row>
        <row r="2960">
          <cell r="A2960" t="str">
            <v>CIVLA</v>
          </cell>
          <cell r="B2960" t="str">
            <v>560-99999-004-0001</v>
          </cell>
          <cell r="J2960">
            <v>1067.05</v>
          </cell>
        </row>
        <row r="2961">
          <cell r="A2961" t="str">
            <v>CIVLA</v>
          </cell>
          <cell r="B2961" t="str">
            <v>560-99999-004-0002</v>
          </cell>
          <cell r="J2961">
            <v>179606.99</v>
          </cell>
        </row>
        <row r="2962">
          <cell r="A2962" t="str">
            <v>CIVLA</v>
          </cell>
          <cell r="B2962" t="str">
            <v>560-99999-004-0003</v>
          </cell>
          <cell r="J2962">
            <v>2460.7399999999998</v>
          </cell>
        </row>
        <row r="2963">
          <cell r="A2963" t="str">
            <v>CIVLA</v>
          </cell>
          <cell r="B2963" t="str">
            <v>560-99999-004-0004</v>
          </cell>
          <cell r="J2963">
            <v>28496.19</v>
          </cell>
        </row>
        <row r="2964">
          <cell r="A2964" t="str">
            <v>CIVLA</v>
          </cell>
          <cell r="B2964" t="str">
            <v>560-99999-004-0005</v>
          </cell>
          <cell r="J2964">
            <v>39460.019999999997</v>
          </cell>
        </row>
        <row r="2965">
          <cell r="A2965" t="str">
            <v>CIVLA</v>
          </cell>
          <cell r="B2965" t="str">
            <v>560-99999-004-0006</v>
          </cell>
          <cell r="J2965">
            <v>6691.31</v>
          </cell>
        </row>
        <row r="2966">
          <cell r="A2966" t="str">
            <v>CIVLA</v>
          </cell>
          <cell r="B2966" t="str">
            <v>560-99999-004-0007</v>
          </cell>
          <cell r="J2966">
            <v>1752.49</v>
          </cell>
        </row>
        <row r="2967">
          <cell r="A2967" t="str">
            <v>CIVLA</v>
          </cell>
          <cell r="B2967" t="str">
            <v>560-99999-004-0009</v>
          </cell>
          <cell r="J2967">
            <v>150</v>
          </cell>
        </row>
        <row r="2968">
          <cell r="A2968" t="str">
            <v>CIVLA</v>
          </cell>
          <cell r="B2968" t="str">
            <v>560-99999-004-0011</v>
          </cell>
          <cell r="J2968">
            <v>6444.19</v>
          </cell>
        </row>
        <row r="2969">
          <cell r="A2969" t="str">
            <v>CIVLA</v>
          </cell>
          <cell r="B2969" t="str">
            <v>560-99999-004-0013</v>
          </cell>
          <cell r="J2969">
            <v>38129.78</v>
          </cell>
        </row>
        <row r="2970">
          <cell r="A2970" t="str">
            <v>CIVLA</v>
          </cell>
          <cell r="B2970" t="str">
            <v>560-99999-061-0000</v>
          </cell>
          <cell r="J2970">
            <v>-5893.11</v>
          </cell>
        </row>
        <row r="2971">
          <cell r="A2971" t="str">
            <v>CIVLA</v>
          </cell>
          <cell r="B2971" t="str">
            <v>620-00000-000-0000</v>
          </cell>
          <cell r="J2971">
            <v>3091591.76</v>
          </cell>
        </row>
        <row r="2972">
          <cell r="A2972" t="str">
            <v>CIVLA</v>
          </cell>
          <cell r="B2972" t="str">
            <v>620-99999-000-0000</v>
          </cell>
          <cell r="J2972">
            <v>3091591.76</v>
          </cell>
        </row>
        <row r="2973">
          <cell r="A2973" t="str">
            <v>CIVLA</v>
          </cell>
          <cell r="B2973" t="str">
            <v>620-99999-001-0000</v>
          </cell>
          <cell r="J2973">
            <v>1786521.08</v>
          </cell>
        </row>
        <row r="2974">
          <cell r="A2974" t="str">
            <v>CIVLA</v>
          </cell>
          <cell r="B2974" t="str">
            <v>620-99999-001-0001</v>
          </cell>
          <cell r="J2974">
            <v>1203481.93</v>
          </cell>
        </row>
        <row r="2975">
          <cell r="A2975" t="str">
            <v>CIVLA</v>
          </cell>
          <cell r="B2975" t="str">
            <v>620-99999-001-0002</v>
          </cell>
          <cell r="J2975">
            <v>89670</v>
          </cell>
        </row>
        <row r="2976">
          <cell r="A2976" t="str">
            <v>CIVLA</v>
          </cell>
          <cell r="B2976" t="str">
            <v>620-99999-001-0005</v>
          </cell>
          <cell r="J2976">
            <v>128139.49</v>
          </cell>
        </row>
        <row r="2977">
          <cell r="A2977" t="str">
            <v>CIVLA</v>
          </cell>
          <cell r="B2977" t="str">
            <v>620-99999-001-0006</v>
          </cell>
          <cell r="J2977">
            <v>128139.49</v>
          </cell>
        </row>
        <row r="2978">
          <cell r="A2978" t="str">
            <v>CIVLA</v>
          </cell>
          <cell r="B2978" t="str">
            <v>620-99999-001-0009</v>
          </cell>
          <cell r="J2978">
            <v>86682.22</v>
          </cell>
        </row>
        <row r="2979">
          <cell r="A2979" t="str">
            <v>CIVLA</v>
          </cell>
          <cell r="B2979" t="str">
            <v>620-99999-001-0010</v>
          </cell>
          <cell r="J2979">
            <v>42787.95</v>
          </cell>
        </row>
        <row r="2980">
          <cell r="A2980" t="str">
            <v>CIVLA</v>
          </cell>
          <cell r="B2980" t="str">
            <v>620-99999-001-0011</v>
          </cell>
          <cell r="J2980">
            <v>107620</v>
          </cell>
        </row>
        <row r="2981">
          <cell r="A2981" t="str">
            <v>CIVLA</v>
          </cell>
          <cell r="B2981" t="str">
            <v>620-99999-002-0000</v>
          </cell>
          <cell r="J2981">
            <v>354768.99</v>
          </cell>
        </row>
        <row r="2982">
          <cell r="A2982" t="str">
            <v>CIVLA</v>
          </cell>
          <cell r="B2982" t="str">
            <v>620-99999-002-0001</v>
          </cell>
          <cell r="J2982">
            <v>131260.12</v>
          </cell>
        </row>
        <row r="2983">
          <cell r="A2983" t="str">
            <v>CIVLA</v>
          </cell>
          <cell r="B2983" t="str">
            <v>620-99999-002-0002</v>
          </cell>
          <cell r="J2983">
            <v>110235.79</v>
          </cell>
        </row>
        <row r="2984">
          <cell r="A2984" t="str">
            <v>CIVLA</v>
          </cell>
          <cell r="B2984" t="str">
            <v>620-99999-002-0003</v>
          </cell>
          <cell r="J2984">
            <v>59677.71</v>
          </cell>
        </row>
        <row r="2985">
          <cell r="A2985" t="str">
            <v>CIVLA</v>
          </cell>
          <cell r="B2985" t="str">
            <v>620-99999-002-0004</v>
          </cell>
          <cell r="J2985">
            <v>53595.37</v>
          </cell>
        </row>
        <row r="2986">
          <cell r="A2986" t="str">
            <v>CIVLA</v>
          </cell>
          <cell r="B2986" t="str">
            <v>620-99999-003-0000</v>
          </cell>
          <cell r="J2986">
            <v>175011.95</v>
          </cell>
        </row>
        <row r="2987">
          <cell r="A2987" t="str">
            <v>CIVLA</v>
          </cell>
          <cell r="B2987" t="str">
            <v>620-99999-004-0000</v>
          </cell>
          <cell r="J2987">
            <v>57247.55</v>
          </cell>
        </row>
        <row r="2988">
          <cell r="A2988" t="str">
            <v>CIVLA</v>
          </cell>
          <cell r="B2988" t="str">
            <v>620-99999-004-0001</v>
          </cell>
          <cell r="J2988">
            <v>549.72</v>
          </cell>
        </row>
        <row r="2989">
          <cell r="A2989" t="str">
            <v>CIVLA</v>
          </cell>
          <cell r="B2989" t="str">
            <v>620-99999-004-0002</v>
          </cell>
          <cell r="J2989">
            <v>26155.26</v>
          </cell>
        </row>
        <row r="2990">
          <cell r="A2990" t="str">
            <v>CIVLA</v>
          </cell>
          <cell r="B2990" t="str">
            <v>620-99999-004-0004</v>
          </cell>
          <cell r="J2990">
            <v>279.3</v>
          </cell>
        </row>
        <row r="2991">
          <cell r="A2991" t="str">
            <v>CIVLA</v>
          </cell>
          <cell r="B2991" t="str">
            <v>620-99999-004-0005</v>
          </cell>
          <cell r="J2991">
            <v>21047.03</v>
          </cell>
        </row>
        <row r="2992">
          <cell r="A2992" t="str">
            <v>CIVLA</v>
          </cell>
          <cell r="B2992" t="str">
            <v>620-99999-004-0011</v>
          </cell>
          <cell r="J2992">
            <v>7125.01</v>
          </cell>
        </row>
        <row r="2993">
          <cell r="A2993" t="str">
            <v>CIVLA</v>
          </cell>
          <cell r="B2993" t="str">
            <v>620-99999-004-0013</v>
          </cell>
          <cell r="J2993">
            <v>2091.23</v>
          </cell>
        </row>
        <row r="2994">
          <cell r="A2994" t="str">
            <v>CIVLA</v>
          </cell>
          <cell r="B2994" t="str">
            <v>620-99999-005-0000</v>
          </cell>
          <cell r="J2994">
            <v>145473.14000000001</v>
          </cell>
        </row>
        <row r="2995">
          <cell r="A2995" t="str">
            <v>CIVLA</v>
          </cell>
          <cell r="B2995" t="str">
            <v>620-99999-005-0002</v>
          </cell>
          <cell r="J2995">
            <v>92528.53</v>
          </cell>
        </row>
        <row r="2996">
          <cell r="A2996" t="str">
            <v>CIVLA</v>
          </cell>
          <cell r="B2996" t="str">
            <v>620-99999-005-0005</v>
          </cell>
          <cell r="J2996">
            <v>46394.61</v>
          </cell>
        </row>
        <row r="2997">
          <cell r="A2997" t="str">
            <v>CIVLA</v>
          </cell>
          <cell r="B2997" t="str">
            <v>620-99999-005-0011</v>
          </cell>
          <cell r="J2997">
            <v>6550</v>
          </cell>
        </row>
        <row r="2998">
          <cell r="A2998" t="str">
            <v>CIVLA</v>
          </cell>
          <cell r="B2998" t="str">
            <v>620-99999-008-0000</v>
          </cell>
          <cell r="J2998">
            <v>439029.46</v>
          </cell>
        </row>
        <row r="2999">
          <cell r="A2999" t="str">
            <v>CIVLA</v>
          </cell>
          <cell r="B2999" t="str">
            <v>620-99999-008-0003</v>
          </cell>
          <cell r="J2999">
            <v>439029.46</v>
          </cell>
        </row>
        <row r="3000">
          <cell r="A3000" t="str">
            <v>CIVLA</v>
          </cell>
          <cell r="B3000" t="str">
            <v>620-99999-030-0000</v>
          </cell>
          <cell r="J3000">
            <v>177021.04</v>
          </cell>
        </row>
        <row r="3001">
          <cell r="A3001" t="str">
            <v>CIVLA</v>
          </cell>
          <cell r="B3001" t="str">
            <v>620-99999-061-0000</v>
          </cell>
          <cell r="J3001">
            <v>-43481.45</v>
          </cell>
        </row>
        <row r="3002">
          <cell r="A3002" t="str">
            <v>CIVLA</v>
          </cell>
          <cell r="B3002" t="str">
            <v>630-00000-000-0000</v>
          </cell>
          <cell r="J3002">
            <v>834984.58</v>
          </cell>
        </row>
        <row r="3003">
          <cell r="A3003" t="str">
            <v>CIVLA</v>
          </cell>
          <cell r="B3003" t="str">
            <v>630-99999-000-0000</v>
          </cell>
          <cell r="J3003">
            <v>834984.58</v>
          </cell>
        </row>
        <row r="3004">
          <cell r="A3004" t="str">
            <v>CIVLA</v>
          </cell>
          <cell r="B3004" t="str">
            <v>630-99999-001-0000</v>
          </cell>
          <cell r="J3004">
            <v>583665.80000000005</v>
          </cell>
        </row>
        <row r="3005">
          <cell r="A3005" t="str">
            <v>CIVLA</v>
          </cell>
          <cell r="B3005" t="str">
            <v>630-99999-001-0001</v>
          </cell>
          <cell r="J3005">
            <v>583665.80000000005</v>
          </cell>
        </row>
        <row r="3006">
          <cell r="A3006" t="str">
            <v>CIVLA</v>
          </cell>
          <cell r="B3006" t="str">
            <v>630-99999-002-0000</v>
          </cell>
          <cell r="J3006">
            <v>17509.990000000002</v>
          </cell>
        </row>
        <row r="3007">
          <cell r="A3007" t="str">
            <v>CIVLA</v>
          </cell>
          <cell r="B3007" t="str">
            <v>630-99999-002-0004</v>
          </cell>
          <cell r="J3007">
            <v>17509.990000000002</v>
          </cell>
        </row>
        <row r="3008">
          <cell r="A3008" t="str">
            <v>CIVLA</v>
          </cell>
          <cell r="B3008" t="str">
            <v>630-99999-004-0000</v>
          </cell>
          <cell r="J3008">
            <v>99652.86</v>
          </cell>
        </row>
        <row r="3009">
          <cell r="A3009" t="str">
            <v>CIVLA</v>
          </cell>
          <cell r="B3009" t="str">
            <v>630-99999-004-0001</v>
          </cell>
          <cell r="J3009">
            <v>168.11</v>
          </cell>
        </row>
        <row r="3010">
          <cell r="A3010" t="str">
            <v>CIVLA</v>
          </cell>
          <cell r="B3010" t="str">
            <v>630-99999-004-0002</v>
          </cell>
          <cell r="J3010">
            <v>64035.31</v>
          </cell>
        </row>
        <row r="3011">
          <cell r="A3011" t="str">
            <v>CIVLA</v>
          </cell>
          <cell r="B3011" t="str">
            <v>630-99999-004-0003</v>
          </cell>
          <cell r="J3011">
            <v>2121.2800000000002</v>
          </cell>
        </row>
        <row r="3012">
          <cell r="A3012" t="str">
            <v>CIVLA</v>
          </cell>
          <cell r="B3012" t="str">
            <v>630-99999-004-0004</v>
          </cell>
          <cell r="J3012">
            <v>2953.87</v>
          </cell>
        </row>
        <row r="3013">
          <cell r="A3013" t="str">
            <v>CIVLA</v>
          </cell>
          <cell r="B3013" t="str">
            <v>630-99999-004-0005</v>
          </cell>
          <cell r="J3013">
            <v>21997.39</v>
          </cell>
        </row>
        <row r="3014">
          <cell r="A3014" t="str">
            <v>CIVLA</v>
          </cell>
          <cell r="B3014" t="str">
            <v>630-99999-004-0013</v>
          </cell>
          <cell r="J3014">
            <v>8034.34</v>
          </cell>
        </row>
        <row r="3015">
          <cell r="A3015" t="str">
            <v>CIVLA</v>
          </cell>
          <cell r="B3015" t="str">
            <v>630-99999-004-0014</v>
          </cell>
          <cell r="J3015">
            <v>342.56</v>
          </cell>
        </row>
        <row r="3016">
          <cell r="A3016" t="str">
            <v>CIVLA</v>
          </cell>
          <cell r="B3016" t="str">
            <v>630-99999-005-0000</v>
          </cell>
          <cell r="J3016">
            <v>133175.93</v>
          </cell>
        </row>
        <row r="3017">
          <cell r="A3017" t="str">
            <v>CIVLA</v>
          </cell>
          <cell r="B3017" t="str">
            <v>630-99999-005-0001</v>
          </cell>
          <cell r="J3017">
            <v>311.20999999999998</v>
          </cell>
        </row>
        <row r="3018">
          <cell r="A3018" t="str">
            <v>CIVLA</v>
          </cell>
          <cell r="B3018" t="str">
            <v>630-99999-005-0002</v>
          </cell>
          <cell r="J3018">
            <v>113673.1</v>
          </cell>
        </row>
        <row r="3019">
          <cell r="A3019" t="str">
            <v>CIVLA</v>
          </cell>
          <cell r="B3019" t="str">
            <v>630-99999-005-0004</v>
          </cell>
          <cell r="J3019">
            <v>1844.8</v>
          </cell>
        </row>
        <row r="3020">
          <cell r="A3020" t="str">
            <v>CIVLA</v>
          </cell>
          <cell r="B3020" t="str">
            <v>630-99999-005-0005</v>
          </cell>
          <cell r="J3020">
            <v>17346.82</v>
          </cell>
        </row>
        <row r="3021">
          <cell r="A3021" t="str">
            <v>CIVLA</v>
          </cell>
          <cell r="B3021" t="str">
            <v>630-99999-008-0000</v>
          </cell>
          <cell r="J3021">
            <v>980</v>
          </cell>
        </row>
        <row r="3022">
          <cell r="A3022" t="str">
            <v>CIVLA</v>
          </cell>
          <cell r="B3022" t="str">
            <v>630-99999-008-0003</v>
          </cell>
          <cell r="J3022">
            <v>980</v>
          </cell>
        </row>
        <row r="3023">
          <cell r="A3023" t="str">
            <v>CIVLA</v>
          </cell>
          <cell r="B3023" t="str">
            <v>640-00000-000-0000</v>
          </cell>
          <cell r="J3023">
            <v>1344917.59</v>
          </cell>
        </row>
        <row r="3024">
          <cell r="A3024" t="str">
            <v>CIVLA</v>
          </cell>
          <cell r="B3024" t="str">
            <v>640-99999-000-0000</v>
          </cell>
          <cell r="J3024">
            <v>1344917.59</v>
          </cell>
        </row>
        <row r="3025">
          <cell r="A3025" t="str">
            <v>CIVLA</v>
          </cell>
          <cell r="B3025" t="str">
            <v>640-99999-001-0000</v>
          </cell>
          <cell r="J3025">
            <v>1113659.79</v>
          </cell>
        </row>
        <row r="3026">
          <cell r="A3026" t="str">
            <v>CIVLA</v>
          </cell>
          <cell r="B3026" t="str">
            <v>640-99999-001-0001</v>
          </cell>
          <cell r="J3026">
            <v>865727.17</v>
          </cell>
        </row>
        <row r="3027">
          <cell r="A3027" t="str">
            <v>CIVLA</v>
          </cell>
          <cell r="B3027" t="str">
            <v>640-99999-001-0002</v>
          </cell>
          <cell r="J3027">
            <v>36789</v>
          </cell>
        </row>
        <row r="3028">
          <cell r="A3028" t="str">
            <v>CIVLA</v>
          </cell>
          <cell r="B3028" t="str">
            <v>640-99999-001-0004</v>
          </cell>
          <cell r="J3028">
            <v>627.51</v>
          </cell>
        </row>
        <row r="3029">
          <cell r="A3029" t="str">
            <v>CIVLA</v>
          </cell>
          <cell r="B3029" t="str">
            <v>640-99999-001-0005</v>
          </cell>
          <cell r="J3029">
            <v>72247.649999999994</v>
          </cell>
        </row>
        <row r="3030">
          <cell r="A3030" t="str">
            <v>CIVLA</v>
          </cell>
          <cell r="B3030" t="str">
            <v>640-99999-001-0006</v>
          </cell>
          <cell r="J3030">
            <v>72247.649999999994</v>
          </cell>
        </row>
        <row r="3031">
          <cell r="A3031" t="str">
            <v>CIVLA</v>
          </cell>
          <cell r="B3031" t="str">
            <v>640-99999-001-0009</v>
          </cell>
          <cell r="J3031">
            <v>24034.66</v>
          </cell>
        </row>
        <row r="3032">
          <cell r="A3032" t="str">
            <v>CIVLA</v>
          </cell>
          <cell r="B3032" t="str">
            <v>640-99999-001-0010</v>
          </cell>
          <cell r="J3032">
            <v>10946.34</v>
          </cell>
        </row>
        <row r="3033">
          <cell r="A3033" t="str">
            <v>CIVLA</v>
          </cell>
          <cell r="B3033" t="str">
            <v>640-99999-001-0011</v>
          </cell>
          <cell r="J3033">
            <v>31039.81</v>
          </cell>
        </row>
        <row r="3034">
          <cell r="A3034" t="str">
            <v>CIVLA</v>
          </cell>
          <cell r="B3034" t="str">
            <v>640-99999-002-0000</v>
          </cell>
          <cell r="J3034">
            <v>182168.85</v>
          </cell>
        </row>
        <row r="3035">
          <cell r="A3035" t="str">
            <v>CIVLA</v>
          </cell>
          <cell r="B3035" t="str">
            <v>640-99999-002-0001</v>
          </cell>
          <cell r="J3035">
            <v>63441.07</v>
          </cell>
        </row>
        <row r="3036">
          <cell r="A3036" t="str">
            <v>CIVLA</v>
          </cell>
          <cell r="B3036" t="str">
            <v>640-99999-002-0002</v>
          </cell>
          <cell r="J3036">
            <v>55277.64</v>
          </cell>
        </row>
        <row r="3037">
          <cell r="A3037" t="str">
            <v>CIVLA</v>
          </cell>
          <cell r="B3037" t="str">
            <v>640-99999-002-0003</v>
          </cell>
          <cell r="J3037">
            <v>30039.74</v>
          </cell>
        </row>
        <row r="3038">
          <cell r="A3038" t="str">
            <v>CIVLA</v>
          </cell>
          <cell r="B3038" t="str">
            <v>640-99999-002-0004</v>
          </cell>
          <cell r="J3038">
            <v>33410.400000000001</v>
          </cell>
        </row>
        <row r="3039">
          <cell r="A3039" t="str">
            <v>CIVLA</v>
          </cell>
          <cell r="B3039" t="str">
            <v>640-99999-003-0000</v>
          </cell>
          <cell r="J3039">
            <v>28850.57</v>
          </cell>
        </row>
        <row r="3040">
          <cell r="A3040" t="str">
            <v>CIVLA</v>
          </cell>
          <cell r="B3040" t="str">
            <v>640-99999-004-0000</v>
          </cell>
          <cell r="J3040">
            <v>2797.27</v>
          </cell>
        </row>
        <row r="3041">
          <cell r="A3041" t="str">
            <v>CIVLA</v>
          </cell>
          <cell r="B3041" t="str">
            <v>640-99999-004-0002</v>
          </cell>
          <cell r="J3041">
            <v>2236.92</v>
          </cell>
        </row>
        <row r="3042">
          <cell r="A3042" t="str">
            <v>CIVLA</v>
          </cell>
          <cell r="B3042" t="str">
            <v>640-99999-004-0005</v>
          </cell>
          <cell r="J3042">
            <v>560.35</v>
          </cell>
        </row>
        <row r="3043">
          <cell r="A3043" t="str">
            <v>CIVLA</v>
          </cell>
          <cell r="B3043" t="str">
            <v>640-99999-008-0000</v>
          </cell>
          <cell r="J3043">
            <v>16379.31</v>
          </cell>
        </row>
        <row r="3044">
          <cell r="A3044" t="str">
            <v>CIVLA</v>
          </cell>
          <cell r="B3044" t="str">
            <v>640-99999-008-0003</v>
          </cell>
          <cell r="J3044">
            <v>16379.31</v>
          </cell>
        </row>
        <row r="3045">
          <cell r="A3045" t="str">
            <v>CIVLA</v>
          </cell>
          <cell r="B3045" t="str">
            <v>640-99999-061-0000</v>
          </cell>
          <cell r="J3045">
            <v>1061.8</v>
          </cell>
        </row>
        <row r="3046">
          <cell r="A3046" t="str">
            <v>CIVLA</v>
          </cell>
          <cell r="B3046" t="str">
            <v>650-00000-000-0000</v>
          </cell>
          <cell r="J3046">
            <v>7276925.2000000002</v>
          </cell>
        </row>
        <row r="3047">
          <cell r="A3047" t="str">
            <v>CIVLA</v>
          </cell>
          <cell r="B3047" t="str">
            <v>650-99999-000-0000</v>
          </cell>
          <cell r="J3047">
            <v>7276925.2000000002</v>
          </cell>
        </row>
        <row r="3048">
          <cell r="A3048" t="str">
            <v>CIVLA</v>
          </cell>
          <cell r="B3048" t="str">
            <v>650-99999-002-0000</v>
          </cell>
          <cell r="J3048">
            <v>347</v>
          </cell>
        </row>
        <row r="3049">
          <cell r="A3049" t="str">
            <v>CIVLA</v>
          </cell>
          <cell r="B3049" t="str">
            <v>650-99999-002-0001</v>
          </cell>
          <cell r="J3049">
            <v>347</v>
          </cell>
        </row>
        <row r="3050">
          <cell r="A3050" t="str">
            <v>CIVLA</v>
          </cell>
          <cell r="B3050" t="str">
            <v>650-99999-003-0000</v>
          </cell>
          <cell r="J3050">
            <v>27873.9</v>
          </cell>
        </row>
        <row r="3051">
          <cell r="A3051" t="str">
            <v>CIVLA</v>
          </cell>
          <cell r="B3051" t="str">
            <v>650-99999-004-0000</v>
          </cell>
          <cell r="J3051">
            <v>1027730.55</v>
          </cell>
        </row>
        <row r="3052">
          <cell r="A3052" t="str">
            <v>CIVLA</v>
          </cell>
          <cell r="B3052" t="str">
            <v>650-99999-004-0001</v>
          </cell>
          <cell r="J3052">
            <v>19675.95</v>
          </cell>
        </row>
        <row r="3053">
          <cell r="A3053" t="str">
            <v>CIVLA</v>
          </cell>
          <cell r="B3053" t="str">
            <v>650-99999-004-0002</v>
          </cell>
          <cell r="J3053">
            <v>66971.5</v>
          </cell>
        </row>
        <row r="3054">
          <cell r="A3054" t="str">
            <v>CIVLA</v>
          </cell>
          <cell r="B3054" t="str">
            <v>650-99999-004-0004</v>
          </cell>
          <cell r="J3054">
            <v>110212.08</v>
          </cell>
        </row>
        <row r="3055">
          <cell r="A3055" t="str">
            <v>CIVLA</v>
          </cell>
          <cell r="B3055" t="str">
            <v>650-99999-004-0005</v>
          </cell>
          <cell r="J3055">
            <v>4646.09</v>
          </cell>
        </row>
        <row r="3056">
          <cell r="A3056" t="str">
            <v>CIVLA</v>
          </cell>
          <cell r="B3056" t="str">
            <v>650-99999-004-0006</v>
          </cell>
          <cell r="J3056">
            <v>18248.939999999999</v>
          </cell>
        </row>
        <row r="3057">
          <cell r="A3057" t="str">
            <v>CIVLA</v>
          </cell>
          <cell r="B3057" t="str">
            <v>650-99999-004-0007</v>
          </cell>
          <cell r="J3057">
            <v>35588.050000000003</v>
          </cell>
        </row>
        <row r="3058">
          <cell r="A3058" t="str">
            <v>CIVLA</v>
          </cell>
          <cell r="B3058" t="str">
            <v>650-99999-004-0009</v>
          </cell>
          <cell r="J3058">
            <v>713.79</v>
          </cell>
        </row>
        <row r="3059">
          <cell r="A3059" t="str">
            <v>CIVLA</v>
          </cell>
          <cell r="B3059" t="str">
            <v>650-99999-004-0011</v>
          </cell>
          <cell r="J3059">
            <v>689197.06</v>
          </cell>
        </row>
        <row r="3060">
          <cell r="A3060" t="str">
            <v>CIVLA</v>
          </cell>
          <cell r="B3060" t="str">
            <v>650-99999-004-0013</v>
          </cell>
          <cell r="J3060">
            <v>80218.2</v>
          </cell>
        </row>
        <row r="3061">
          <cell r="A3061" t="str">
            <v>CIVLA</v>
          </cell>
          <cell r="B3061" t="str">
            <v>650-99999-004-0014</v>
          </cell>
          <cell r="J3061">
            <v>2258.89</v>
          </cell>
        </row>
        <row r="3062">
          <cell r="A3062" t="str">
            <v>CIVLA</v>
          </cell>
          <cell r="B3062" t="str">
            <v>650-99999-005-0000</v>
          </cell>
          <cell r="J3062">
            <v>185346.92</v>
          </cell>
        </row>
        <row r="3063">
          <cell r="A3063" t="str">
            <v>CIVLA</v>
          </cell>
          <cell r="B3063" t="str">
            <v>650-99999-005-0001</v>
          </cell>
          <cell r="J3063">
            <v>27196.34</v>
          </cell>
        </row>
        <row r="3064">
          <cell r="A3064" t="str">
            <v>CIVLA</v>
          </cell>
          <cell r="B3064" t="str">
            <v>650-99999-005-0002</v>
          </cell>
          <cell r="J3064">
            <v>94716.22</v>
          </cell>
        </row>
        <row r="3065">
          <cell r="A3065" t="str">
            <v>CIVLA</v>
          </cell>
          <cell r="B3065" t="str">
            <v>650-99999-005-0003</v>
          </cell>
          <cell r="J3065">
            <v>518.99</v>
          </cell>
        </row>
        <row r="3066">
          <cell r="A3066" t="str">
            <v>CIVLA</v>
          </cell>
          <cell r="B3066" t="str">
            <v>650-99999-005-0004</v>
          </cell>
          <cell r="J3066">
            <v>18604.2</v>
          </cell>
        </row>
        <row r="3067">
          <cell r="A3067" t="str">
            <v>CIVLA</v>
          </cell>
          <cell r="B3067" t="str">
            <v>650-99999-005-0005</v>
          </cell>
          <cell r="J3067">
            <v>15507.95</v>
          </cell>
        </row>
        <row r="3068">
          <cell r="A3068" t="str">
            <v>CIVLA</v>
          </cell>
          <cell r="B3068" t="str">
            <v>650-99999-005-0009</v>
          </cell>
          <cell r="J3068">
            <v>437.07</v>
          </cell>
        </row>
        <row r="3069">
          <cell r="A3069" t="str">
            <v>CIVLA</v>
          </cell>
          <cell r="B3069" t="str">
            <v>650-99999-005-0011</v>
          </cell>
          <cell r="J3069">
            <v>13275.52</v>
          </cell>
        </row>
        <row r="3070">
          <cell r="A3070" t="str">
            <v>CIVLA</v>
          </cell>
          <cell r="B3070" t="str">
            <v>650-99999-005-0013</v>
          </cell>
          <cell r="J3070">
            <v>12677.7</v>
          </cell>
        </row>
        <row r="3071">
          <cell r="A3071" t="str">
            <v>CIVLA</v>
          </cell>
          <cell r="B3071" t="str">
            <v>650-99999-005-0014</v>
          </cell>
          <cell r="J3071">
            <v>2412.9299999999998</v>
          </cell>
        </row>
        <row r="3072">
          <cell r="A3072" t="str">
            <v>CIVLA</v>
          </cell>
          <cell r="B3072" t="str">
            <v>650-99999-008-0000</v>
          </cell>
          <cell r="J3072">
            <v>776323.58</v>
          </cell>
        </row>
        <row r="3073">
          <cell r="A3073" t="str">
            <v>CIVLA</v>
          </cell>
          <cell r="B3073" t="str">
            <v>650-99999-008-0002</v>
          </cell>
          <cell r="J3073">
            <v>6287.07</v>
          </cell>
        </row>
        <row r="3074">
          <cell r="A3074" t="str">
            <v>CIVLA</v>
          </cell>
          <cell r="B3074" t="str">
            <v>650-99999-008-0003</v>
          </cell>
          <cell r="J3074">
            <v>297137.43</v>
          </cell>
        </row>
        <row r="3075">
          <cell r="A3075" t="str">
            <v>CIVLA</v>
          </cell>
          <cell r="B3075" t="str">
            <v>650-99999-008-0005</v>
          </cell>
          <cell r="J3075">
            <v>329200</v>
          </cell>
        </row>
        <row r="3076">
          <cell r="A3076" t="str">
            <v>CIVLA</v>
          </cell>
          <cell r="B3076" t="str">
            <v>650-99999-008-0007</v>
          </cell>
          <cell r="J3076">
            <v>143699.07999999999</v>
          </cell>
        </row>
        <row r="3077">
          <cell r="A3077" t="str">
            <v>CIVLA</v>
          </cell>
          <cell r="B3077" t="str">
            <v>650-99999-009-0000</v>
          </cell>
          <cell r="J3077">
            <v>2740.82</v>
          </cell>
        </row>
        <row r="3078">
          <cell r="A3078" t="str">
            <v>CIVLA</v>
          </cell>
          <cell r="B3078" t="str">
            <v>650-99999-010-0000</v>
          </cell>
          <cell r="J3078">
            <v>2573691.35</v>
          </cell>
        </row>
        <row r="3079">
          <cell r="A3079" t="str">
            <v>CIVLA</v>
          </cell>
          <cell r="B3079" t="str">
            <v>650-99999-010-0001</v>
          </cell>
          <cell r="J3079">
            <v>48000</v>
          </cell>
        </row>
        <row r="3080">
          <cell r="A3080" t="str">
            <v>CIVLA</v>
          </cell>
          <cell r="B3080" t="str">
            <v>650-99999-010-0004</v>
          </cell>
          <cell r="J3080">
            <v>2525691.35</v>
          </cell>
        </row>
        <row r="3081">
          <cell r="A3081" t="str">
            <v>CIVLA</v>
          </cell>
          <cell r="B3081" t="str">
            <v>650-99999-011-0000</v>
          </cell>
          <cell r="J3081">
            <v>62471.75</v>
          </cell>
        </row>
        <row r="3082">
          <cell r="A3082" t="str">
            <v>CIVLA</v>
          </cell>
          <cell r="B3082" t="str">
            <v>650-99999-012-0000</v>
          </cell>
          <cell r="J3082">
            <v>225527.05</v>
          </cell>
        </row>
        <row r="3083">
          <cell r="A3083" t="str">
            <v>CIVLA</v>
          </cell>
          <cell r="B3083" t="str">
            <v>650-99999-012-0001</v>
          </cell>
          <cell r="J3083">
            <v>14684.81</v>
          </cell>
        </row>
        <row r="3084">
          <cell r="A3084" t="str">
            <v>CIVLA</v>
          </cell>
          <cell r="B3084" t="str">
            <v>650-99999-012-0002</v>
          </cell>
          <cell r="J3084">
            <v>179692.24</v>
          </cell>
        </row>
        <row r="3085">
          <cell r="A3085" t="str">
            <v>CIVLA</v>
          </cell>
          <cell r="B3085" t="str">
            <v>650-99999-012-0005</v>
          </cell>
          <cell r="J3085">
            <v>31150</v>
          </cell>
        </row>
        <row r="3086">
          <cell r="A3086" t="str">
            <v>CIVLA</v>
          </cell>
          <cell r="B3086" t="str">
            <v>650-99999-013-0000</v>
          </cell>
          <cell r="J3086">
            <v>717262.01</v>
          </cell>
        </row>
        <row r="3087">
          <cell r="A3087" t="str">
            <v>CIVLA</v>
          </cell>
          <cell r="B3087" t="str">
            <v>650-99999-013-0001</v>
          </cell>
          <cell r="J3087">
            <v>285500.01</v>
          </cell>
        </row>
        <row r="3088">
          <cell r="A3088" t="str">
            <v>CIVLA</v>
          </cell>
          <cell r="B3088" t="str">
            <v>650-99999-013-0002</v>
          </cell>
          <cell r="J3088">
            <v>431762</v>
          </cell>
        </row>
        <row r="3089">
          <cell r="A3089" t="str">
            <v>CIVLA</v>
          </cell>
          <cell r="B3089" t="str">
            <v>650-99999-020-0000</v>
          </cell>
          <cell r="J3089">
            <v>5000</v>
          </cell>
        </row>
        <row r="3090">
          <cell r="A3090" t="str">
            <v>CIVLA</v>
          </cell>
          <cell r="B3090" t="str">
            <v>650-99999-022-0000</v>
          </cell>
          <cell r="J3090">
            <v>3155.61</v>
          </cell>
        </row>
        <row r="3091">
          <cell r="A3091" t="str">
            <v>CIVLA</v>
          </cell>
          <cell r="B3091" t="str">
            <v>650-99999-022-0002</v>
          </cell>
          <cell r="J3091">
            <v>3155.61</v>
          </cell>
        </row>
        <row r="3092">
          <cell r="A3092" t="str">
            <v>CIVLA</v>
          </cell>
          <cell r="B3092" t="str">
            <v>650-99999-023-0000</v>
          </cell>
          <cell r="J3092">
            <v>45989.81</v>
          </cell>
        </row>
        <row r="3093">
          <cell r="A3093" t="str">
            <v>CIVLA</v>
          </cell>
          <cell r="B3093" t="str">
            <v>650-99999-025-0000</v>
          </cell>
          <cell r="J3093">
            <v>163733.51</v>
          </cell>
        </row>
        <row r="3094">
          <cell r="A3094" t="str">
            <v>CIVLA</v>
          </cell>
          <cell r="B3094" t="str">
            <v>650-99999-025-0001</v>
          </cell>
          <cell r="J3094">
            <v>163640.85</v>
          </cell>
        </row>
        <row r="3095">
          <cell r="A3095" t="str">
            <v>CIVLA</v>
          </cell>
          <cell r="B3095" t="str">
            <v>650-99999-025-0003</v>
          </cell>
          <cell r="J3095">
            <v>41.66</v>
          </cell>
        </row>
        <row r="3096">
          <cell r="A3096" t="str">
            <v>CIVLA</v>
          </cell>
          <cell r="B3096" t="str">
            <v>650-99999-025-0004</v>
          </cell>
          <cell r="J3096">
            <v>51</v>
          </cell>
        </row>
        <row r="3097">
          <cell r="A3097" t="str">
            <v>CIVLA</v>
          </cell>
          <cell r="B3097" t="str">
            <v>650-99999-026-0000</v>
          </cell>
          <cell r="J3097">
            <v>35632.480000000003</v>
          </cell>
        </row>
        <row r="3098">
          <cell r="A3098" t="str">
            <v>CIVLA</v>
          </cell>
          <cell r="B3098" t="str">
            <v>650-99999-030-0000</v>
          </cell>
          <cell r="J3098">
            <v>109427.58</v>
          </cell>
        </row>
        <row r="3099">
          <cell r="A3099" t="str">
            <v>CIVLA</v>
          </cell>
          <cell r="B3099" t="str">
            <v>650-99999-032-0000</v>
          </cell>
          <cell r="J3099">
            <v>8108.79</v>
          </cell>
        </row>
        <row r="3100">
          <cell r="A3100" t="str">
            <v>CIVLA</v>
          </cell>
          <cell r="B3100" t="str">
            <v>650-99999-033-0000</v>
          </cell>
          <cell r="J3100">
            <v>468116.55</v>
          </cell>
        </row>
        <row r="3101">
          <cell r="A3101" t="str">
            <v>CIVLA</v>
          </cell>
          <cell r="B3101" t="str">
            <v>650-99999-040-0000</v>
          </cell>
          <cell r="J3101">
            <v>40736</v>
          </cell>
        </row>
        <row r="3102">
          <cell r="A3102" t="str">
            <v>CIVLA</v>
          </cell>
          <cell r="B3102" t="str">
            <v>650-99999-046-0000</v>
          </cell>
          <cell r="J3102">
            <v>73493.240000000005</v>
          </cell>
        </row>
        <row r="3103">
          <cell r="A3103" t="str">
            <v>CIVLA</v>
          </cell>
          <cell r="B3103" t="str">
            <v>650-99999-060-0000</v>
          </cell>
          <cell r="J3103">
            <v>720317.41</v>
          </cell>
        </row>
        <row r="3104">
          <cell r="A3104" t="str">
            <v>CIVLA</v>
          </cell>
          <cell r="B3104" t="str">
            <v>650-99999-061-0000</v>
          </cell>
          <cell r="J3104">
            <v>3899.29</v>
          </cell>
        </row>
        <row r="3105">
          <cell r="A3105" t="str">
            <v>CIVLA</v>
          </cell>
          <cell r="B3105" t="str">
            <v>651-00000-000-0000</v>
          </cell>
          <cell r="J3105">
            <v>600000</v>
          </cell>
        </row>
        <row r="3106">
          <cell r="A3106" t="str">
            <v>CIVLA</v>
          </cell>
          <cell r="B3106" t="str">
            <v>651-99999-000-0000</v>
          </cell>
          <cell r="J3106">
            <v>600000</v>
          </cell>
        </row>
        <row r="3107">
          <cell r="A3107" t="str">
            <v>CIVLA</v>
          </cell>
          <cell r="B3107" t="str">
            <v>651-99999-010-0000</v>
          </cell>
          <cell r="J3107">
            <v>600000</v>
          </cell>
        </row>
        <row r="3108">
          <cell r="A3108" t="str">
            <v>CIVLA</v>
          </cell>
          <cell r="B3108" t="str">
            <v>651-99999-010-0001</v>
          </cell>
          <cell r="J3108">
            <v>600000</v>
          </cell>
        </row>
        <row r="3109">
          <cell r="A3109" t="str">
            <v>CIVLA</v>
          </cell>
          <cell r="B3109" t="str">
            <v>660-00000-000-0000</v>
          </cell>
          <cell r="J3109">
            <v>1040002.11</v>
          </cell>
        </row>
        <row r="3110">
          <cell r="A3110" t="str">
            <v>CIVLA</v>
          </cell>
          <cell r="B3110" t="str">
            <v>660-99999-000-0000</v>
          </cell>
          <cell r="J3110">
            <v>1040002.11</v>
          </cell>
        </row>
        <row r="3111">
          <cell r="A3111" t="str">
            <v>CIVLA</v>
          </cell>
          <cell r="B3111" t="str">
            <v>660-99999-034-0000</v>
          </cell>
          <cell r="J3111">
            <v>799174.18</v>
          </cell>
        </row>
        <row r="3112">
          <cell r="A3112" t="str">
            <v>CIVLA</v>
          </cell>
          <cell r="B3112" t="str">
            <v>660-99999-034-0001</v>
          </cell>
          <cell r="J3112">
            <v>33202.89</v>
          </cell>
        </row>
        <row r="3113">
          <cell r="A3113" t="str">
            <v>CIVLA</v>
          </cell>
          <cell r="B3113" t="str">
            <v>660-99999-034-0002</v>
          </cell>
          <cell r="J3113">
            <v>74885.440000000002</v>
          </cell>
        </row>
        <row r="3114">
          <cell r="A3114" t="str">
            <v>CIVLA</v>
          </cell>
          <cell r="B3114" t="str">
            <v>660-99999-034-0003</v>
          </cell>
          <cell r="J3114">
            <v>169889.65</v>
          </cell>
        </row>
        <row r="3115">
          <cell r="A3115" t="str">
            <v>CIVLA</v>
          </cell>
          <cell r="B3115" t="str">
            <v>660-99999-034-0004</v>
          </cell>
          <cell r="J3115">
            <v>521196.2</v>
          </cell>
        </row>
        <row r="3116">
          <cell r="A3116" t="str">
            <v>CIVLA</v>
          </cell>
          <cell r="B3116" t="str">
            <v>660-99999-035-0000</v>
          </cell>
          <cell r="J3116">
            <v>240827.93</v>
          </cell>
        </row>
        <row r="3117">
          <cell r="A3117" t="str">
            <v>CIVLA</v>
          </cell>
          <cell r="B3117" t="str">
            <v>660-99999-035-0001</v>
          </cell>
          <cell r="J3117">
            <v>240827.93</v>
          </cell>
        </row>
        <row r="3118">
          <cell r="A3118" t="str">
            <v>CIVLA</v>
          </cell>
          <cell r="B3118" t="str">
            <v>710-00000-000-0000</v>
          </cell>
          <cell r="J3118">
            <v>1713478.76</v>
          </cell>
        </row>
        <row r="3119">
          <cell r="A3119" t="str">
            <v>CIVLA</v>
          </cell>
          <cell r="B3119" t="str">
            <v>710-99999-000-0000</v>
          </cell>
          <cell r="J3119">
            <v>1713478.76</v>
          </cell>
        </row>
        <row r="3120">
          <cell r="A3120" t="str">
            <v>CIVLA</v>
          </cell>
          <cell r="B3120" t="str">
            <v>710-99999-001-0000</v>
          </cell>
          <cell r="J3120">
            <v>1619151.61</v>
          </cell>
        </row>
        <row r="3121">
          <cell r="A3121" t="str">
            <v>CIVLA</v>
          </cell>
          <cell r="B3121" t="str">
            <v>710-99999-001-0001</v>
          </cell>
          <cell r="J3121">
            <v>1601251.26</v>
          </cell>
        </row>
        <row r="3122">
          <cell r="A3122" t="str">
            <v>CIVLA</v>
          </cell>
          <cell r="B3122" t="str">
            <v>710-99999-001-0002</v>
          </cell>
          <cell r="J3122">
            <v>17900.349999999999</v>
          </cell>
        </row>
        <row r="3123">
          <cell r="A3123" t="str">
            <v>CIVLA</v>
          </cell>
          <cell r="B3123" t="str">
            <v>710-99999-002-0000</v>
          </cell>
          <cell r="J3123">
            <v>94327.15</v>
          </cell>
        </row>
        <row r="3124">
          <cell r="A3124" t="str">
            <v>CIVLA</v>
          </cell>
          <cell r="B3124" t="str">
            <v>710-99999-002-0001</v>
          </cell>
          <cell r="J3124">
            <v>78518.31</v>
          </cell>
        </row>
        <row r="3125">
          <cell r="A3125" t="str">
            <v>CIVLA</v>
          </cell>
          <cell r="B3125" t="str">
            <v>710-99999-002-0002</v>
          </cell>
          <cell r="J3125">
            <v>15808.84</v>
          </cell>
        </row>
        <row r="3126">
          <cell r="A3126" t="str">
            <v>CIVLA</v>
          </cell>
          <cell r="B3126" t="str">
            <v>740-00000-000-0000</v>
          </cell>
          <cell r="J3126">
            <v>555549.23</v>
          </cell>
        </row>
        <row r="3127">
          <cell r="A3127" t="str">
            <v>CIVLA</v>
          </cell>
          <cell r="B3127" t="str">
            <v>740-99999-000-0000</v>
          </cell>
          <cell r="J3127">
            <v>555549.23</v>
          </cell>
        </row>
        <row r="3128">
          <cell r="A3128" t="str">
            <v>CIVLA</v>
          </cell>
          <cell r="B3128" t="str">
            <v>740-99999-001-0000</v>
          </cell>
          <cell r="J3128">
            <v>555549.23</v>
          </cell>
        </row>
        <row r="3129">
          <cell r="A3129" t="str">
            <v>CIVLA</v>
          </cell>
          <cell r="J3129">
            <v>0</v>
          </cell>
        </row>
        <row r="3130">
          <cell r="A3130" t="str">
            <v>CIVLA</v>
          </cell>
          <cell r="J3130">
            <v>0</v>
          </cell>
        </row>
        <row r="3131">
          <cell r="A3131" t="str">
            <v>CIVLA</v>
          </cell>
          <cell r="J3131">
            <v>0</v>
          </cell>
        </row>
        <row r="3132">
          <cell r="A3132" t="str">
            <v>CIVLA</v>
          </cell>
          <cell r="J3132">
            <v>0</v>
          </cell>
        </row>
        <row r="3133">
          <cell r="A3133" t="str">
            <v>CIVLA</v>
          </cell>
          <cell r="J3133">
            <v>0</v>
          </cell>
        </row>
        <row r="3134">
          <cell r="A3134" t="str">
            <v>CIVLA</v>
          </cell>
          <cell r="J3134">
            <v>0</v>
          </cell>
        </row>
        <row r="3135">
          <cell r="A3135" t="str">
            <v>CIVLA</v>
          </cell>
          <cell r="J3135">
            <v>0</v>
          </cell>
        </row>
        <row r="3136">
          <cell r="A3136" t="str">
            <v>CIVLA</v>
          </cell>
          <cell r="J3136">
            <v>0</v>
          </cell>
        </row>
        <row r="3137">
          <cell r="A3137" t="str">
            <v>CIVLA</v>
          </cell>
          <cell r="J3137">
            <v>0</v>
          </cell>
        </row>
        <row r="3138">
          <cell r="A3138" t="str">
            <v>CIVLA</v>
          </cell>
          <cell r="J3138">
            <v>0</v>
          </cell>
        </row>
        <row r="3139">
          <cell r="A3139" t="str">
            <v>CIVLA</v>
          </cell>
          <cell r="J3139">
            <v>0</v>
          </cell>
        </row>
        <row r="3140">
          <cell r="A3140" t="str">
            <v>CIVLA</v>
          </cell>
          <cell r="J3140">
            <v>0</v>
          </cell>
        </row>
        <row r="3141">
          <cell r="A3141" t="str">
            <v>CIVLA</v>
          </cell>
          <cell r="J3141">
            <v>0</v>
          </cell>
        </row>
        <row r="3142">
          <cell r="A3142" t="str">
            <v>CIVLA</v>
          </cell>
          <cell r="J3142">
            <v>0</v>
          </cell>
        </row>
        <row r="3143">
          <cell r="A3143" t="str">
            <v>CIVLA</v>
          </cell>
          <cell r="J3143">
            <v>0</v>
          </cell>
        </row>
        <row r="3144">
          <cell r="A3144" t="str">
            <v>CIVLA</v>
          </cell>
          <cell r="J3144">
            <v>0</v>
          </cell>
        </row>
        <row r="3145">
          <cell r="A3145" t="str">
            <v>CIVLA</v>
          </cell>
          <cell r="J3145">
            <v>0</v>
          </cell>
        </row>
        <row r="3146">
          <cell r="A3146" t="str">
            <v>CIVLA</v>
          </cell>
          <cell r="J3146">
            <v>0</v>
          </cell>
        </row>
        <row r="3147">
          <cell r="A3147" t="str">
            <v>CIVLA</v>
          </cell>
          <cell r="J3147">
            <v>0</v>
          </cell>
        </row>
        <row r="3148">
          <cell r="A3148" t="str">
            <v>CIVLA</v>
          </cell>
          <cell r="J3148">
            <v>0</v>
          </cell>
        </row>
        <row r="3149">
          <cell r="A3149" t="str">
            <v>CIVLA</v>
          </cell>
          <cell r="J3149">
            <v>0</v>
          </cell>
        </row>
        <row r="3150">
          <cell r="A3150" t="str">
            <v>CIVLA</v>
          </cell>
          <cell r="J3150">
            <v>0</v>
          </cell>
        </row>
        <row r="3151">
          <cell r="A3151" t="str">
            <v>CIVLA</v>
          </cell>
          <cell r="J3151">
            <v>0</v>
          </cell>
        </row>
        <row r="3152">
          <cell r="A3152" t="str">
            <v>CIVLA</v>
          </cell>
          <cell r="J3152">
            <v>0</v>
          </cell>
        </row>
        <row r="3153">
          <cell r="A3153" t="str">
            <v>CIVLA</v>
          </cell>
          <cell r="J3153">
            <v>0</v>
          </cell>
        </row>
        <row r="3154">
          <cell r="A3154" t="str">
            <v>CIVLA</v>
          </cell>
          <cell r="J3154">
            <v>0</v>
          </cell>
        </row>
        <row r="3155">
          <cell r="A3155" t="str">
            <v>CIVLA</v>
          </cell>
          <cell r="J3155">
            <v>0</v>
          </cell>
        </row>
        <row r="3156">
          <cell r="A3156" t="str">
            <v>CIVLA</v>
          </cell>
          <cell r="J3156">
            <v>0</v>
          </cell>
        </row>
        <row r="3157">
          <cell r="A3157" t="str">
            <v>CIVLA</v>
          </cell>
          <cell r="J3157">
            <v>0</v>
          </cell>
        </row>
        <row r="3158">
          <cell r="A3158" t="str">
            <v>CIVLA</v>
          </cell>
          <cell r="J3158">
            <v>0</v>
          </cell>
        </row>
        <row r="3159">
          <cell r="A3159" t="str">
            <v>CIVLA</v>
          </cell>
          <cell r="J3159">
            <v>0</v>
          </cell>
        </row>
        <row r="3160">
          <cell r="A3160" t="str">
            <v>CIVLA</v>
          </cell>
          <cell r="J3160">
            <v>0</v>
          </cell>
        </row>
        <row r="3161">
          <cell r="A3161" t="str">
            <v>CIVLA</v>
          </cell>
          <cell r="J3161">
            <v>0</v>
          </cell>
        </row>
        <row r="3162">
          <cell r="A3162" t="str">
            <v>CIVLA</v>
          </cell>
          <cell r="J3162">
            <v>0</v>
          </cell>
        </row>
        <row r="3163">
          <cell r="A3163" t="str">
            <v>CIVLA</v>
          </cell>
          <cell r="J3163">
            <v>0</v>
          </cell>
        </row>
        <row r="3164">
          <cell r="A3164" t="str">
            <v>CIVLA</v>
          </cell>
          <cell r="J3164">
            <v>0</v>
          </cell>
        </row>
        <row r="3165">
          <cell r="A3165" t="str">
            <v>CIVLA</v>
          </cell>
          <cell r="J3165">
            <v>0</v>
          </cell>
        </row>
        <row r="3166">
          <cell r="A3166" t="str">
            <v>CIVLA</v>
          </cell>
          <cell r="J3166">
            <v>0</v>
          </cell>
        </row>
        <row r="3167">
          <cell r="A3167" t="str">
            <v>CIVLA</v>
          </cell>
          <cell r="J3167">
            <v>0</v>
          </cell>
        </row>
        <row r="3168">
          <cell r="A3168" t="str">
            <v>CIVLA</v>
          </cell>
          <cell r="J3168">
            <v>0</v>
          </cell>
        </row>
        <row r="3169">
          <cell r="A3169" t="str">
            <v>CIVLA</v>
          </cell>
          <cell r="J3169">
            <v>0</v>
          </cell>
        </row>
        <row r="3170">
          <cell r="A3170" t="str">
            <v>CIVLA</v>
          </cell>
          <cell r="J3170">
            <v>0</v>
          </cell>
        </row>
        <row r="3171">
          <cell r="A3171" t="str">
            <v>CIVLA</v>
          </cell>
          <cell r="J3171">
            <v>0</v>
          </cell>
        </row>
        <row r="3172">
          <cell r="A3172" t="str">
            <v>CIVLA</v>
          </cell>
          <cell r="J3172">
            <v>0</v>
          </cell>
        </row>
        <row r="3173">
          <cell r="A3173" t="str">
            <v>CIVLA</v>
          </cell>
          <cell r="J3173">
            <v>0</v>
          </cell>
        </row>
        <row r="3174">
          <cell r="A3174" t="str">
            <v>CIVLA</v>
          </cell>
          <cell r="J3174">
            <v>0</v>
          </cell>
        </row>
        <row r="3175">
          <cell r="A3175" t="str">
            <v>CIVLA</v>
          </cell>
          <cell r="J3175">
            <v>0</v>
          </cell>
        </row>
        <row r="3176">
          <cell r="A3176" t="str">
            <v>CIVLA</v>
          </cell>
          <cell r="J3176">
            <v>0</v>
          </cell>
        </row>
        <row r="3177">
          <cell r="A3177" t="str">
            <v>CIVLA</v>
          </cell>
          <cell r="J3177">
            <v>0</v>
          </cell>
        </row>
        <row r="3178">
          <cell r="A3178" t="str">
            <v>CIVLA</v>
          </cell>
          <cell r="J3178">
            <v>0</v>
          </cell>
        </row>
        <row r="3179">
          <cell r="A3179" t="str">
            <v>CIVLA</v>
          </cell>
          <cell r="J3179">
            <v>0</v>
          </cell>
        </row>
        <row r="3180">
          <cell r="A3180" t="str">
            <v>CIVLA</v>
          </cell>
          <cell r="J3180">
            <v>0</v>
          </cell>
        </row>
        <row r="3181">
          <cell r="A3181" t="str">
            <v>CIVLA</v>
          </cell>
          <cell r="J3181">
            <v>0</v>
          </cell>
        </row>
        <row r="3182">
          <cell r="A3182" t="str">
            <v>CIVLA</v>
          </cell>
          <cell r="J3182">
            <v>0</v>
          </cell>
        </row>
        <row r="3183">
          <cell r="A3183" t="str">
            <v>CIVLA</v>
          </cell>
          <cell r="J3183">
            <v>0</v>
          </cell>
        </row>
        <row r="3184">
          <cell r="A3184" t="str">
            <v>CIVLA</v>
          </cell>
          <cell r="J3184">
            <v>0</v>
          </cell>
        </row>
        <row r="3185">
          <cell r="A3185" t="str">
            <v>CIVLA</v>
          </cell>
          <cell r="J3185">
            <v>0</v>
          </cell>
        </row>
        <row r="3186">
          <cell r="A3186" t="str">
            <v>CIVLA</v>
          </cell>
          <cell r="J3186">
            <v>0</v>
          </cell>
        </row>
        <row r="3187">
          <cell r="A3187" t="str">
            <v>CIVLA</v>
          </cell>
          <cell r="J3187">
            <v>0</v>
          </cell>
        </row>
        <row r="3188">
          <cell r="A3188" t="str">
            <v>CIVLA</v>
          </cell>
          <cell r="J3188">
            <v>0</v>
          </cell>
        </row>
        <row r="3189">
          <cell r="A3189" t="str">
            <v>CIVLA</v>
          </cell>
          <cell r="J3189">
            <v>0</v>
          </cell>
        </row>
        <row r="3190">
          <cell r="A3190" t="str">
            <v>CIVLA</v>
          </cell>
          <cell r="J3190">
            <v>0</v>
          </cell>
        </row>
        <row r="3191">
          <cell r="A3191" t="str">
            <v>CIVLA</v>
          </cell>
          <cell r="J3191">
            <v>0</v>
          </cell>
        </row>
        <row r="3192">
          <cell r="A3192" t="str">
            <v>CIVLA</v>
          </cell>
          <cell r="J3192">
            <v>0</v>
          </cell>
        </row>
        <row r="3193">
          <cell r="A3193" t="str">
            <v>CIVLA</v>
          </cell>
          <cell r="J3193">
            <v>0</v>
          </cell>
        </row>
        <row r="3194">
          <cell r="A3194" t="str">
            <v>CIVLA</v>
          </cell>
          <cell r="J3194">
            <v>0</v>
          </cell>
        </row>
        <row r="3195">
          <cell r="A3195" t="str">
            <v>CIVLA</v>
          </cell>
          <cell r="J3195">
            <v>0</v>
          </cell>
        </row>
        <row r="3196">
          <cell r="A3196" t="str">
            <v>CIVLA</v>
          </cell>
          <cell r="J3196">
            <v>0</v>
          </cell>
        </row>
        <row r="3197">
          <cell r="A3197" t="str">
            <v>CIVLA</v>
          </cell>
          <cell r="J3197">
            <v>0</v>
          </cell>
        </row>
        <row r="3198">
          <cell r="A3198" t="str">
            <v>CIVLA</v>
          </cell>
          <cell r="J3198">
            <v>0</v>
          </cell>
        </row>
        <row r="3199">
          <cell r="A3199" t="str">
            <v>CIVLA</v>
          </cell>
          <cell r="J3199">
            <v>0</v>
          </cell>
        </row>
        <row r="3200">
          <cell r="A3200" t="str">
            <v>CIVLA</v>
          </cell>
          <cell r="J3200">
            <v>0</v>
          </cell>
        </row>
        <row r="3201">
          <cell r="A3201" t="str">
            <v>CIVLA</v>
          </cell>
          <cell r="J3201">
            <v>0</v>
          </cell>
        </row>
        <row r="3202">
          <cell r="A3202" t="str">
            <v>CIVLA</v>
          </cell>
          <cell r="J3202">
            <v>0</v>
          </cell>
        </row>
        <row r="3203">
          <cell r="A3203" t="str">
            <v>CIVLA</v>
          </cell>
          <cell r="J3203">
            <v>0</v>
          </cell>
        </row>
        <row r="3204">
          <cell r="A3204" t="str">
            <v>CIVLA</v>
          </cell>
          <cell r="J3204">
            <v>0</v>
          </cell>
        </row>
        <row r="3205">
          <cell r="A3205" t="str">
            <v>CIVLA</v>
          </cell>
          <cell r="J3205">
            <v>0</v>
          </cell>
        </row>
        <row r="3206">
          <cell r="A3206" t="str">
            <v>CIVLA</v>
          </cell>
          <cell r="J3206">
            <v>0</v>
          </cell>
        </row>
        <row r="3207">
          <cell r="A3207" t="str">
            <v>CIVLA</v>
          </cell>
          <cell r="J3207">
            <v>0</v>
          </cell>
        </row>
        <row r="3208">
          <cell r="A3208" t="str">
            <v>CIVLA</v>
          </cell>
          <cell r="J3208">
            <v>0</v>
          </cell>
        </row>
        <row r="3209">
          <cell r="A3209" t="str">
            <v>CIVLA</v>
          </cell>
          <cell r="J3209">
            <v>0</v>
          </cell>
        </row>
        <row r="3210">
          <cell r="A3210" t="str">
            <v>CIVLA</v>
          </cell>
          <cell r="J3210">
            <v>0</v>
          </cell>
        </row>
        <row r="3211">
          <cell r="A3211" t="str">
            <v>CIVLA</v>
          </cell>
          <cell r="J3211">
            <v>0</v>
          </cell>
        </row>
        <row r="3212">
          <cell r="A3212" t="str">
            <v>CIVLA</v>
          </cell>
          <cell r="J3212">
            <v>0</v>
          </cell>
        </row>
        <row r="3213">
          <cell r="A3213" t="str">
            <v>CIVLA</v>
          </cell>
          <cell r="J3213">
            <v>0</v>
          </cell>
        </row>
        <row r="3214">
          <cell r="A3214" t="str">
            <v>CIVLA</v>
          </cell>
          <cell r="J3214">
            <v>0</v>
          </cell>
        </row>
        <row r="3215">
          <cell r="A3215" t="str">
            <v>CIVLA</v>
          </cell>
          <cell r="J3215">
            <v>0</v>
          </cell>
        </row>
        <row r="3216">
          <cell r="A3216" t="str">
            <v>CIVLA</v>
          </cell>
          <cell r="J3216">
            <v>0</v>
          </cell>
        </row>
        <row r="3217">
          <cell r="A3217" t="str">
            <v>CIVLA</v>
          </cell>
          <cell r="J3217">
            <v>0</v>
          </cell>
        </row>
        <row r="3218">
          <cell r="A3218" t="str">
            <v>CIVLA</v>
          </cell>
          <cell r="J3218">
            <v>0</v>
          </cell>
        </row>
        <row r="3219">
          <cell r="A3219" t="str">
            <v>CIVLA</v>
          </cell>
          <cell r="J3219">
            <v>0</v>
          </cell>
        </row>
        <row r="3220">
          <cell r="A3220" t="str">
            <v>CIVLA</v>
          </cell>
          <cell r="J3220">
            <v>0</v>
          </cell>
        </row>
        <row r="3221">
          <cell r="A3221" t="str">
            <v>CIVLA</v>
          </cell>
          <cell r="J3221">
            <v>0</v>
          </cell>
        </row>
        <row r="3222">
          <cell r="A3222" t="str">
            <v>CIVLA</v>
          </cell>
          <cell r="J3222">
            <v>0</v>
          </cell>
        </row>
        <row r="3223">
          <cell r="A3223" t="str">
            <v>CIVLA</v>
          </cell>
          <cell r="J3223">
            <v>0</v>
          </cell>
        </row>
        <row r="3224">
          <cell r="A3224" t="str">
            <v>CIVLA</v>
          </cell>
          <cell r="J3224">
            <v>0</v>
          </cell>
        </row>
        <row r="3225">
          <cell r="A3225" t="str">
            <v>CIVLA</v>
          </cell>
          <cell r="J3225">
            <v>0</v>
          </cell>
        </row>
        <row r="3226">
          <cell r="A3226" t="str">
            <v>CIVLA</v>
          </cell>
          <cell r="J3226">
            <v>0</v>
          </cell>
        </row>
        <row r="3227">
          <cell r="A3227" t="str">
            <v>CIVLA</v>
          </cell>
          <cell r="J3227">
            <v>0</v>
          </cell>
        </row>
        <row r="3228">
          <cell r="A3228" t="str">
            <v>CIVLA</v>
          </cell>
          <cell r="J3228">
            <v>0</v>
          </cell>
        </row>
        <row r="3229">
          <cell r="A3229" t="str">
            <v>CIVLA</v>
          </cell>
          <cell r="J3229">
            <v>0</v>
          </cell>
        </row>
        <row r="3230">
          <cell r="A3230" t="str">
            <v>CIVLA</v>
          </cell>
          <cell r="J3230">
            <v>0</v>
          </cell>
        </row>
        <row r="3231">
          <cell r="A3231" t="str">
            <v>CIVLA</v>
          </cell>
          <cell r="J3231">
            <v>0</v>
          </cell>
        </row>
        <row r="3232">
          <cell r="A3232" t="str">
            <v>CIVLA</v>
          </cell>
          <cell r="J3232">
            <v>0</v>
          </cell>
        </row>
        <row r="3233">
          <cell r="A3233" t="str">
            <v>CIVLA</v>
          </cell>
          <cell r="J3233">
            <v>0</v>
          </cell>
        </row>
        <row r="3234">
          <cell r="A3234" t="str">
            <v>CIVLA</v>
          </cell>
          <cell r="J3234">
            <v>0</v>
          </cell>
        </row>
        <row r="3235">
          <cell r="A3235" t="str">
            <v>CIVLA</v>
          </cell>
          <cell r="J3235">
            <v>0</v>
          </cell>
        </row>
        <row r="3236">
          <cell r="A3236" t="str">
            <v>CIVLA</v>
          </cell>
          <cell r="J3236">
            <v>0</v>
          </cell>
        </row>
        <row r="3237">
          <cell r="A3237" t="str">
            <v>CIVLA</v>
          </cell>
          <cell r="J3237">
            <v>0</v>
          </cell>
        </row>
        <row r="3238">
          <cell r="A3238" t="str">
            <v>CIVLA</v>
          </cell>
          <cell r="J3238">
            <v>0</v>
          </cell>
        </row>
        <row r="3239">
          <cell r="A3239" t="str">
            <v>CIVLA</v>
          </cell>
          <cell r="J3239">
            <v>0</v>
          </cell>
        </row>
        <row r="3240">
          <cell r="A3240" t="str">
            <v>CIVLA</v>
          </cell>
          <cell r="J3240">
            <v>0</v>
          </cell>
        </row>
        <row r="3241">
          <cell r="A3241" t="str">
            <v>CIVLA</v>
          </cell>
          <cell r="J3241">
            <v>0</v>
          </cell>
        </row>
        <row r="3242">
          <cell r="A3242" t="str">
            <v>CIVLA</v>
          </cell>
          <cell r="J3242">
            <v>0</v>
          </cell>
        </row>
        <row r="3243">
          <cell r="A3243" t="str">
            <v>CIVLA</v>
          </cell>
          <cell r="J3243">
            <v>0</v>
          </cell>
        </row>
        <row r="3244">
          <cell r="A3244" t="str">
            <v>CIVLA</v>
          </cell>
          <cell r="J3244">
            <v>0</v>
          </cell>
        </row>
        <row r="3245">
          <cell r="A3245" t="str">
            <v>CIVLA</v>
          </cell>
          <cell r="J3245">
            <v>0</v>
          </cell>
        </row>
        <row r="3246">
          <cell r="A3246" t="str">
            <v>CIVLA</v>
          </cell>
          <cell r="J3246">
            <v>0</v>
          </cell>
        </row>
        <row r="3247">
          <cell r="A3247" t="str">
            <v>CIVLA</v>
          </cell>
          <cell r="J3247">
            <v>0</v>
          </cell>
        </row>
        <row r="3248">
          <cell r="A3248" t="str">
            <v>CIVLA</v>
          </cell>
          <cell r="J3248">
            <v>0</v>
          </cell>
        </row>
        <row r="3249">
          <cell r="A3249" t="str">
            <v>CIVLA</v>
          </cell>
          <cell r="J3249">
            <v>0</v>
          </cell>
        </row>
        <row r="3250">
          <cell r="A3250" t="str">
            <v>CIVLA</v>
          </cell>
          <cell r="J3250">
            <v>0</v>
          </cell>
        </row>
        <row r="3251">
          <cell r="A3251" t="str">
            <v>CIVLA</v>
          </cell>
          <cell r="J3251">
            <v>0</v>
          </cell>
        </row>
        <row r="3252">
          <cell r="A3252" t="str">
            <v>CIVLA</v>
          </cell>
          <cell r="J3252">
            <v>0</v>
          </cell>
        </row>
        <row r="3253">
          <cell r="A3253" t="str">
            <v>CIVLA</v>
          </cell>
          <cell r="J3253">
            <v>0</v>
          </cell>
        </row>
        <row r="3254">
          <cell r="A3254" t="str">
            <v>CIVLA</v>
          </cell>
          <cell r="J3254">
            <v>0</v>
          </cell>
        </row>
        <row r="3255">
          <cell r="A3255" t="str">
            <v>CIVLA</v>
          </cell>
          <cell r="J3255">
            <v>0</v>
          </cell>
        </row>
        <row r="3256">
          <cell r="A3256" t="str">
            <v>CIVLA</v>
          </cell>
          <cell r="J3256">
            <v>0</v>
          </cell>
        </row>
        <row r="3257">
          <cell r="A3257" t="str">
            <v>CIVLA</v>
          </cell>
          <cell r="J3257">
            <v>0</v>
          </cell>
        </row>
        <row r="3258">
          <cell r="A3258" t="str">
            <v>CIVLA</v>
          </cell>
          <cell r="J3258">
            <v>0</v>
          </cell>
        </row>
        <row r="3259">
          <cell r="A3259" t="str">
            <v>CIVLA</v>
          </cell>
          <cell r="J3259">
            <v>0</v>
          </cell>
        </row>
        <row r="3260">
          <cell r="A3260" t="str">
            <v>CIVLA</v>
          </cell>
          <cell r="J3260">
            <v>0</v>
          </cell>
        </row>
        <row r="3261">
          <cell r="A3261" t="str">
            <v>CIVLA</v>
          </cell>
          <cell r="J3261">
            <v>0</v>
          </cell>
        </row>
        <row r="3262">
          <cell r="A3262" t="str">
            <v>CIVLA</v>
          </cell>
          <cell r="J3262">
            <v>0</v>
          </cell>
        </row>
        <row r="3263">
          <cell r="A3263" t="str">
            <v>CIVLA</v>
          </cell>
          <cell r="J3263">
            <v>0</v>
          </cell>
        </row>
        <row r="3264">
          <cell r="A3264" t="str">
            <v>CIVLA</v>
          </cell>
          <cell r="J3264">
            <v>0</v>
          </cell>
        </row>
        <row r="3265">
          <cell r="A3265" t="str">
            <v>CIVLA</v>
          </cell>
          <cell r="J3265">
            <v>0</v>
          </cell>
        </row>
        <row r="3266">
          <cell r="A3266" t="str">
            <v>CIVLA</v>
          </cell>
          <cell r="J3266">
            <v>0</v>
          </cell>
        </row>
        <row r="3267">
          <cell r="A3267" t="str">
            <v>CIVLA</v>
          </cell>
          <cell r="J3267">
            <v>0</v>
          </cell>
        </row>
        <row r="3268">
          <cell r="A3268" t="str">
            <v>CIVLA</v>
          </cell>
          <cell r="J3268">
            <v>0</v>
          </cell>
        </row>
        <row r="3269">
          <cell r="A3269" t="str">
            <v>CIVLA</v>
          </cell>
          <cell r="J3269">
            <v>0</v>
          </cell>
        </row>
        <row r="3270">
          <cell r="A3270" t="str">
            <v>CIVLA</v>
          </cell>
          <cell r="J3270">
            <v>0</v>
          </cell>
        </row>
        <row r="3271">
          <cell r="A3271" t="str">
            <v>CIVLA</v>
          </cell>
          <cell r="J3271">
            <v>0</v>
          </cell>
        </row>
        <row r="3272">
          <cell r="A3272" t="str">
            <v>CIVLA</v>
          </cell>
          <cell r="J3272">
            <v>0</v>
          </cell>
        </row>
        <row r="3273">
          <cell r="A3273" t="str">
            <v>CIVLA</v>
          </cell>
          <cell r="J3273">
            <v>0</v>
          </cell>
        </row>
        <row r="3274">
          <cell r="A3274" t="str">
            <v>CIVLA</v>
          </cell>
          <cell r="J3274">
            <v>0</v>
          </cell>
        </row>
        <row r="3275">
          <cell r="A3275" t="str">
            <v>CIVLA</v>
          </cell>
          <cell r="J3275">
            <v>0</v>
          </cell>
        </row>
        <row r="3276">
          <cell r="A3276" t="str">
            <v>CIVLA</v>
          </cell>
          <cell r="J3276">
            <v>0</v>
          </cell>
        </row>
        <row r="3277">
          <cell r="A3277" t="str">
            <v>CIVLA</v>
          </cell>
          <cell r="J3277">
            <v>0</v>
          </cell>
        </row>
        <row r="3278">
          <cell r="A3278" t="str">
            <v>CIVLA</v>
          </cell>
          <cell r="J3278">
            <v>0</v>
          </cell>
        </row>
        <row r="3279">
          <cell r="A3279" t="str">
            <v>CIVLA</v>
          </cell>
          <cell r="J3279">
            <v>0</v>
          </cell>
        </row>
        <row r="3280">
          <cell r="A3280" t="str">
            <v>CIVLA</v>
          </cell>
          <cell r="J3280">
            <v>0</v>
          </cell>
        </row>
        <row r="3281">
          <cell r="A3281" t="str">
            <v>CIVLA</v>
          </cell>
          <cell r="J3281">
            <v>0</v>
          </cell>
        </row>
        <row r="3282">
          <cell r="A3282" t="str">
            <v>CIVLA</v>
          </cell>
          <cell r="J3282">
            <v>0</v>
          </cell>
        </row>
        <row r="3283">
          <cell r="A3283" t="str">
            <v>CIVLA</v>
          </cell>
          <cell r="J3283">
            <v>0</v>
          </cell>
        </row>
        <row r="3284">
          <cell r="A3284" t="str">
            <v>CIVLA</v>
          </cell>
          <cell r="J3284">
            <v>0</v>
          </cell>
        </row>
        <row r="3285">
          <cell r="A3285" t="str">
            <v>CIVLA</v>
          </cell>
          <cell r="J3285">
            <v>0</v>
          </cell>
        </row>
        <row r="3286">
          <cell r="A3286" t="str">
            <v>CIVLA</v>
          </cell>
          <cell r="J3286">
            <v>0</v>
          </cell>
        </row>
        <row r="3287">
          <cell r="A3287" t="str">
            <v>CIVLA</v>
          </cell>
          <cell r="J3287">
            <v>0</v>
          </cell>
        </row>
        <row r="3288">
          <cell r="A3288" t="str">
            <v>CIVLA</v>
          </cell>
          <cell r="J3288">
            <v>0</v>
          </cell>
        </row>
        <row r="3289">
          <cell r="A3289" t="str">
            <v>CIVLA</v>
          </cell>
          <cell r="J3289">
            <v>0</v>
          </cell>
        </row>
        <row r="3290">
          <cell r="A3290" t="str">
            <v>CIVLA</v>
          </cell>
          <cell r="J3290">
            <v>0</v>
          </cell>
        </row>
        <row r="3291">
          <cell r="A3291" t="str">
            <v>CIVLA</v>
          </cell>
          <cell r="J3291">
            <v>0</v>
          </cell>
        </row>
        <row r="3292">
          <cell r="A3292" t="str">
            <v>CIVLA</v>
          </cell>
          <cell r="J3292">
            <v>0</v>
          </cell>
        </row>
        <row r="3293">
          <cell r="A3293" t="str">
            <v>CIVLA</v>
          </cell>
          <cell r="J3293">
            <v>0</v>
          </cell>
        </row>
        <row r="3294">
          <cell r="A3294" t="str">
            <v>CIVLA</v>
          </cell>
          <cell r="J3294">
            <v>0</v>
          </cell>
        </row>
        <row r="3295">
          <cell r="A3295" t="str">
            <v>CIVLA</v>
          </cell>
          <cell r="J3295">
            <v>0</v>
          </cell>
        </row>
        <row r="3296">
          <cell r="A3296" t="str">
            <v>CIVLA</v>
          </cell>
          <cell r="J3296">
            <v>0</v>
          </cell>
        </row>
        <row r="3297">
          <cell r="A3297" t="str">
            <v>CIVLA</v>
          </cell>
          <cell r="J3297">
            <v>0</v>
          </cell>
        </row>
        <row r="3298">
          <cell r="A3298" t="str">
            <v>CIVLA</v>
          </cell>
          <cell r="J3298">
            <v>0</v>
          </cell>
        </row>
        <row r="3299">
          <cell r="A3299" t="str">
            <v>CIVLA</v>
          </cell>
          <cell r="J3299">
            <v>0</v>
          </cell>
        </row>
        <row r="3300">
          <cell r="A3300" t="str">
            <v>CIVLA</v>
          </cell>
          <cell r="J3300">
            <v>0</v>
          </cell>
        </row>
        <row r="3301">
          <cell r="A3301" t="str">
            <v>CIVLA</v>
          </cell>
          <cell r="J3301">
            <v>0</v>
          </cell>
        </row>
        <row r="3302">
          <cell r="A3302" t="str">
            <v>CIVLA</v>
          </cell>
          <cell r="J3302">
            <v>0</v>
          </cell>
        </row>
        <row r="3303">
          <cell r="A3303" t="str">
            <v>CIVLA</v>
          </cell>
          <cell r="J3303">
            <v>0</v>
          </cell>
        </row>
        <row r="3304">
          <cell r="A3304" t="str">
            <v>CIVLA</v>
          </cell>
          <cell r="J3304">
            <v>0</v>
          </cell>
        </row>
        <row r="3305">
          <cell r="A3305" t="str">
            <v>CIVLA</v>
          </cell>
          <cell r="J3305">
            <v>0</v>
          </cell>
        </row>
        <row r="3306">
          <cell r="A3306" t="str">
            <v>CIVLA</v>
          </cell>
          <cell r="J3306">
            <v>0</v>
          </cell>
        </row>
        <row r="3307">
          <cell r="A3307" t="str">
            <v>CIVLA</v>
          </cell>
          <cell r="J3307">
            <v>0</v>
          </cell>
        </row>
        <row r="3308">
          <cell r="A3308" t="str">
            <v>CIVLA</v>
          </cell>
          <cell r="J3308">
            <v>0</v>
          </cell>
        </row>
        <row r="3309">
          <cell r="A3309" t="str">
            <v>CIVLA</v>
          </cell>
          <cell r="J3309">
            <v>0</v>
          </cell>
        </row>
        <row r="3310">
          <cell r="A3310" t="str">
            <v>CIVLA</v>
          </cell>
          <cell r="J3310">
            <v>0</v>
          </cell>
        </row>
        <row r="3311">
          <cell r="A3311" t="str">
            <v>CIVLA</v>
          </cell>
          <cell r="J3311">
            <v>0</v>
          </cell>
        </row>
        <row r="3312">
          <cell r="A3312" t="str">
            <v>CIVLA</v>
          </cell>
          <cell r="J3312">
            <v>0</v>
          </cell>
        </row>
        <row r="3313">
          <cell r="A3313" t="str">
            <v>CIVLA</v>
          </cell>
          <cell r="J3313">
            <v>0</v>
          </cell>
        </row>
        <row r="3314">
          <cell r="A3314" t="str">
            <v>CIVLA</v>
          </cell>
          <cell r="J3314">
            <v>0</v>
          </cell>
        </row>
        <row r="3315">
          <cell r="A3315" t="str">
            <v>CIVLA</v>
          </cell>
          <cell r="J3315">
            <v>0</v>
          </cell>
        </row>
        <row r="3316">
          <cell r="A3316" t="str">
            <v>CIVLA</v>
          </cell>
          <cell r="J3316">
            <v>0</v>
          </cell>
        </row>
        <row r="3317">
          <cell r="A3317" t="str">
            <v>CIVLA</v>
          </cell>
          <cell r="J3317">
            <v>0</v>
          </cell>
        </row>
        <row r="3318">
          <cell r="A3318" t="str">
            <v>CIVLA</v>
          </cell>
          <cell r="J3318">
            <v>0</v>
          </cell>
        </row>
        <row r="3319">
          <cell r="A3319" t="str">
            <v>CIVLA</v>
          </cell>
          <cell r="J3319">
            <v>0</v>
          </cell>
        </row>
        <row r="3320">
          <cell r="A3320" t="str">
            <v>CIVLA</v>
          </cell>
          <cell r="J3320">
            <v>0</v>
          </cell>
        </row>
        <row r="3321">
          <cell r="A3321" t="str">
            <v>CIVLA</v>
          </cell>
          <cell r="J3321">
            <v>0</v>
          </cell>
        </row>
        <row r="3322">
          <cell r="A3322" t="str">
            <v>CIVLA</v>
          </cell>
          <cell r="J3322">
            <v>0</v>
          </cell>
        </row>
        <row r="3323">
          <cell r="A3323" t="str">
            <v>CIVLA</v>
          </cell>
          <cell r="J3323">
            <v>0</v>
          </cell>
        </row>
        <row r="3324">
          <cell r="A3324" t="str">
            <v>CIVLA</v>
          </cell>
          <cell r="J3324">
            <v>0</v>
          </cell>
        </row>
        <row r="3325">
          <cell r="A3325" t="str">
            <v>CIVLA</v>
          </cell>
          <cell r="J3325">
            <v>0</v>
          </cell>
        </row>
        <row r="3326">
          <cell r="A3326" t="str">
            <v>CIVLA</v>
          </cell>
          <cell r="J3326">
            <v>0</v>
          </cell>
        </row>
        <row r="3327">
          <cell r="A3327" t="str">
            <v>CIVLA</v>
          </cell>
          <cell r="J3327">
            <v>0</v>
          </cell>
        </row>
        <row r="3328">
          <cell r="A3328" t="str">
            <v>CIVLA</v>
          </cell>
          <cell r="J3328">
            <v>0</v>
          </cell>
        </row>
        <row r="3329">
          <cell r="A3329" t="str">
            <v>CIVLA</v>
          </cell>
          <cell r="J3329">
            <v>0</v>
          </cell>
        </row>
        <row r="3330">
          <cell r="A3330" t="str">
            <v>CIVLA</v>
          </cell>
          <cell r="J3330">
            <v>0</v>
          </cell>
        </row>
        <row r="3331">
          <cell r="A3331" t="str">
            <v>CIVLA</v>
          </cell>
          <cell r="J3331">
            <v>0</v>
          </cell>
        </row>
        <row r="3332">
          <cell r="A3332" t="str">
            <v>CIVLA</v>
          </cell>
          <cell r="J3332">
            <v>0</v>
          </cell>
        </row>
        <row r="3333">
          <cell r="A3333" t="str">
            <v>CIVLA</v>
          </cell>
          <cell r="J3333">
            <v>0</v>
          </cell>
        </row>
        <row r="3334">
          <cell r="A3334" t="str">
            <v>CIVLA</v>
          </cell>
          <cell r="J3334">
            <v>0</v>
          </cell>
        </row>
        <row r="3335">
          <cell r="A3335" t="str">
            <v>CIVLA</v>
          </cell>
          <cell r="J3335">
            <v>0</v>
          </cell>
        </row>
        <row r="3336">
          <cell r="A3336" t="str">
            <v>CIVLA</v>
          </cell>
          <cell r="J3336">
            <v>0</v>
          </cell>
        </row>
        <row r="3337">
          <cell r="A3337" t="str">
            <v>CIVLA</v>
          </cell>
          <cell r="J3337">
            <v>0</v>
          </cell>
        </row>
        <row r="3338">
          <cell r="A3338" t="str">
            <v>CIVLA</v>
          </cell>
          <cell r="J3338">
            <v>0</v>
          </cell>
        </row>
        <row r="3339">
          <cell r="A3339" t="str">
            <v>CIVLA</v>
          </cell>
          <cell r="J3339">
            <v>0</v>
          </cell>
        </row>
        <row r="3340">
          <cell r="A3340" t="str">
            <v>CIVLA</v>
          </cell>
          <cell r="J3340">
            <v>0</v>
          </cell>
        </row>
        <row r="3341">
          <cell r="A3341" t="str">
            <v>CIVLA</v>
          </cell>
          <cell r="J3341">
            <v>0</v>
          </cell>
        </row>
        <row r="3342">
          <cell r="A3342" t="str">
            <v>CIVLA</v>
          </cell>
          <cell r="J3342">
            <v>0</v>
          </cell>
        </row>
        <row r="3343">
          <cell r="A3343" t="str">
            <v>CIVLA</v>
          </cell>
          <cell r="J3343">
            <v>0</v>
          </cell>
        </row>
        <row r="3344">
          <cell r="A3344" t="str">
            <v>CIVLA</v>
          </cell>
          <cell r="J3344">
            <v>0</v>
          </cell>
        </row>
        <row r="3345">
          <cell r="A3345" t="str">
            <v>CIVLA</v>
          </cell>
          <cell r="J3345">
            <v>0</v>
          </cell>
        </row>
        <row r="3346">
          <cell r="A3346" t="str">
            <v>CIVLA</v>
          </cell>
          <cell r="J3346">
            <v>0</v>
          </cell>
        </row>
        <row r="3347">
          <cell r="A3347" t="str">
            <v>CIVLA</v>
          </cell>
          <cell r="J3347">
            <v>0</v>
          </cell>
        </row>
        <row r="3348">
          <cell r="A3348" t="str">
            <v>CIVLA</v>
          </cell>
          <cell r="J3348">
            <v>0</v>
          </cell>
        </row>
        <row r="3349">
          <cell r="A3349" t="str">
            <v>CIVLA</v>
          </cell>
          <cell r="J3349">
            <v>0</v>
          </cell>
        </row>
        <row r="3350">
          <cell r="A3350" t="str">
            <v>CIVLA</v>
          </cell>
          <cell r="J3350">
            <v>0</v>
          </cell>
        </row>
        <row r="3351">
          <cell r="A3351" t="str">
            <v>CIVLA</v>
          </cell>
          <cell r="J3351">
            <v>0</v>
          </cell>
        </row>
        <row r="3352">
          <cell r="A3352" t="str">
            <v>CIVLA</v>
          </cell>
          <cell r="J3352">
            <v>0</v>
          </cell>
        </row>
        <row r="3353">
          <cell r="A3353" t="str">
            <v>CIVLA</v>
          </cell>
          <cell r="J3353">
            <v>0</v>
          </cell>
        </row>
        <row r="3354">
          <cell r="A3354" t="str">
            <v>CIVLA</v>
          </cell>
          <cell r="J3354">
            <v>0</v>
          </cell>
        </row>
        <row r="3355">
          <cell r="A3355" t="str">
            <v>CIVLA</v>
          </cell>
          <cell r="J3355">
            <v>0</v>
          </cell>
        </row>
        <row r="3356">
          <cell r="A3356" t="str">
            <v>CIVLA</v>
          </cell>
          <cell r="J3356">
            <v>0</v>
          </cell>
        </row>
        <row r="3357">
          <cell r="A3357" t="str">
            <v>CIVLA</v>
          </cell>
          <cell r="J3357">
            <v>0</v>
          </cell>
        </row>
        <row r="3358">
          <cell r="A3358" t="str">
            <v>CIVLA</v>
          </cell>
          <cell r="J3358">
            <v>0</v>
          </cell>
        </row>
        <row r="3359">
          <cell r="A3359" t="str">
            <v>CIVLA</v>
          </cell>
          <cell r="J3359">
            <v>0</v>
          </cell>
        </row>
        <row r="3360">
          <cell r="A3360" t="str">
            <v>CIVLA</v>
          </cell>
          <cell r="J3360">
            <v>0</v>
          </cell>
        </row>
        <row r="3361">
          <cell r="A3361" t="str">
            <v>CIVLA</v>
          </cell>
          <cell r="J3361">
            <v>0</v>
          </cell>
        </row>
        <row r="3362">
          <cell r="A3362" t="str">
            <v>CIVLA</v>
          </cell>
          <cell r="J3362">
            <v>0</v>
          </cell>
        </row>
        <row r="3363">
          <cell r="A3363" t="str">
            <v>CIVLA</v>
          </cell>
          <cell r="J3363">
            <v>0</v>
          </cell>
        </row>
        <row r="3364">
          <cell r="A3364" t="str">
            <v>CIVLA</v>
          </cell>
          <cell r="J3364">
            <v>0</v>
          </cell>
        </row>
        <row r="3365">
          <cell r="A3365" t="str">
            <v>CIVLA</v>
          </cell>
          <cell r="J3365">
            <v>0</v>
          </cell>
        </row>
        <row r="3366">
          <cell r="A3366" t="str">
            <v>CIVLA</v>
          </cell>
          <cell r="J3366">
            <v>0</v>
          </cell>
        </row>
        <row r="3367">
          <cell r="A3367" t="str">
            <v>CIVLA</v>
          </cell>
          <cell r="J3367">
            <v>0</v>
          </cell>
        </row>
        <row r="3368">
          <cell r="A3368" t="str">
            <v>CIVLA</v>
          </cell>
          <cell r="J3368">
            <v>0</v>
          </cell>
        </row>
        <row r="3369">
          <cell r="A3369" t="str">
            <v>CIVLA</v>
          </cell>
          <cell r="J3369">
            <v>0</v>
          </cell>
        </row>
        <row r="3370">
          <cell r="A3370" t="str">
            <v>CIVLA</v>
          </cell>
          <cell r="J3370">
            <v>0</v>
          </cell>
        </row>
        <row r="3371">
          <cell r="A3371" t="str">
            <v>CIVLA</v>
          </cell>
          <cell r="J3371">
            <v>0</v>
          </cell>
        </row>
        <row r="3372">
          <cell r="A3372" t="str">
            <v>CIVLA</v>
          </cell>
          <cell r="J3372">
            <v>0</v>
          </cell>
        </row>
        <row r="3373">
          <cell r="A3373" t="str">
            <v>CIVLA</v>
          </cell>
          <cell r="J3373">
            <v>0</v>
          </cell>
        </row>
        <row r="3374">
          <cell r="A3374" t="str">
            <v>CIVLA</v>
          </cell>
          <cell r="J3374">
            <v>0</v>
          </cell>
        </row>
        <row r="3375">
          <cell r="A3375" t="str">
            <v>CIVLA</v>
          </cell>
          <cell r="J3375">
            <v>0</v>
          </cell>
        </row>
        <row r="3376">
          <cell r="A3376" t="str">
            <v>CIVLA</v>
          </cell>
          <cell r="J3376">
            <v>0</v>
          </cell>
        </row>
        <row r="3377">
          <cell r="A3377" t="str">
            <v>CIVLA</v>
          </cell>
          <cell r="J3377">
            <v>0</v>
          </cell>
        </row>
        <row r="3378">
          <cell r="A3378" t="str">
            <v>CIVLA</v>
          </cell>
          <cell r="J3378">
            <v>0</v>
          </cell>
        </row>
        <row r="3379">
          <cell r="A3379" t="str">
            <v>CIVLA</v>
          </cell>
          <cell r="J3379">
            <v>0</v>
          </cell>
        </row>
        <row r="3380">
          <cell r="A3380" t="str">
            <v>CIVLA</v>
          </cell>
          <cell r="J3380">
            <v>0</v>
          </cell>
        </row>
        <row r="3381">
          <cell r="A3381" t="str">
            <v>CIVLA</v>
          </cell>
          <cell r="J3381">
            <v>0</v>
          </cell>
        </row>
        <row r="3382">
          <cell r="A3382" t="str">
            <v>CIVLA</v>
          </cell>
          <cell r="J3382">
            <v>0</v>
          </cell>
        </row>
        <row r="3383">
          <cell r="A3383" t="str">
            <v>CIVLA</v>
          </cell>
          <cell r="J3383">
            <v>0</v>
          </cell>
        </row>
        <row r="3384">
          <cell r="A3384" t="str">
            <v>CIVLA</v>
          </cell>
          <cell r="J3384">
            <v>0</v>
          </cell>
        </row>
        <row r="3385">
          <cell r="A3385" t="str">
            <v>CIVLA</v>
          </cell>
          <cell r="J3385">
            <v>0</v>
          </cell>
        </row>
        <row r="3386">
          <cell r="A3386" t="str">
            <v>CIVLA</v>
          </cell>
          <cell r="J3386">
            <v>0</v>
          </cell>
        </row>
        <row r="3387">
          <cell r="A3387" t="str">
            <v>CIVLA</v>
          </cell>
          <cell r="J3387">
            <v>0</v>
          </cell>
        </row>
        <row r="3388">
          <cell r="A3388" t="str">
            <v>CIVLA</v>
          </cell>
          <cell r="J3388">
            <v>0</v>
          </cell>
        </row>
        <row r="3389">
          <cell r="A3389" t="str">
            <v>CIVLA</v>
          </cell>
          <cell r="J3389">
            <v>0</v>
          </cell>
        </row>
        <row r="3390">
          <cell r="A3390" t="str">
            <v>CIVLA</v>
          </cell>
          <cell r="J3390">
            <v>0</v>
          </cell>
        </row>
        <row r="3391">
          <cell r="A3391" t="str">
            <v>CIVLA</v>
          </cell>
          <cell r="J3391">
            <v>0</v>
          </cell>
        </row>
        <row r="3392">
          <cell r="A3392" t="str">
            <v>CIVLA</v>
          </cell>
          <cell r="J3392">
            <v>0</v>
          </cell>
        </row>
        <row r="3393">
          <cell r="A3393" t="str">
            <v>CIVLA</v>
          </cell>
          <cell r="J3393">
            <v>0</v>
          </cell>
        </row>
        <row r="3394">
          <cell r="A3394" t="str">
            <v>CIVLA</v>
          </cell>
          <cell r="J3394">
            <v>0</v>
          </cell>
        </row>
        <row r="3395">
          <cell r="A3395" t="str">
            <v>CIVLA</v>
          </cell>
          <cell r="J3395">
            <v>0</v>
          </cell>
        </row>
        <row r="3396">
          <cell r="A3396" t="str">
            <v>CIVLA</v>
          </cell>
          <cell r="J3396">
            <v>0</v>
          </cell>
        </row>
        <row r="3397">
          <cell r="A3397" t="str">
            <v>CIVLA</v>
          </cell>
          <cell r="J3397">
            <v>0</v>
          </cell>
        </row>
        <row r="3398">
          <cell r="A3398" t="str">
            <v>CIVLA</v>
          </cell>
          <cell r="J3398">
            <v>0</v>
          </cell>
        </row>
        <row r="3399">
          <cell r="A3399" t="str">
            <v>CIVLA</v>
          </cell>
          <cell r="J3399">
            <v>0</v>
          </cell>
        </row>
        <row r="3400">
          <cell r="A3400" t="str">
            <v>CIVLA</v>
          </cell>
          <cell r="J3400">
            <v>0</v>
          </cell>
        </row>
        <row r="3401">
          <cell r="A3401" t="str">
            <v>CIVLA</v>
          </cell>
          <cell r="J3401">
            <v>0</v>
          </cell>
        </row>
        <row r="3402">
          <cell r="A3402" t="str">
            <v>CIVLA</v>
          </cell>
          <cell r="J3402">
            <v>0</v>
          </cell>
        </row>
        <row r="3403">
          <cell r="A3403" t="str">
            <v>CIVLA</v>
          </cell>
          <cell r="J3403">
            <v>0</v>
          </cell>
        </row>
        <row r="3404">
          <cell r="A3404" t="str">
            <v>CIVLA</v>
          </cell>
          <cell r="J3404">
            <v>0</v>
          </cell>
        </row>
        <row r="3405">
          <cell r="A3405" t="str">
            <v>CIVLA</v>
          </cell>
          <cell r="J3405">
            <v>0</v>
          </cell>
        </row>
        <row r="3406">
          <cell r="A3406" t="str">
            <v>CIVLA</v>
          </cell>
          <cell r="J3406">
            <v>0</v>
          </cell>
        </row>
        <row r="3407">
          <cell r="A3407" t="str">
            <v>CIVLA</v>
          </cell>
          <cell r="J3407">
            <v>0</v>
          </cell>
        </row>
        <row r="3408">
          <cell r="A3408" t="str">
            <v>CIVLA</v>
          </cell>
          <cell r="J3408">
            <v>0</v>
          </cell>
        </row>
        <row r="3409">
          <cell r="A3409" t="str">
            <v>CIVLA</v>
          </cell>
          <cell r="J3409">
            <v>0</v>
          </cell>
        </row>
        <row r="3410">
          <cell r="A3410" t="str">
            <v>CIVLA</v>
          </cell>
          <cell r="J3410">
            <v>0</v>
          </cell>
        </row>
        <row r="3411">
          <cell r="A3411" t="str">
            <v>CIVLA</v>
          </cell>
          <cell r="J3411">
            <v>0</v>
          </cell>
        </row>
        <row r="3412">
          <cell r="A3412" t="str">
            <v>CIVLA</v>
          </cell>
          <cell r="J3412">
            <v>0</v>
          </cell>
        </row>
        <row r="3413">
          <cell r="A3413" t="str">
            <v>CIVLA</v>
          </cell>
          <cell r="J3413">
            <v>0</v>
          </cell>
        </row>
        <row r="3414">
          <cell r="A3414" t="str">
            <v>CIVLA</v>
          </cell>
          <cell r="J3414">
            <v>0</v>
          </cell>
        </row>
        <row r="3415">
          <cell r="A3415" t="str">
            <v>CIVLA</v>
          </cell>
          <cell r="J3415">
            <v>0</v>
          </cell>
        </row>
        <row r="3416">
          <cell r="A3416" t="str">
            <v>CIVLA</v>
          </cell>
          <cell r="J3416">
            <v>0</v>
          </cell>
        </row>
        <row r="3417">
          <cell r="A3417" t="str">
            <v>CIVLA</v>
          </cell>
          <cell r="J3417">
            <v>0</v>
          </cell>
        </row>
        <row r="3418">
          <cell r="A3418" t="str">
            <v>CIVLA</v>
          </cell>
          <cell r="J3418">
            <v>0</v>
          </cell>
        </row>
        <row r="3419">
          <cell r="A3419" t="str">
            <v>CIVLA</v>
          </cell>
          <cell r="J3419">
            <v>0</v>
          </cell>
        </row>
        <row r="3420">
          <cell r="A3420" t="str">
            <v>CIVLA</v>
          </cell>
          <cell r="J3420">
            <v>0</v>
          </cell>
        </row>
        <row r="3421">
          <cell r="A3421" t="str">
            <v>CIVLA</v>
          </cell>
          <cell r="J3421">
            <v>0</v>
          </cell>
        </row>
        <row r="3422">
          <cell r="A3422" t="str">
            <v>CIVLA</v>
          </cell>
          <cell r="J3422">
            <v>0</v>
          </cell>
        </row>
        <row r="3423">
          <cell r="A3423" t="str">
            <v>CIVLA</v>
          </cell>
          <cell r="J3423">
            <v>0</v>
          </cell>
        </row>
        <row r="3424">
          <cell r="A3424" t="str">
            <v>CIVLA</v>
          </cell>
          <cell r="J3424">
            <v>0</v>
          </cell>
        </row>
        <row r="3425">
          <cell r="A3425" t="str">
            <v>CIVLA</v>
          </cell>
          <cell r="J3425">
            <v>0</v>
          </cell>
        </row>
        <row r="3426">
          <cell r="A3426" t="str">
            <v>CIVLA</v>
          </cell>
          <cell r="J3426">
            <v>0</v>
          </cell>
        </row>
        <row r="3427">
          <cell r="A3427" t="str">
            <v>CIVLA</v>
          </cell>
          <cell r="J3427">
            <v>0</v>
          </cell>
        </row>
        <row r="3428">
          <cell r="A3428" t="str">
            <v>CIVLA</v>
          </cell>
          <cell r="J3428">
            <v>0</v>
          </cell>
        </row>
        <row r="3429">
          <cell r="A3429" t="str">
            <v>CIVLA</v>
          </cell>
          <cell r="J3429">
            <v>0</v>
          </cell>
        </row>
        <row r="3430">
          <cell r="A3430" t="str">
            <v>CIVLA</v>
          </cell>
          <cell r="J3430">
            <v>0</v>
          </cell>
        </row>
        <row r="3431">
          <cell r="A3431" t="str">
            <v>CIVLA</v>
          </cell>
          <cell r="J3431">
            <v>0</v>
          </cell>
        </row>
        <row r="3432">
          <cell r="A3432" t="str">
            <v>CIVLA</v>
          </cell>
          <cell r="J3432">
            <v>0</v>
          </cell>
        </row>
        <row r="3433">
          <cell r="A3433" t="str">
            <v>CIVLA</v>
          </cell>
          <cell r="J3433">
            <v>0</v>
          </cell>
        </row>
        <row r="3434">
          <cell r="A3434" t="str">
            <v>CIVLA</v>
          </cell>
          <cell r="J3434">
            <v>0</v>
          </cell>
        </row>
        <row r="3435">
          <cell r="A3435" t="str">
            <v>CIVLA</v>
          </cell>
          <cell r="J3435">
            <v>0</v>
          </cell>
        </row>
        <row r="3436">
          <cell r="A3436" t="str">
            <v>CIVLA</v>
          </cell>
          <cell r="J3436">
            <v>0</v>
          </cell>
        </row>
        <row r="3437">
          <cell r="A3437" t="str">
            <v>CIVLA</v>
          </cell>
          <cell r="J3437">
            <v>0</v>
          </cell>
        </row>
        <row r="3438">
          <cell r="A3438" t="str">
            <v>CIVLA</v>
          </cell>
          <cell r="J3438">
            <v>0</v>
          </cell>
        </row>
        <row r="3439">
          <cell r="A3439" t="str">
            <v>CIVLA</v>
          </cell>
          <cell r="J3439">
            <v>0</v>
          </cell>
        </row>
        <row r="3440">
          <cell r="A3440" t="str">
            <v>CIVLA</v>
          </cell>
          <cell r="J3440">
            <v>0</v>
          </cell>
        </row>
        <row r="3441">
          <cell r="A3441" t="str">
            <v>CIVLA</v>
          </cell>
          <cell r="J3441">
            <v>0</v>
          </cell>
        </row>
        <row r="3442">
          <cell r="A3442" t="str">
            <v>CIVLA</v>
          </cell>
          <cell r="J3442">
            <v>0</v>
          </cell>
        </row>
        <row r="3443">
          <cell r="A3443" t="str">
            <v>CIVLA</v>
          </cell>
          <cell r="J3443">
            <v>0</v>
          </cell>
        </row>
        <row r="3444">
          <cell r="A3444" t="str">
            <v>CIVLA</v>
          </cell>
          <cell r="J3444">
            <v>0</v>
          </cell>
        </row>
        <row r="3445">
          <cell r="A3445" t="str">
            <v>CIVLA</v>
          </cell>
          <cell r="J3445">
            <v>0</v>
          </cell>
        </row>
        <row r="3446">
          <cell r="A3446" t="str">
            <v>CIVLA</v>
          </cell>
          <cell r="J3446">
            <v>0</v>
          </cell>
        </row>
        <row r="3447">
          <cell r="A3447" t="str">
            <v>CIVLA</v>
          </cell>
          <cell r="J3447">
            <v>0</v>
          </cell>
        </row>
        <row r="3448">
          <cell r="A3448" t="str">
            <v>CIVLA</v>
          </cell>
          <cell r="J3448">
            <v>0</v>
          </cell>
        </row>
        <row r="3449">
          <cell r="A3449" t="str">
            <v>CIVLA</v>
          </cell>
          <cell r="J3449">
            <v>0</v>
          </cell>
        </row>
        <row r="3450">
          <cell r="A3450" t="str">
            <v>CIVLA</v>
          </cell>
          <cell r="J3450">
            <v>0</v>
          </cell>
        </row>
        <row r="3451">
          <cell r="A3451" t="str">
            <v>CIVLA</v>
          </cell>
          <cell r="J3451">
            <v>0</v>
          </cell>
        </row>
        <row r="3452">
          <cell r="A3452" t="str">
            <v>CIVLA</v>
          </cell>
          <cell r="J3452">
            <v>0</v>
          </cell>
        </row>
        <row r="3453">
          <cell r="A3453" t="str">
            <v>CIVLA</v>
          </cell>
          <cell r="J3453">
            <v>0</v>
          </cell>
        </row>
        <row r="3454">
          <cell r="A3454" t="str">
            <v>CIVLA</v>
          </cell>
          <cell r="J3454">
            <v>0</v>
          </cell>
        </row>
        <row r="3455">
          <cell r="A3455" t="str">
            <v>CIVLA</v>
          </cell>
          <cell r="J3455">
            <v>0</v>
          </cell>
        </row>
        <row r="3456">
          <cell r="A3456" t="str">
            <v>CIVLA</v>
          </cell>
          <cell r="J3456">
            <v>0</v>
          </cell>
        </row>
        <row r="3457">
          <cell r="A3457" t="str">
            <v>CIVLA</v>
          </cell>
          <cell r="J3457">
            <v>0</v>
          </cell>
        </row>
        <row r="3458">
          <cell r="A3458" t="str">
            <v>CIVLA</v>
          </cell>
          <cell r="J3458">
            <v>0</v>
          </cell>
        </row>
        <row r="3459">
          <cell r="A3459" t="str">
            <v>CIVLA</v>
          </cell>
          <cell r="J3459">
            <v>0</v>
          </cell>
        </row>
        <row r="3460">
          <cell r="A3460" t="str">
            <v>CIVLA</v>
          </cell>
          <cell r="J3460">
            <v>0</v>
          </cell>
        </row>
        <row r="3461">
          <cell r="A3461" t="str">
            <v>CIVLA</v>
          </cell>
          <cell r="J3461">
            <v>0</v>
          </cell>
        </row>
        <row r="3462">
          <cell r="A3462" t="str">
            <v>CIVLA</v>
          </cell>
          <cell r="J3462">
            <v>0</v>
          </cell>
        </row>
        <row r="3463">
          <cell r="A3463" t="str">
            <v>CIVLA</v>
          </cell>
          <cell r="J3463">
            <v>0</v>
          </cell>
        </row>
        <row r="3464">
          <cell r="A3464" t="str">
            <v>CIVLA</v>
          </cell>
          <cell r="J3464">
            <v>0</v>
          </cell>
        </row>
        <row r="3465">
          <cell r="A3465" t="str">
            <v>CIVLA</v>
          </cell>
          <cell r="J3465">
            <v>0</v>
          </cell>
        </row>
        <row r="3466">
          <cell r="A3466" t="str">
            <v>CIVLA</v>
          </cell>
          <cell r="J3466">
            <v>0</v>
          </cell>
        </row>
        <row r="3467">
          <cell r="A3467" t="str">
            <v>CIVLA</v>
          </cell>
          <cell r="J3467">
            <v>0</v>
          </cell>
        </row>
        <row r="3468">
          <cell r="A3468" t="str">
            <v>CIVLA</v>
          </cell>
          <cell r="J3468">
            <v>0</v>
          </cell>
        </row>
        <row r="3469">
          <cell r="A3469" t="str">
            <v>CIVLA</v>
          </cell>
          <cell r="J3469">
            <v>0</v>
          </cell>
        </row>
        <row r="3470">
          <cell r="A3470" t="str">
            <v>CIVLA</v>
          </cell>
          <cell r="J3470">
            <v>0</v>
          </cell>
        </row>
        <row r="3471">
          <cell r="A3471" t="str">
            <v>CIVLA</v>
          </cell>
          <cell r="J3471">
            <v>0</v>
          </cell>
        </row>
        <row r="3472">
          <cell r="A3472" t="str">
            <v>CIVLA</v>
          </cell>
          <cell r="J3472">
            <v>0</v>
          </cell>
        </row>
        <row r="3473">
          <cell r="A3473" t="str">
            <v>CIVLA</v>
          </cell>
          <cell r="J3473">
            <v>0</v>
          </cell>
        </row>
        <row r="3474">
          <cell r="A3474" t="str">
            <v>CIVLA</v>
          </cell>
          <cell r="J3474">
            <v>0</v>
          </cell>
        </row>
        <row r="3475">
          <cell r="A3475" t="str">
            <v>CIVLA</v>
          </cell>
          <cell r="J3475">
            <v>0</v>
          </cell>
        </row>
        <row r="3476">
          <cell r="A3476" t="str">
            <v>CIVLA</v>
          </cell>
          <cell r="J3476">
            <v>0</v>
          </cell>
        </row>
        <row r="3477">
          <cell r="A3477" t="str">
            <v>CIVLA</v>
          </cell>
          <cell r="J3477">
            <v>0</v>
          </cell>
        </row>
        <row r="3478">
          <cell r="A3478" t="str">
            <v>CIVLA</v>
          </cell>
          <cell r="J3478">
            <v>0</v>
          </cell>
        </row>
        <row r="3479">
          <cell r="A3479" t="str">
            <v>CIVLA</v>
          </cell>
          <cell r="J3479">
            <v>0</v>
          </cell>
        </row>
        <row r="3480">
          <cell r="A3480" t="str">
            <v>CIVLA</v>
          </cell>
          <cell r="J3480">
            <v>0</v>
          </cell>
        </row>
        <row r="3481">
          <cell r="A3481" t="str">
            <v>CIVLA</v>
          </cell>
          <cell r="J3481">
            <v>0</v>
          </cell>
        </row>
        <row r="3482">
          <cell r="A3482" t="str">
            <v>CIVLA</v>
          </cell>
          <cell r="J3482">
            <v>0</v>
          </cell>
        </row>
        <row r="3483">
          <cell r="A3483" t="str">
            <v>CIVLA</v>
          </cell>
          <cell r="J3483">
            <v>0</v>
          </cell>
        </row>
        <row r="3484">
          <cell r="A3484" t="str">
            <v>CIVLA</v>
          </cell>
          <cell r="J3484">
            <v>0</v>
          </cell>
        </row>
        <row r="3485">
          <cell r="A3485" t="str">
            <v>CIVLA</v>
          </cell>
          <cell r="J3485">
            <v>0</v>
          </cell>
        </row>
        <row r="3486">
          <cell r="A3486" t="str">
            <v>CIVLA</v>
          </cell>
          <cell r="J3486">
            <v>0</v>
          </cell>
        </row>
        <row r="3487">
          <cell r="A3487" t="str">
            <v>CIVLA</v>
          </cell>
          <cell r="J3487">
            <v>0</v>
          </cell>
        </row>
        <row r="3488">
          <cell r="A3488" t="str">
            <v>CIVLA</v>
          </cell>
          <cell r="J3488">
            <v>0</v>
          </cell>
        </row>
        <row r="3489">
          <cell r="A3489" t="str">
            <v>CIVLA</v>
          </cell>
          <cell r="J3489">
            <v>0</v>
          </cell>
        </row>
        <row r="3490">
          <cell r="A3490" t="str">
            <v>CIVLA</v>
          </cell>
          <cell r="J3490">
            <v>0</v>
          </cell>
        </row>
        <row r="3491">
          <cell r="A3491" t="str">
            <v>CIVLA</v>
          </cell>
          <cell r="J3491">
            <v>0</v>
          </cell>
        </row>
        <row r="3492">
          <cell r="A3492" t="str">
            <v>CIVLA</v>
          </cell>
          <cell r="J3492">
            <v>0</v>
          </cell>
        </row>
        <row r="3493">
          <cell r="A3493" t="str">
            <v>CIVLA</v>
          </cell>
          <cell r="J3493">
            <v>0</v>
          </cell>
        </row>
        <row r="3494">
          <cell r="A3494" t="str">
            <v>CIVLA</v>
          </cell>
          <cell r="J3494">
            <v>0</v>
          </cell>
        </row>
        <row r="3495">
          <cell r="A3495" t="str">
            <v>CIVLA</v>
          </cell>
          <cell r="J3495">
            <v>0</v>
          </cell>
        </row>
        <row r="3496">
          <cell r="A3496" t="str">
            <v>CIVLA</v>
          </cell>
          <cell r="J3496">
            <v>0</v>
          </cell>
        </row>
        <row r="3497">
          <cell r="A3497" t="str">
            <v>CIVLA</v>
          </cell>
          <cell r="J3497">
            <v>0</v>
          </cell>
        </row>
        <row r="3498">
          <cell r="A3498" t="str">
            <v>CIVLA</v>
          </cell>
          <cell r="J3498">
            <v>0</v>
          </cell>
        </row>
        <row r="3499">
          <cell r="A3499" t="str">
            <v>CIVLA</v>
          </cell>
          <cell r="J3499">
            <v>0</v>
          </cell>
        </row>
        <row r="3500">
          <cell r="A3500" t="str">
            <v>CIVLA</v>
          </cell>
          <cell r="J3500">
            <v>0</v>
          </cell>
        </row>
        <row r="3501">
          <cell r="A3501" t="str">
            <v>CIVLA</v>
          </cell>
          <cell r="J3501">
            <v>0</v>
          </cell>
        </row>
        <row r="3502">
          <cell r="A3502" t="str">
            <v>CIVLA</v>
          </cell>
          <cell r="J3502">
            <v>0</v>
          </cell>
        </row>
        <row r="3503">
          <cell r="A3503" t="str">
            <v>CIVLA</v>
          </cell>
          <cell r="J3503">
            <v>0</v>
          </cell>
        </row>
        <row r="3504">
          <cell r="A3504" t="str">
            <v>CIVLA</v>
          </cell>
          <cell r="J3504">
            <v>0</v>
          </cell>
        </row>
        <row r="3505">
          <cell r="A3505" t="str">
            <v>CIVLA</v>
          </cell>
          <cell r="J3505">
            <v>0</v>
          </cell>
        </row>
        <row r="3506">
          <cell r="A3506" t="str">
            <v>CIVLA</v>
          </cell>
          <cell r="J3506">
            <v>0</v>
          </cell>
        </row>
        <row r="3507">
          <cell r="A3507" t="str">
            <v>CIVLA</v>
          </cell>
          <cell r="J3507">
            <v>0</v>
          </cell>
        </row>
        <row r="3508">
          <cell r="A3508" t="str">
            <v>CIVLA</v>
          </cell>
          <cell r="J3508">
            <v>0</v>
          </cell>
        </row>
        <row r="3509">
          <cell r="A3509" t="str">
            <v>CIVLA</v>
          </cell>
          <cell r="J3509">
            <v>0</v>
          </cell>
        </row>
        <row r="3510">
          <cell r="A3510" t="str">
            <v>CIVLA</v>
          </cell>
          <cell r="J3510">
            <v>0</v>
          </cell>
        </row>
        <row r="3511">
          <cell r="A3511" t="str">
            <v>CIVLA</v>
          </cell>
          <cell r="J3511">
            <v>0</v>
          </cell>
        </row>
        <row r="3512">
          <cell r="A3512" t="str">
            <v>CIVLA</v>
          </cell>
          <cell r="J3512">
            <v>0</v>
          </cell>
        </row>
        <row r="3513">
          <cell r="A3513" t="str">
            <v>CIVLA</v>
          </cell>
          <cell r="J3513">
            <v>0</v>
          </cell>
        </row>
        <row r="3514">
          <cell r="A3514" t="str">
            <v>CIVLA</v>
          </cell>
          <cell r="J3514">
            <v>0</v>
          </cell>
        </row>
        <row r="3515">
          <cell r="A3515" t="str">
            <v>CIVLA</v>
          </cell>
          <cell r="J3515">
            <v>0</v>
          </cell>
        </row>
        <row r="3516">
          <cell r="A3516" t="str">
            <v>CIVLA</v>
          </cell>
          <cell r="J3516">
            <v>0</v>
          </cell>
        </row>
        <row r="3517">
          <cell r="A3517" t="str">
            <v>CIVLA</v>
          </cell>
          <cell r="J3517">
            <v>0</v>
          </cell>
        </row>
        <row r="3518">
          <cell r="A3518" t="str">
            <v>CIVLA</v>
          </cell>
          <cell r="J3518">
            <v>0</v>
          </cell>
        </row>
        <row r="3519">
          <cell r="A3519" t="str">
            <v>CIVLA</v>
          </cell>
          <cell r="J3519">
            <v>0</v>
          </cell>
        </row>
        <row r="3520">
          <cell r="A3520" t="str">
            <v>CIVLA</v>
          </cell>
          <cell r="J3520">
            <v>0</v>
          </cell>
        </row>
        <row r="3521">
          <cell r="A3521" t="str">
            <v>CIVLA</v>
          </cell>
          <cell r="J3521">
            <v>0</v>
          </cell>
        </row>
        <row r="3522">
          <cell r="A3522" t="str">
            <v>CIVLA</v>
          </cell>
          <cell r="J3522">
            <v>0</v>
          </cell>
        </row>
        <row r="3523">
          <cell r="A3523" t="str">
            <v>CIVLA</v>
          </cell>
          <cell r="J3523">
            <v>0</v>
          </cell>
        </row>
        <row r="3524">
          <cell r="A3524" t="str">
            <v>CIVLA</v>
          </cell>
          <cell r="J3524">
            <v>0</v>
          </cell>
        </row>
        <row r="3525">
          <cell r="A3525" t="str">
            <v>CIVLA</v>
          </cell>
          <cell r="J3525">
            <v>0</v>
          </cell>
        </row>
        <row r="3526">
          <cell r="A3526" t="str">
            <v>CIVLA</v>
          </cell>
          <cell r="J3526">
            <v>0</v>
          </cell>
        </row>
        <row r="3527">
          <cell r="A3527" t="str">
            <v>CIVLA</v>
          </cell>
          <cell r="J3527">
            <v>0</v>
          </cell>
        </row>
        <row r="3528">
          <cell r="A3528" t="str">
            <v>CIVLA</v>
          </cell>
          <cell r="J3528">
            <v>0</v>
          </cell>
        </row>
        <row r="3529">
          <cell r="A3529" t="str">
            <v>CIVLA</v>
          </cell>
          <cell r="J3529">
            <v>0</v>
          </cell>
        </row>
        <row r="3530">
          <cell r="A3530" t="str">
            <v>CIVLA</v>
          </cell>
          <cell r="J3530">
            <v>0</v>
          </cell>
        </row>
        <row r="3531">
          <cell r="A3531" t="str">
            <v>CIVLA</v>
          </cell>
          <cell r="J3531">
            <v>0</v>
          </cell>
        </row>
        <row r="3532">
          <cell r="A3532" t="str">
            <v>CIVLA</v>
          </cell>
          <cell r="J3532">
            <v>0</v>
          </cell>
        </row>
        <row r="3533">
          <cell r="A3533" t="str">
            <v>CIVLA</v>
          </cell>
          <cell r="J3533">
            <v>0</v>
          </cell>
        </row>
        <row r="3534">
          <cell r="A3534" t="str">
            <v>CIVLA</v>
          </cell>
          <cell r="J3534">
            <v>0</v>
          </cell>
        </row>
        <row r="3535">
          <cell r="A3535" t="str">
            <v>CIVLA</v>
          </cell>
          <cell r="J3535">
            <v>0</v>
          </cell>
        </row>
        <row r="3536">
          <cell r="A3536" t="str">
            <v>CIVLA</v>
          </cell>
          <cell r="J3536">
            <v>0</v>
          </cell>
        </row>
        <row r="3537">
          <cell r="A3537" t="str">
            <v>CIVLA</v>
          </cell>
          <cell r="J3537">
            <v>0</v>
          </cell>
        </row>
        <row r="3538">
          <cell r="A3538" t="str">
            <v>CIVLA</v>
          </cell>
          <cell r="J3538">
            <v>0</v>
          </cell>
        </row>
        <row r="3539">
          <cell r="A3539" t="str">
            <v>CIVLA</v>
          </cell>
          <cell r="J3539">
            <v>0</v>
          </cell>
        </row>
        <row r="3540">
          <cell r="A3540" t="str">
            <v>CIVLA</v>
          </cell>
          <cell r="J3540">
            <v>0</v>
          </cell>
        </row>
        <row r="3541">
          <cell r="A3541" t="str">
            <v>CIVLA</v>
          </cell>
          <cell r="J3541">
            <v>0</v>
          </cell>
        </row>
        <row r="3542">
          <cell r="A3542" t="str">
            <v>CIVLA</v>
          </cell>
          <cell r="J3542">
            <v>0</v>
          </cell>
        </row>
        <row r="3543">
          <cell r="A3543" t="str">
            <v>CIVLA</v>
          </cell>
          <cell r="J3543">
            <v>0</v>
          </cell>
        </row>
        <row r="3544">
          <cell r="A3544" t="str">
            <v>CIVLA</v>
          </cell>
          <cell r="J3544">
            <v>0</v>
          </cell>
        </row>
        <row r="3545">
          <cell r="A3545" t="str">
            <v>CIVLA</v>
          </cell>
          <cell r="J3545">
            <v>0</v>
          </cell>
        </row>
        <row r="3546">
          <cell r="A3546" t="str">
            <v>CIVLA</v>
          </cell>
          <cell r="J3546">
            <v>0</v>
          </cell>
        </row>
        <row r="3547">
          <cell r="A3547" t="str">
            <v>CIVLA</v>
          </cell>
          <cell r="J3547">
            <v>0</v>
          </cell>
        </row>
        <row r="3548">
          <cell r="A3548" t="str">
            <v>CIVLA</v>
          </cell>
          <cell r="J3548">
            <v>0</v>
          </cell>
        </row>
        <row r="3549">
          <cell r="A3549" t="str">
            <v>CIVLA</v>
          </cell>
          <cell r="J3549">
            <v>0</v>
          </cell>
        </row>
        <row r="3550">
          <cell r="A3550" t="str">
            <v>CIVLA</v>
          </cell>
          <cell r="J3550">
            <v>0</v>
          </cell>
        </row>
        <row r="3551">
          <cell r="A3551" t="str">
            <v>CIVLA</v>
          </cell>
          <cell r="J3551">
            <v>0</v>
          </cell>
        </row>
        <row r="3552">
          <cell r="A3552" t="str">
            <v>CIVLA</v>
          </cell>
          <cell r="J3552">
            <v>0</v>
          </cell>
        </row>
        <row r="3553">
          <cell r="A3553" t="str">
            <v>CIVLA</v>
          </cell>
          <cell r="J3553">
            <v>0</v>
          </cell>
        </row>
        <row r="3554">
          <cell r="A3554" t="str">
            <v>CIVLA</v>
          </cell>
          <cell r="J3554">
            <v>0</v>
          </cell>
        </row>
        <row r="3555">
          <cell r="A3555" t="str">
            <v>CIVLA</v>
          </cell>
          <cell r="J3555">
            <v>0</v>
          </cell>
        </row>
        <row r="3556">
          <cell r="A3556" t="str">
            <v>CIVLA</v>
          </cell>
          <cell r="J3556">
            <v>0</v>
          </cell>
        </row>
        <row r="3557">
          <cell r="A3557" t="str">
            <v>CIVLA</v>
          </cell>
          <cell r="J3557">
            <v>0</v>
          </cell>
        </row>
        <row r="3558">
          <cell r="A3558" t="str">
            <v>CIVLA</v>
          </cell>
          <cell r="J3558">
            <v>0</v>
          </cell>
        </row>
        <row r="3559">
          <cell r="A3559" t="str">
            <v>CIVLA</v>
          </cell>
          <cell r="J3559">
            <v>0</v>
          </cell>
        </row>
        <row r="3560">
          <cell r="A3560" t="str">
            <v>CIVLA</v>
          </cell>
          <cell r="J3560">
            <v>0</v>
          </cell>
        </row>
        <row r="3561">
          <cell r="A3561" t="str">
            <v>CIVLA</v>
          </cell>
          <cell r="J3561">
            <v>0</v>
          </cell>
        </row>
        <row r="3562">
          <cell r="A3562" t="str">
            <v>CIVLA</v>
          </cell>
          <cell r="J3562">
            <v>0</v>
          </cell>
        </row>
        <row r="3563">
          <cell r="A3563" t="str">
            <v>CIVLA</v>
          </cell>
          <cell r="J3563">
            <v>0</v>
          </cell>
        </row>
        <row r="3564">
          <cell r="A3564" t="str">
            <v>CIVLA</v>
          </cell>
          <cell r="J3564">
            <v>0</v>
          </cell>
        </row>
        <row r="3565">
          <cell r="A3565" t="str">
            <v>CIVLA</v>
          </cell>
          <cell r="J3565">
            <v>0</v>
          </cell>
        </row>
        <row r="3566">
          <cell r="A3566" t="str">
            <v>CIVLA</v>
          </cell>
          <cell r="J3566">
            <v>0</v>
          </cell>
        </row>
        <row r="3567">
          <cell r="A3567" t="str">
            <v>CIVLA</v>
          </cell>
          <cell r="J3567">
            <v>0</v>
          </cell>
        </row>
        <row r="3568">
          <cell r="A3568" t="str">
            <v>CIVLA</v>
          </cell>
          <cell r="J3568">
            <v>0</v>
          </cell>
        </row>
        <row r="3569">
          <cell r="A3569" t="str">
            <v>CIVLA</v>
          </cell>
          <cell r="J3569">
            <v>0</v>
          </cell>
        </row>
        <row r="3570">
          <cell r="A3570" t="str">
            <v>CIVLA</v>
          </cell>
          <cell r="J3570">
            <v>0</v>
          </cell>
        </row>
        <row r="3571">
          <cell r="A3571" t="str">
            <v>CIVLA</v>
          </cell>
          <cell r="J3571">
            <v>0</v>
          </cell>
        </row>
        <row r="3572">
          <cell r="A3572" t="str">
            <v>CIVLA</v>
          </cell>
          <cell r="J3572">
            <v>0</v>
          </cell>
        </row>
        <row r="3573">
          <cell r="A3573" t="str">
            <v>CIVLA</v>
          </cell>
          <cell r="J3573">
            <v>0</v>
          </cell>
        </row>
        <row r="3574">
          <cell r="A3574" t="str">
            <v>CIVLA</v>
          </cell>
          <cell r="J3574">
            <v>0</v>
          </cell>
        </row>
        <row r="3575">
          <cell r="A3575" t="str">
            <v>CIVLA</v>
          </cell>
          <cell r="J3575">
            <v>0</v>
          </cell>
        </row>
        <row r="3576">
          <cell r="A3576" t="str">
            <v>CIVLA</v>
          </cell>
          <cell r="J3576">
            <v>0</v>
          </cell>
        </row>
        <row r="3577">
          <cell r="A3577" t="str">
            <v>CIVLA</v>
          </cell>
          <cell r="J3577">
            <v>0</v>
          </cell>
        </row>
        <row r="3578">
          <cell r="A3578" t="str">
            <v>CIVLA</v>
          </cell>
          <cell r="J3578">
            <v>0</v>
          </cell>
        </row>
        <row r="3579">
          <cell r="A3579" t="str">
            <v>CIVLA</v>
          </cell>
          <cell r="J3579">
            <v>0</v>
          </cell>
        </row>
        <row r="3580">
          <cell r="A3580" t="str">
            <v>CIVLA</v>
          </cell>
          <cell r="J3580">
            <v>0</v>
          </cell>
        </row>
        <row r="3581">
          <cell r="A3581" t="str">
            <v>CIVLA</v>
          </cell>
          <cell r="J3581">
            <v>0</v>
          </cell>
        </row>
        <row r="3582">
          <cell r="A3582" t="str">
            <v>CIVLA</v>
          </cell>
          <cell r="J3582">
            <v>0</v>
          </cell>
        </row>
        <row r="3583">
          <cell r="A3583" t="str">
            <v>CIVLA</v>
          </cell>
          <cell r="J3583">
            <v>0</v>
          </cell>
        </row>
        <row r="3584">
          <cell r="A3584" t="str">
            <v>CIVLA</v>
          </cell>
          <cell r="J3584">
            <v>0</v>
          </cell>
        </row>
        <row r="3585">
          <cell r="A3585" t="str">
            <v>CIVLA</v>
          </cell>
          <cell r="J3585">
            <v>0</v>
          </cell>
        </row>
        <row r="3586">
          <cell r="A3586" t="str">
            <v>CIVLA</v>
          </cell>
          <cell r="J3586">
            <v>0</v>
          </cell>
        </row>
        <row r="3587">
          <cell r="A3587" t="str">
            <v>CIVLA</v>
          </cell>
          <cell r="J3587">
            <v>0</v>
          </cell>
        </row>
        <row r="3588">
          <cell r="A3588" t="str">
            <v>CIVLA</v>
          </cell>
          <cell r="J3588">
            <v>0</v>
          </cell>
        </row>
        <row r="3589">
          <cell r="A3589" t="str">
            <v>CIVLA</v>
          </cell>
          <cell r="J3589">
            <v>0</v>
          </cell>
        </row>
        <row r="3590">
          <cell r="A3590" t="str">
            <v>CIVLA</v>
          </cell>
          <cell r="J3590">
            <v>0</v>
          </cell>
        </row>
        <row r="3591">
          <cell r="A3591" t="str">
            <v>CIVLA</v>
          </cell>
          <cell r="J3591">
            <v>0</v>
          </cell>
        </row>
        <row r="3592">
          <cell r="A3592" t="str">
            <v>CIVLA</v>
          </cell>
          <cell r="J3592">
            <v>0</v>
          </cell>
        </row>
        <row r="3593">
          <cell r="A3593" t="str">
            <v>CIVLA</v>
          </cell>
          <cell r="J3593">
            <v>0</v>
          </cell>
        </row>
        <row r="3594">
          <cell r="A3594" t="str">
            <v>CIVLA</v>
          </cell>
          <cell r="J3594">
            <v>0</v>
          </cell>
        </row>
        <row r="3595">
          <cell r="A3595" t="str">
            <v>CIVLA</v>
          </cell>
          <cell r="J3595">
            <v>0</v>
          </cell>
        </row>
        <row r="3596">
          <cell r="A3596" t="str">
            <v>CIVLA</v>
          </cell>
          <cell r="J3596">
            <v>0</v>
          </cell>
        </row>
        <row r="3597">
          <cell r="A3597" t="str">
            <v>CIVLA</v>
          </cell>
          <cell r="J3597">
            <v>0</v>
          </cell>
        </row>
        <row r="3598">
          <cell r="A3598" t="str">
            <v>CIVLA</v>
          </cell>
          <cell r="J3598">
            <v>0</v>
          </cell>
        </row>
        <row r="3599">
          <cell r="A3599" t="str">
            <v>CIVLA</v>
          </cell>
          <cell r="J3599">
            <v>0</v>
          </cell>
        </row>
        <row r="3600">
          <cell r="A3600" t="str">
            <v>CIVLA</v>
          </cell>
          <cell r="J3600">
            <v>0</v>
          </cell>
        </row>
        <row r="3601">
          <cell r="A3601" t="str">
            <v>CIVLA</v>
          </cell>
          <cell r="J3601">
            <v>0</v>
          </cell>
        </row>
        <row r="3602">
          <cell r="A3602" t="str">
            <v>CIVLA</v>
          </cell>
          <cell r="J3602">
            <v>0</v>
          </cell>
        </row>
        <row r="3603">
          <cell r="A3603" t="str">
            <v>CIVLA</v>
          </cell>
          <cell r="J3603">
            <v>0</v>
          </cell>
        </row>
        <row r="3604">
          <cell r="A3604" t="str">
            <v>CIVLA</v>
          </cell>
          <cell r="J3604">
            <v>0</v>
          </cell>
        </row>
        <row r="3605">
          <cell r="A3605" t="str">
            <v>CIVLA</v>
          </cell>
          <cell r="J3605">
            <v>0</v>
          </cell>
        </row>
        <row r="3606">
          <cell r="A3606" t="str">
            <v>CIVLA</v>
          </cell>
          <cell r="J3606">
            <v>0</v>
          </cell>
        </row>
        <row r="3607">
          <cell r="A3607" t="str">
            <v>CIVLA</v>
          </cell>
          <cell r="J3607">
            <v>0</v>
          </cell>
        </row>
        <row r="3608">
          <cell r="A3608" t="str">
            <v>CIVLA</v>
          </cell>
          <cell r="J3608">
            <v>0</v>
          </cell>
        </row>
        <row r="3609">
          <cell r="A3609" t="str">
            <v>CIVLA</v>
          </cell>
          <cell r="J3609">
            <v>0</v>
          </cell>
        </row>
        <row r="3610">
          <cell r="A3610" t="str">
            <v>CIVLA</v>
          </cell>
          <cell r="J3610">
            <v>0</v>
          </cell>
        </row>
        <row r="3611">
          <cell r="A3611" t="str">
            <v>CIVLA</v>
          </cell>
          <cell r="J3611">
            <v>0</v>
          </cell>
        </row>
        <row r="3612">
          <cell r="A3612" t="str">
            <v>CIVLA</v>
          </cell>
          <cell r="J3612">
            <v>0</v>
          </cell>
        </row>
        <row r="3613">
          <cell r="A3613" t="str">
            <v>CIVLA</v>
          </cell>
          <cell r="J3613">
            <v>0</v>
          </cell>
        </row>
        <row r="3614">
          <cell r="A3614" t="str">
            <v>CIVLA</v>
          </cell>
          <cell r="J3614">
            <v>0</v>
          </cell>
        </row>
        <row r="3615">
          <cell r="A3615" t="str">
            <v>CIVLA</v>
          </cell>
          <cell r="J3615">
            <v>0</v>
          </cell>
        </row>
        <row r="3616">
          <cell r="A3616" t="str">
            <v>CIVLA</v>
          </cell>
          <cell r="J3616">
            <v>0</v>
          </cell>
        </row>
        <row r="3617">
          <cell r="A3617" t="str">
            <v>CIVLA</v>
          </cell>
          <cell r="J3617">
            <v>0</v>
          </cell>
        </row>
        <row r="3618">
          <cell r="A3618" t="str">
            <v>CIVLA</v>
          </cell>
          <cell r="J3618">
            <v>0</v>
          </cell>
        </row>
        <row r="3619">
          <cell r="A3619" t="str">
            <v>CIVLA</v>
          </cell>
          <cell r="J3619">
            <v>0</v>
          </cell>
        </row>
        <row r="3620">
          <cell r="A3620" t="str">
            <v>CIVLA</v>
          </cell>
          <cell r="J3620">
            <v>0</v>
          </cell>
        </row>
        <row r="3621">
          <cell r="A3621" t="str">
            <v>CIVLA</v>
          </cell>
          <cell r="J3621">
            <v>0</v>
          </cell>
        </row>
        <row r="3622">
          <cell r="A3622" t="str">
            <v>CIVLA</v>
          </cell>
          <cell r="J3622">
            <v>0</v>
          </cell>
        </row>
        <row r="3623">
          <cell r="A3623" t="str">
            <v>CIVLA</v>
          </cell>
          <cell r="J3623">
            <v>0</v>
          </cell>
        </row>
        <row r="3624">
          <cell r="A3624" t="str">
            <v>CIVLA</v>
          </cell>
          <cell r="J3624">
            <v>0</v>
          </cell>
        </row>
        <row r="3625">
          <cell r="A3625" t="str">
            <v>CIVLA</v>
          </cell>
          <cell r="J3625">
            <v>0</v>
          </cell>
        </row>
        <row r="3626">
          <cell r="A3626" t="str">
            <v>CIVLA</v>
          </cell>
          <cell r="J3626">
            <v>0</v>
          </cell>
        </row>
        <row r="3627">
          <cell r="A3627" t="str">
            <v>CIVLA</v>
          </cell>
          <cell r="J3627">
            <v>0</v>
          </cell>
        </row>
        <row r="3628">
          <cell r="A3628" t="str">
            <v>CIVLA</v>
          </cell>
          <cell r="J3628">
            <v>0</v>
          </cell>
        </row>
        <row r="3629">
          <cell r="A3629" t="str">
            <v>CIVLA</v>
          </cell>
          <cell r="J3629">
            <v>0</v>
          </cell>
        </row>
        <row r="3630">
          <cell r="A3630" t="str">
            <v>CIVLA</v>
          </cell>
          <cell r="J3630">
            <v>0</v>
          </cell>
        </row>
        <row r="3631">
          <cell r="A3631" t="str">
            <v>CIVLA</v>
          </cell>
          <cell r="J3631">
            <v>0</v>
          </cell>
        </row>
        <row r="3632">
          <cell r="A3632" t="str">
            <v>CIVLA</v>
          </cell>
          <cell r="J3632">
            <v>0</v>
          </cell>
        </row>
        <row r="3633">
          <cell r="A3633" t="str">
            <v>CIVLA</v>
          </cell>
          <cell r="J3633">
            <v>0</v>
          </cell>
        </row>
        <row r="3634">
          <cell r="A3634" t="str">
            <v>CIVLA</v>
          </cell>
          <cell r="J3634">
            <v>0</v>
          </cell>
        </row>
        <row r="3635">
          <cell r="A3635" t="str">
            <v>CIVLA</v>
          </cell>
          <cell r="J3635">
            <v>0</v>
          </cell>
        </row>
        <row r="3636">
          <cell r="A3636" t="str">
            <v>CIVLA</v>
          </cell>
          <cell r="J3636">
            <v>0</v>
          </cell>
        </row>
        <row r="3637">
          <cell r="A3637" t="str">
            <v>CIVLA</v>
          </cell>
          <cell r="J3637">
            <v>0</v>
          </cell>
        </row>
        <row r="3638">
          <cell r="A3638" t="str">
            <v>CIVLA</v>
          </cell>
          <cell r="J3638">
            <v>0</v>
          </cell>
        </row>
        <row r="3639">
          <cell r="A3639" t="str">
            <v>CIVLA</v>
          </cell>
          <cell r="J3639">
            <v>0</v>
          </cell>
        </row>
        <row r="3640">
          <cell r="A3640" t="str">
            <v>CIVLA</v>
          </cell>
          <cell r="J3640">
            <v>0</v>
          </cell>
        </row>
        <row r="3641">
          <cell r="A3641" t="str">
            <v>CIVLA</v>
          </cell>
          <cell r="J3641">
            <v>0</v>
          </cell>
        </row>
        <row r="3642">
          <cell r="A3642" t="str">
            <v>CIVLA</v>
          </cell>
          <cell r="J3642">
            <v>0</v>
          </cell>
        </row>
        <row r="3643">
          <cell r="A3643" t="str">
            <v>CIVLA</v>
          </cell>
          <cell r="J3643">
            <v>0</v>
          </cell>
        </row>
        <row r="3644">
          <cell r="A3644" t="str">
            <v>CIVLA</v>
          </cell>
          <cell r="J3644">
            <v>0</v>
          </cell>
        </row>
        <row r="3645">
          <cell r="A3645" t="str">
            <v>CIVLA</v>
          </cell>
          <cell r="J3645">
            <v>0</v>
          </cell>
        </row>
        <row r="3646">
          <cell r="A3646" t="str">
            <v>CIVLA</v>
          </cell>
          <cell r="J3646">
            <v>0</v>
          </cell>
        </row>
        <row r="3647">
          <cell r="A3647" t="str">
            <v>CIVLA</v>
          </cell>
          <cell r="J3647">
            <v>0</v>
          </cell>
        </row>
        <row r="3648">
          <cell r="A3648" t="str">
            <v>CIVLA</v>
          </cell>
          <cell r="J3648">
            <v>0</v>
          </cell>
        </row>
        <row r="3649">
          <cell r="A3649" t="str">
            <v>CIVLA</v>
          </cell>
          <cell r="J3649">
            <v>0</v>
          </cell>
        </row>
        <row r="3650">
          <cell r="A3650" t="str">
            <v>CIVLA</v>
          </cell>
          <cell r="J3650">
            <v>0</v>
          </cell>
        </row>
        <row r="3651">
          <cell r="A3651" t="str">
            <v>CIVLA</v>
          </cell>
          <cell r="J3651">
            <v>0</v>
          </cell>
        </row>
        <row r="3652">
          <cell r="A3652" t="str">
            <v>CIVLA</v>
          </cell>
          <cell r="J3652">
            <v>0</v>
          </cell>
        </row>
        <row r="3653">
          <cell r="A3653" t="str">
            <v>CIVLA</v>
          </cell>
          <cell r="J3653">
            <v>0</v>
          </cell>
        </row>
        <row r="3654">
          <cell r="A3654" t="str">
            <v>CIVLA</v>
          </cell>
          <cell r="J3654">
            <v>0</v>
          </cell>
        </row>
        <row r="3655">
          <cell r="A3655" t="str">
            <v>CIVLA</v>
          </cell>
          <cell r="J3655">
            <v>0</v>
          </cell>
        </row>
        <row r="3656">
          <cell r="A3656" t="str">
            <v>CIVLA</v>
          </cell>
          <cell r="J3656">
            <v>0</v>
          </cell>
        </row>
        <row r="3657">
          <cell r="A3657" t="str">
            <v>CIVLA</v>
          </cell>
          <cell r="J3657">
            <v>0</v>
          </cell>
        </row>
        <row r="3658">
          <cell r="A3658" t="str">
            <v>CIVLA</v>
          </cell>
          <cell r="J3658">
            <v>0</v>
          </cell>
        </row>
        <row r="3659">
          <cell r="A3659" t="str">
            <v>CIVLA</v>
          </cell>
          <cell r="J3659">
            <v>0</v>
          </cell>
        </row>
        <row r="3660">
          <cell r="A3660" t="str">
            <v>CIVLA</v>
          </cell>
          <cell r="J3660">
            <v>0</v>
          </cell>
        </row>
        <row r="3661">
          <cell r="A3661" t="str">
            <v>CIVLA</v>
          </cell>
          <cell r="J3661">
            <v>0</v>
          </cell>
        </row>
        <row r="3662">
          <cell r="A3662" t="str">
            <v>CIVLA</v>
          </cell>
          <cell r="J3662">
            <v>0</v>
          </cell>
        </row>
        <row r="3663">
          <cell r="A3663" t="str">
            <v>CIVLA</v>
          </cell>
          <cell r="J3663">
            <v>0</v>
          </cell>
        </row>
        <row r="3664">
          <cell r="A3664" t="str">
            <v>CIVLA</v>
          </cell>
          <cell r="J3664">
            <v>0</v>
          </cell>
        </row>
        <row r="3665">
          <cell r="A3665" t="str">
            <v>CIVLA</v>
          </cell>
          <cell r="J3665">
            <v>0</v>
          </cell>
        </row>
        <row r="3666">
          <cell r="A3666" t="str">
            <v>CIVLA</v>
          </cell>
          <cell r="J3666">
            <v>0</v>
          </cell>
        </row>
        <row r="3667">
          <cell r="A3667" t="str">
            <v>CIVLA</v>
          </cell>
          <cell r="J3667">
            <v>0</v>
          </cell>
        </row>
        <row r="3668">
          <cell r="A3668" t="str">
            <v>CIVLA</v>
          </cell>
          <cell r="J3668">
            <v>0</v>
          </cell>
        </row>
        <row r="3669">
          <cell r="A3669" t="str">
            <v>CIVLA</v>
          </cell>
          <cell r="J3669">
            <v>0</v>
          </cell>
        </row>
        <row r="3670">
          <cell r="A3670" t="str">
            <v>CIVLA</v>
          </cell>
          <cell r="J3670">
            <v>0</v>
          </cell>
        </row>
        <row r="3671">
          <cell r="A3671" t="str">
            <v>CIVLA</v>
          </cell>
          <cell r="J3671">
            <v>0</v>
          </cell>
        </row>
        <row r="3672">
          <cell r="A3672" t="str">
            <v>CIVLA</v>
          </cell>
          <cell r="J3672">
            <v>0</v>
          </cell>
        </row>
        <row r="3673">
          <cell r="A3673" t="str">
            <v>CIVLA</v>
          </cell>
          <cell r="J3673">
            <v>0</v>
          </cell>
        </row>
        <row r="3674">
          <cell r="A3674" t="str">
            <v>CIVLA</v>
          </cell>
          <cell r="J3674">
            <v>0</v>
          </cell>
        </row>
        <row r="3675">
          <cell r="A3675" t="str">
            <v>CIVLA</v>
          </cell>
          <cell r="J3675">
            <v>0</v>
          </cell>
        </row>
        <row r="3676">
          <cell r="A3676" t="str">
            <v>CIVLA</v>
          </cell>
          <cell r="J3676">
            <v>0</v>
          </cell>
        </row>
        <row r="3677">
          <cell r="A3677" t="str">
            <v>CIVLA</v>
          </cell>
          <cell r="J3677">
            <v>0</v>
          </cell>
        </row>
        <row r="3678">
          <cell r="A3678" t="str">
            <v>CIVLA</v>
          </cell>
          <cell r="J3678">
            <v>0</v>
          </cell>
        </row>
        <row r="3679">
          <cell r="A3679" t="str">
            <v>CIVLA</v>
          </cell>
          <cell r="J3679">
            <v>0</v>
          </cell>
        </row>
        <row r="3680">
          <cell r="A3680" t="str">
            <v>CIVLA</v>
          </cell>
          <cell r="J3680">
            <v>0</v>
          </cell>
        </row>
        <row r="3681">
          <cell r="A3681" t="str">
            <v>CIVLA</v>
          </cell>
          <cell r="J3681">
            <v>0</v>
          </cell>
        </row>
        <row r="3682">
          <cell r="A3682" t="str">
            <v>CIVLA</v>
          </cell>
          <cell r="J3682">
            <v>0</v>
          </cell>
        </row>
        <row r="3683">
          <cell r="A3683" t="str">
            <v>CIVLA</v>
          </cell>
          <cell r="J3683">
            <v>0</v>
          </cell>
        </row>
        <row r="3684">
          <cell r="A3684" t="str">
            <v>CIVLA</v>
          </cell>
          <cell r="J3684">
            <v>0</v>
          </cell>
        </row>
        <row r="3685">
          <cell r="A3685" t="str">
            <v>CIVLA</v>
          </cell>
          <cell r="J3685">
            <v>0</v>
          </cell>
        </row>
        <row r="3686">
          <cell r="A3686" t="str">
            <v>CIVLA</v>
          </cell>
          <cell r="J3686">
            <v>0</v>
          </cell>
        </row>
        <row r="3687">
          <cell r="A3687" t="str">
            <v>CIVLA</v>
          </cell>
          <cell r="J3687">
            <v>0</v>
          </cell>
        </row>
        <row r="3688">
          <cell r="A3688" t="str">
            <v>CIVLA</v>
          </cell>
          <cell r="J3688">
            <v>0</v>
          </cell>
        </row>
        <row r="3689">
          <cell r="A3689" t="str">
            <v>CIVLA</v>
          </cell>
          <cell r="J3689">
            <v>0</v>
          </cell>
        </row>
        <row r="3690">
          <cell r="A3690" t="str">
            <v>CIVLA</v>
          </cell>
          <cell r="J3690">
            <v>0</v>
          </cell>
        </row>
        <row r="3691">
          <cell r="A3691" t="str">
            <v>CIVLA</v>
          </cell>
          <cell r="J3691">
            <v>0</v>
          </cell>
        </row>
        <row r="3692">
          <cell r="A3692" t="str">
            <v>CIVLA</v>
          </cell>
          <cell r="J3692">
            <v>0</v>
          </cell>
        </row>
        <row r="3693">
          <cell r="A3693" t="str">
            <v>CIVLA</v>
          </cell>
          <cell r="J3693">
            <v>0</v>
          </cell>
        </row>
        <row r="3694">
          <cell r="A3694" t="str">
            <v>CIVLA</v>
          </cell>
          <cell r="J3694">
            <v>0</v>
          </cell>
        </row>
        <row r="3695">
          <cell r="A3695" t="str">
            <v>CIVLA</v>
          </cell>
          <cell r="J3695">
            <v>0</v>
          </cell>
        </row>
        <row r="3696">
          <cell r="A3696" t="str">
            <v>CIVLA</v>
          </cell>
          <cell r="J3696">
            <v>0</v>
          </cell>
        </row>
        <row r="3697">
          <cell r="A3697" t="str">
            <v>CIVLA</v>
          </cell>
          <cell r="J3697">
            <v>0</v>
          </cell>
        </row>
        <row r="3698">
          <cell r="A3698" t="str">
            <v>CIVLA</v>
          </cell>
          <cell r="J3698">
            <v>0</v>
          </cell>
        </row>
        <row r="3699">
          <cell r="A3699" t="str">
            <v>CIVLA</v>
          </cell>
          <cell r="J3699">
            <v>0</v>
          </cell>
        </row>
        <row r="3700">
          <cell r="A3700" t="str">
            <v>CIVLA</v>
          </cell>
          <cell r="J3700">
            <v>0</v>
          </cell>
        </row>
        <row r="3701">
          <cell r="A3701" t="str">
            <v>CIVLA</v>
          </cell>
          <cell r="J3701">
            <v>0</v>
          </cell>
        </row>
        <row r="3702">
          <cell r="A3702" t="str">
            <v>CIVLA</v>
          </cell>
          <cell r="J3702">
            <v>0</v>
          </cell>
        </row>
        <row r="3703">
          <cell r="A3703" t="str">
            <v>CIVLA</v>
          </cell>
          <cell r="J3703">
            <v>0</v>
          </cell>
        </row>
        <row r="3704">
          <cell r="A3704" t="str">
            <v>CIVLA</v>
          </cell>
          <cell r="J3704">
            <v>0</v>
          </cell>
        </row>
        <row r="3705">
          <cell r="A3705" t="str">
            <v>CIVLA</v>
          </cell>
          <cell r="J3705">
            <v>0</v>
          </cell>
        </row>
        <row r="3706">
          <cell r="A3706" t="str">
            <v>CIVLA</v>
          </cell>
          <cell r="J3706">
            <v>0</v>
          </cell>
        </row>
        <row r="3707">
          <cell r="A3707" t="str">
            <v>CIVLA</v>
          </cell>
          <cell r="J3707">
            <v>0</v>
          </cell>
        </row>
        <row r="3708">
          <cell r="A3708" t="str">
            <v>CIVLA</v>
          </cell>
          <cell r="J3708">
            <v>0</v>
          </cell>
        </row>
        <row r="3709">
          <cell r="A3709" t="str">
            <v>CIVLA</v>
          </cell>
          <cell r="J3709">
            <v>0</v>
          </cell>
        </row>
        <row r="3710">
          <cell r="A3710" t="str">
            <v>CIVLA</v>
          </cell>
          <cell r="J3710">
            <v>0</v>
          </cell>
        </row>
        <row r="3711">
          <cell r="A3711" t="str">
            <v>CIVLA</v>
          </cell>
          <cell r="J3711">
            <v>0</v>
          </cell>
        </row>
        <row r="3712">
          <cell r="A3712" t="str">
            <v>CIVLA</v>
          </cell>
          <cell r="J3712">
            <v>0</v>
          </cell>
        </row>
        <row r="3713">
          <cell r="A3713" t="str">
            <v>CIVLA</v>
          </cell>
          <cell r="J3713">
            <v>0</v>
          </cell>
        </row>
        <row r="3714">
          <cell r="A3714" t="str">
            <v>CIVLA</v>
          </cell>
          <cell r="J3714">
            <v>0</v>
          </cell>
        </row>
        <row r="3715">
          <cell r="A3715" t="str">
            <v>CIVLA</v>
          </cell>
          <cell r="J3715">
            <v>0</v>
          </cell>
        </row>
        <row r="3716">
          <cell r="A3716" t="str">
            <v>CIVLA</v>
          </cell>
          <cell r="J3716">
            <v>0</v>
          </cell>
        </row>
        <row r="3717">
          <cell r="A3717" t="str">
            <v>CIVLA</v>
          </cell>
          <cell r="J3717">
            <v>0</v>
          </cell>
        </row>
        <row r="3718">
          <cell r="A3718" t="str">
            <v>CIVLA</v>
          </cell>
          <cell r="J3718">
            <v>0</v>
          </cell>
        </row>
        <row r="3719">
          <cell r="A3719" t="str">
            <v>CIVLA</v>
          </cell>
          <cell r="J3719">
            <v>0</v>
          </cell>
        </row>
        <row r="3720">
          <cell r="A3720" t="str">
            <v>CIVLA</v>
          </cell>
          <cell r="J3720">
            <v>0</v>
          </cell>
        </row>
        <row r="3721">
          <cell r="A3721" t="str">
            <v>CIVLA</v>
          </cell>
          <cell r="J3721">
            <v>0</v>
          </cell>
        </row>
        <row r="3722">
          <cell r="A3722" t="str">
            <v>CIVLA</v>
          </cell>
          <cell r="J3722">
            <v>0</v>
          </cell>
        </row>
        <row r="3723">
          <cell r="A3723" t="str">
            <v>CIVLA</v>
          </cell>
          <cell r="J3723">
            <v>0</v>
          </cell>
        </row>
        <row r="3724">
          <cell r="A3724" t="str">
            <v>CIVLA</v>
          </cell>
          <cell r="J3724">
            <v>0</v>
          </cell>
        </row>
        <row r="3725">
          <cell r="A3725" t="str">
            <v>CIVLA</v>
          </cell>
          <cell r="J3725">
            <v>0</v>
          </cell>
        </row>
        <row r="3726">
          <cell r="A3726" t="str">
            <v>CIVLA</v>
          </cell>
          <cell r="J3726">
            <v>0</v>
          </cell>
        </row>
        <row r="3727">
          <cell r="A3727" t="str">
            <v>CIVLA</v>
          </cell>
          <cell r="J3727">
            <v>0</v>
          </cell>
        </row>
        <row r="3728">
          <cell r="A3728" t="str">
            <v>CIVLA</v>
          </cell>
          <cell r="J3728">
            <v>0</v>
          </cell>
        </row>
        <row r="3729">
          <cell r="A3729" t="str">
            <v>CIVLA</v>
          </cell>
          <cell r="J3729">
            <v>0</v>
          </cell>
        </row>
        <row r="3730">
          <cell r="A3730" t="str">
            <v>CIVLA</v>
          </cell>
          <cell r="J3730">
            <v>0</v>
          </cell>
        </row>
        <row r="3731">
          <cell r="A3731" t="str">
            <v>CIVLA</v>
          </cell>
          <cell r="J3731">
            <v>0</v>
          </cell>
        </row>
        <row r="3732">
          <cell r="A3732" t="str">
            <v>CIVLA</v>
          </cell>
          <cell r="J3732">
            <v>0</v>
          </cell>
        </row>
        <row r="3733">
          <cell r="A3733" t="str">
            <v>CIVLA</v>
          </cell>
          <cell r="J3733">
            <v>0</v>
          </cell>
        </row>
        <row r="3734">
          <cell r="A3734" t="str">
            <v>CIVLA</v>
          </cell>
          <cell r="J3734">
            <v>0</v>
          </cell>
        </row>
        <row r="3735">
          <cell r="A3735" t="str">
            <v>CIVLA</v>
          </cell>
          <cell r="J3735">
            <v>0</v>
          </cell>
        </row>
        <row r="3736">
          <cell r="A3736" t="str">
            <v>CIVLA</v>
          </cell>
          <cell r="J3736">
            <v>0</v>
          </cell>
        </row>
        <row r="3737">
          <cell r="A3737" t="str">
            <v>CIVLA</v>
          </cell>
          <cell r="J3737">
            <v>0</v>
          </cell>
        </row>
        <row r="3738">
          <cell r="A3738" t="str">
            <v>CIVLA</v>
          </cell>
          <cell r="J3738">
            <v>0</v>
          </cell>
        </row>
        <row r="3739">
          <cell r="A3739" t="str">
            <v>CIVLA</v>
          </cell>
          <cell r="J3739">
            <v>0</v>
          </cell>
        </row>
        <row r="3740">
          <cell r="A3740" t="str">
            <v>CIVLA</v>
          </cell>
          <cell r="J3740">
            <v>0</v>
          </cell>
        </row>
        <row r="3741">
          <cell r="A3741" t="str">
            <v>CIVLA</v>
          </cell>
          <cell r="J3741">
            <v>0</v>
          </cell>
        </row>
        <row r="3742">
          <cell r="A3742" t="str">
            <v>CIVLA</v>
          </cell>
          <cell r="J3742">
            <v>0</v>
          </cell>
        </row>
        <row r="3743">
          <cell r="A3743" t="str">
            <v>CIVLA</v>
          </cell>
          <cell r="J3743">
            <v>0</v>
          </cell>
        </row>
        <row r="3744">
          <cell r="A3744" t="str">
            <v>CIVLA</v>
          </cell>
          <cell r="J3744">
            <v>0</v>
          </cell>
        </row>
        <row r="3745">
          <cell r="A3745" t="str">
            <v>CIVLA</v>
          </cell>
          <cell r="J3745">
            <v>0</v>
          </cell>
        </row>
        <row r="3746">
          <cell r="A3746" t="str">
            <v>CIVLA</v>
          </cell>
          <cell r="J3746">
            <v>0</v>
          </cell>
        </row>
        <row r="3747">
          <cell r="A3747" t="str">
            <v>CIVLA</v>
          </cell>
          <cell r="J3747">
            <v>0</v>
          </cell>
        </row>
        <row r="3748">
          <cell r="A3748" t="str">
            <v>CIVLA</v>
          </cell>
          <cell r="J3748">
            <v>0</v>
          </cell>
        </row>
        <row r="3749">
          <cell r="A3749" t="str">
            <v>CIVLA</v>
          </cell>
          <cell r="J3749">
            <v>0</v>
          </cell>
        </row>
        <row r="3750">
          <cell r="A3750" t="str">
            <v>CIVLA</v>
          </cell>
          <cell r="J3750">
            <v>0</v>
          </cell>
        </row>
        <row r="3751">
          <cell r="A3751" t="str">
            <v>CIVLA</v>
          </cell>
          <cell r="J3751">
            <v>0</v>
          </cell>
        </row>
        <row r="3752">
          <cell r="A3752" t="str">
            <v>CIVLA</v>
          </cell>
          <cell r="J3752">
            <v>0</v>
          </cell>
        </row>
        <row r="3753">
          <cell r="A3753" t="str">
            <v>CIVLA</v>
          </cell>
          <cell r="J3753">
            <v>0</v>
          </cell>
        </row>
        <row r="3754">
          <cell r="A3754" t="str">
            <v>CIVLA</v>
          </cell>
          <cell r="J3754">
            <v>0</v>
          </cell>
        </row>
        <row r="3755">
          <cell r="A3755" t="str">
            <v>CIVLA</v>
          </cell>
          <cell r="J3755">
            <v>0</v>
          </cell>
        </row>
        <row r="3756">
          <cell r="A3756" t="str">
            <v>CIVLA</v>
          </cell>
          <cell r="J3756">
            <v>0</v>
          </cell>
        </row>
        <row r="3757">
          <cell r="A3757" t="str">
            <v>CIVLA</v>
          </cell>
          <cell r="J3757">
            <v>0</v>
          </cell>
        </row>
        <row r="3758">
          <cell r="A3758" t="str">
            <v>CIVLA</v>
          </cell>
          <cell r="J3758">
            <v>0</v>
          </cell>
        </row>
        <row r="3759">
          <cell r="A3759" t="str">
            <v>CIVLA</v>
          </cell>
          <cell r="J3759">
            <v>0</v>
          </cell>
        </row>
        <row r="3760">
          <cell r="A3760" t="str">
            <v>CIVLA</v>
          </cell>
          <cell r="J3760">
            <v>0</v>
          </cell>
        </row>
        <row r="3761">
          <cell r="A3761" t="str">
            <v>CIVLA</v>
          </cell>
          <cell r="J3761">
            <v>0</v>
          </cell>
        </row>
        <row r="3762">
          <cell r="A3762" t="str">
            <v>CIVLA</v>
          </cell>
          <cell r="J3762">
            <v>0</v>
          </cell>
        </row>
        <row r="3763">
          <cell r="A3763" t="str">
            <v>CIVLA</v>
          </cell>
          <cell r="J3763">
            <v>0</v>
          </cell>
        </row>
        <row r="3764">
          <cell r="A3764" t="str">
            <v>CIVLA</v>
          </cell>
          <cell r="J3764">
            <v>0</v>
          </cell>
        </row>
        <row r="3765">
          <cell r="A3765" t="str">
            <v>CIVLA</v>
          </cell>
          <cell r="J3765">
            <v>0</v>
          </cell>
        </row>
        <row r="3766">
          <cell r="A3766" t="str">
            <v>CIVLA</v>
          </cell>
          <cell r="J3766">
            <v>0</v>
          </cell>
        </row>
        <row r="3767">
          <cell r="A3767" t="str">
            <v>CIVLA</v>
          </cell>
          <cell r="J3767">
            <v>0</v>
          </cell>
        </row>
        <row r="3768">
          <cell r="A3768" t="str">
            <v>CIVLA</v>
          </cell>
          <cell r="J3768">
            <v>0</v>
          </cell>
        </row>
        <row r="3769">
          <cell r="A3769" t="str">
            <v>CIVLA</v>
          </cell>
          <cell r="J3769">
            <v>0</v>
          </cell>
        </row>
        <row r="3770">
          <cell r="A3770" t="str">
            <v>CIVLA</v>
          </cell>
          <cell r="J3770">
            <v>0</v>
          </cell>
        </row>
        <row r="3771">
          <cell r="A3771" t="str">
            <v>CIVLA</v>
          </cell>
          <cell r="J3771">
            <v>0</v>
          </cell>
        </row>
        <row r="3772">
          <cell r="A3772" t="str">
            <v>CIVLA</v>
          </cell>
          <cell r="J3772">
            <v>0</v>
          </cell>
        </row>
        <row r="3773">
          <cell r="A3773" t="str">
            <v>CIVLA</v>
          </cell>
          <cell r="J3773">
            <v>0</v>
          </cell>
        </row>
        <row r="3774">
          <cell r="A3774" t="str">
            <v>CIVLA</v>
          </cell>
          <cell r="J3774">
            <v>0</v>
          </cell>
        </row>
        <row r="3775">
          <cell r="A3775" t="str">
            <v>CIVLA</v>
          </cell>
          <cell r="J3775">
            <v>0</v>
          </cell>
        </row>
        <row r="3776">
          <cell r="A3776" t="str">
            <v>CIVLA</v>
          </cell>
          <cell r="J3776">
            <v>0</v>
          </cell>
        </row>
        <row r="3777">
          <cell r="A3777" t="str">
            <v>CIVLA</v>
          </cell>
          <cell r="J3777">
            <v>0</v>
          </cell>
        </row>
        <row r="3778">
          <cell r="A3778" t="str">
            <v>CIVLA</v>
          </cell>
          <cell r="J3778">
            <v>0</v>
          </cell>
        </row>
        <row r="3779">
          <cell r="A3779" t="str">
            <v>CIVLA</v>
          </cell>
          <cell r="J3779">
            <v>0</v>
          </cell>
        </row>
        <row r="3780">
          <cell r="A3780" t="str">
            <v>CIVLA</v>
          </cell>
          <cell r="J3780">
            <v>0</v>
          </cell>
        </row>
        <row r="3781">
          <cell r="A3781" t="str">
            <v>CIVLA</v>
          </cell>
          <cell r="J3781">
            <v>0</v>
          </cell>
        </row>
        <row r="3782">
          <cell r="A3782" t="str">
            <v>CIVLA</v>
          </cell>
          <cell r="J3782">
            <v>0</v>
          </cell>
        </row>
        <row r="3783">
          <cell r="A3783" t="str">
            <v>CIVLA</v>
          </cell>
          <cell r="J3783">
            <v>0</v>
          </cell>
        </row>
        <row r="3784">
          <cell r="A3784" t="str">
            <v>CIVLA</v>
          </cell>
          <cell r="J3784">
            <v>0</v>
          </cell>
        </row>
        <row r="3785">
          <cell r="A3785" t="str">
            <v>CIVLA</v>
          </cell>
          <cell r="J3785">
            <v>0</v>
          </cell>
        </row>
        <row r="3786">
          <cell r="A3786" t="str">
            <v>CIVLA</v>
          </cell>
          <cell r="J3786">
            <v>0</v>
          </cell>
        </row>
        <row r="3787">
          <cell r="A3787" t="str">
            <v>CIVLA</v>
          </cell>
          <cell r="J3787">
            <v>0</v>
          </cell>
        </row>
        <row r="3788">
          <cell r="A3788" t="str">
            <v>CIVLA</v>
          </cell>
          <cell r="J3788">
            <v>0</v>
          </cell>
        </row>
        <row r="3789">
          <cell r="A3789" t="str">
            <v>CIVLA</v>
          </cell>
          <cell r="J3789">
            <v>0</v>
          </cell>
        </row>
        <row r="3790">
          <cell r="A3790" t="str">
            <v>CIVLA</v>
          </cell>
          <cell r="J3790">
            <v>0</v>
          </cell>
        </row>
        <row r="3791">
          <cell r="A3791" t="str">
            <v>CIVLA</v>
          </cell>
          <cell r="J3791">
            <v>0</v>
          </cell>
        </row>
        <row r="3792">
          <cell r="A3792" t="str">
            <v>CIVLA</v>
          </cell>
          <cell r="J3792">
            <v>0</v>
          </cell>
        </row>
        <row r="3793">
          <cell r="A3793" t="str">
            <v>CIVLA</v>
          </cell>
          <cell r="J3793">
            <v>0</v>
          </cell>
        </row>
        <row r="3794">
          <cell r="A3794" t="str">
            <v>CIVLA</v>
          </cell>
          <cell r="J3794">
            <v>0</v>
          </cell>
        </row>
        <row r="3795">
          <cell r="A3795" t="str">
            <v>CIVLA</v>
          </cell>
          <cell r="J3795">
            <v>0</v>
          </cell>
        </row>
        <row r="3796">
          <cell r="A3796" t="str">
            <v>CIVLA</v>
          </cell>
          <cell r="J3796">
            <v>0</v>
          </cell>
        </row>
        <row r="3797">
          <cell r="A3797" t="str">
            <v>CIVLA</v>
          </cell>
          <cell r="J3797">
            <v>0</v>
          </cell>
        </row>
        <row r="3798">
          <cell r="A3798" t="str">
            <v>CIVLA</v>
          </cell>
          <cell r="J3798">
            <v>0</v>
          </cell>
        </row>
        <row r="3799">
          <cell r="A3799" t="str">
            <v>CIVLA</v>
          </cell>
          <cell r="J3799">
            <v>0</v>
          </cell>
        </row>
        <row r="3800">
          <cell r="A3800" t="str">
            <v>CIVLA</v>
          </cell>
          <cell r="J3800">
            <v>0</v>
          </cell>
        </row>
        <row r="3801">
          <cell r="A3801" t="str">
            <v>CIVLA</v>
          </cell>
          <cell r="J3801">
            <v>0</v>
          </cell>
        </row>
        <row r="3802">
          <cell r="A3802" t="str">
            <v>CIVLA</v>
          </cell>
          <cell r="J3802">
            <v>0</v>
          </cell>
        </row>
        <row r="3803">
          <cell r="A3803" t="str">
            <v>CIVLA</v>
          </cell>
          <cell r="J3803">
            <v>0</v>
          </cell>
        </row>
        <row r="3804">
          <cell r="A3804" t="str">
            <v>CIVLA</v>
          </cell>
          <cell r="J3804">
            <v>0</v>
          </cell>
        </row>
        <row r="3805">
          <cell r="A3805" t="str">
            <v>CIVLA</v>
          </cell>
          <cell r="J3805">
            <v>0</v>
          </cell>
        </row>
        <row r="3806">
          <cell r="A3806" t="str">
            <v>CIVLA</v>
          </cell>
          <cell r="J3806">
            <v>0</v>
          </cell>
        </row>
        <row r="3807">
          <cell r="A3807" t="str">
            <v>CIVLA</v>
          </cell>
          <cell r="J3807">
            <v>0</v>
          </cell>
        </row>
        <row r="3808">
          <cell r="A3808" t="str">
            <v>CIVLA</v>
          </cell>
          <cell r="J3808">
            <v>0</v>
          </cell>
        </row>
        <row r="3809">
          <cell r="A3809" t="str">
            <v>CIVLA</v>
          </cell>
          <cell r="J3809">
            <v>0</v>
          </cell>
        </row>
        <row r="3810">
          <cell r="A3810" t="str">
            <v>CIVLA</v>
          </cell>
          <cell r="J3810">
            <v>0</v>
          </cell>
        </row>
        <row r="3811">
          <cell r="A3811" t="str">
            <v>CIVLA</v>
          </cell>
          <cell r="J3811">
            <v>0</v>
          </cell>
        </row>
        <row r="3812">
          <cell r="A3812" t="str">
            <v>CIVLA</v>
          </cell>
          <cell r="J3812">
            <v>0</v>
          </cell>
        </row>
        <row r="3813">
          <cell r="A3813" t="str">
            <v>CIVLA</v>
          </cell>
          <cell r="J3813">
            <v>0</v>
          </cell>
        </row>
        <row r="3814">
          <cell r="A3814" t="str">
            <v>CIVLA</v>
          </cell>
          <cell r="J3814">
            <v>0</v>
          </cell>
        </row>
        <row r="3815">
          <cell r="A3815" t="str">
            <v>CIVLA</v>
          </cell>
          <cell r="J3815">
            <v>0</v>
          </cell>
        </row>
        <row r="3816">
          <cell r="A3816" t="str">
            <v>CIVLA</v>
          </cell>
          <cell r="J3816">
            <v>0</v>
          </cell>
        </row>
        <row r="3817">
          <cell r="A3817" t="str">
            <v>CIVLA</v>
          </cell>
          <cell r="J3817">
            <v>0</v>
          </cell>
        </row>
        <row r="3818">
          <cell r="A3818" t="str">
            <v>CIVLA</v>
          </cell>
          <cell r="J3818">
            <v>0</v>
          </cell>
        </row>
        <row r="3819">
          <cell r="A3819" t="str">
            <v>CIVLA</v>
          </cell>
          <cell r="J3819">
            <v>0</v>
          </cell>
        </row>
        <row r="3820">
          <cell r="A3820" t="str">
            <v>CIVLA</v>
          </cell>
          <cell r="J3820">
            <v>0</v>
          </cell>
        </row>
        <row r="3821">
          <cell r="A3821" t="str">
            <v>CIVLA</v>
          </cell>
          <cell r="J3821">
            <v>0</v>
          </cell>
        </row>
        <row r="3822">
          <cell r="A3822" t="str">
            <v>CIVLA</v>
          </cell>
          <cell r="J3822">
            <v>0</v>
          </cell>
        </row>
        <row r="3823">
          <cell r="A3823" t="str">
            <v>CIVLA</v>
          </cell>
          <cell r="J3823">
            <v>0</v>
          </cell>
        </row>
        <row r="3824">
          <cell r="A3824" t="str">
            <v>CIVLA</v>
          </cell>
          <cell r="J3824">
            <v>0</v>
          </cell>
        </row>
        <row r="3825">
          <cell r="A3825" t="str">
            <v>CIVLA</v>
          </cell>
          <cell r="J3825">
            <v>0</v>
          </cell>
        </row>
        <row r="3826">
          <cell r="A3826" t="str">
            <v>CIVLA</v>
          </cell>
          <cell r="J3826">
            <v>0</v>
          </cell>
        </row>
        <row r="3827">
          <cell r="A3827" t="str">
            <v>CIVLA</v>
          </cell>
          <cell r="J3827">
            <v>0</v>
          </cell>
        </row>
        <row r="3828">
          <cell r="A3828" t="str">
            <v>CIVLA</v>
          </cell>
          <cell r="J3828">
            <v>0</v>
          </cell>
        </row>
        <row r="3829">
          <cell r="A3829" t="str">
            <v>CIVLA</v>
          </cell>
          <cell r="J3829">
            <v>0</v>
          </cell>
        </row>
        <row r="3830">
          <cell r="A3830" t="str">
            <v>CIVLA</v>
          </cell>
          <cell r="J3830">
            <v>0</v>
          </cell>
        </row>
        <row r="3831">
          <cell r="A3831" t="str">
            <v>CIVLA</v>
          </cell>
          <cell r="J3831">
            <v>0</v>
          </cell>
        </row>
        <row r="3832">
          <cell r="A3832" t="str">
            <v>CIVLA</v>
          </cell>
          <cell r="J3832">
            <v>0</v>
          </cell>
        </row>
        <row r="3833">
          <cell r="A3833" t="str">
            <v>CIVLA</v>
          </cell>
          <cell r="J3833">
            <v>0</v>
          </cell>
        </row>
        <row r="3834">
          <cell r="A3834" t="str">
            <v>CIVLA</v>
          </cell>
          <cell r="J3834">
            <v>0</v>
          </cell>
        </row>
        <row r="3835">
          <cell r="A3835" t="str">
            <v>CIVLA</v>
          </cell>
          <cell r="J3835">
            <v>0</v>
          </cell>
        </row>
        <row r="3836">
          <cell r="A3836" t="str">
            <v>CIVLA</v>
          </cell>
          <cell r="J3836">
            <v>0</v>
          </cell>
        </row>
        <row r="3837">
          <cell r="A3837" t="str">
            <v>CIVLA</v>
          </cell>
          <cell r="J3837">
            <v>0</v>
          </cell>
        </row>
        <row r="3838">
          <cell r="A3838" t="str">
            <v>CIVLA</v>
          </cell>
          <cell r="J3838">
            <v>0</v>
          </cell>
        </row>
        <row r="3839">
          <cell r="A3839" t="str">
            <v>CIVLA</v>
          </cell>
          <cell r="J3839">
            <v>0</v>
          </cell>
        </row>
        <row r="3840">
          <cell r="A3840" t="str">
            <v>CIVLA</v>
          </cell>
          <cell r="J3840">
            <v>0</v>
          </cell>
        </row>
        <row r="3841">
          <cell r="A3841" t="str">
            <v>CIVLA</v>
          </cell>
          <cell r="J3841">
            <v>0</v>
          </cell>
        </row>
        <row r="3842">
          <cell r="A3842" t="str">
            <v>CIVLA</v>
          </cell>
          <cell r="J3842">
            <v>0</v>
          </cell>
        </row>
        <row r="3843">
          <cell r="A3843" t="str">
            <v>CIVLA</v>
          </cell>
          <cell r="J3843">
            <v>0</v>
          </cell>
        </row>
        <row r="3844">
          <cell r="A3844" t="str">
            <v>CIVLA</v>
          </cell>
          <cell r="J3844">
            <v>0</v>
          </cell>
        </row>
        <row r="3845">
          <cell r="A3845" t="str">
            <v>CIVLA</v>
          </cell>
          <cell r="J3845">
            <v>0</v>
          </cell>
        </row>
        <row r="3846">
          <cell r="A3846" t="str">
            <v>CIVLA</v>
          </cell>
          <cell r="J3846">
            <v>0</v>
          </cell>
        </row>
        <row r="3847">
          <cell r="A3847" t="str">
            <v>CIVLA</v>
          </cell>
          <cell r="J3847">
            <v>0</v>
          </cell>
        </row>
        <row r="3848">
          <cell r="A3848" t="str">
            <v>CIVLA</v>
          </cell>
          <cell r="J3848">
            <v>0</v>
          </cell>
        </row>
        <row r="3849">
          <cell r="A3849" t="str">
            <v>CIVLA</v>
          </cell>
          <cell r="J3849">
            <v>0</v>
          </cell>
        </row>
        <row r="3850">
          <cell r="A3850" t="str">
            <v>CIVLA</v>
          </cell>
          <cell r="J3850">
            <v>0</v>
          </cell>
        </row>
        <row r="3851">
          <cell r="A3851" t="str">
            <v>CIVLA</v>
          </cell>
          <cell r="J3851">
            <v>0</v>
          </cell>
        </row>
        <row r="3852">
          <cell r="A3852" t="str">
            <v>CIVLA</v>
          </cell>
          <cell r="J3852">
            <v>0</v>
          </cell>
        </row>
        <row r="3853">
          <cell r="A3853" t="str">
            <v>CIVLA</v>
          </cell>
          <cell r="J3853">
            <v>0</v>
          </cell>
        </row>
        <row r="3854">
          <cell r="A3854" t="str">
            <v>CIVLA</v>
          </cell>
          <cell r="J3854">
            <v>0</v>
          </cell>
        </row>
        <row r="3855">
          <cell r="A3855" t="str">
            <v>CIVLA</v>
          </cell>
          <cell r="J3855">
            <v>0</v>
          </cell>
        </row>
        <row r="3856">
          <cell r="A3856" t="str">
            <v>CIVLA</v>
          </cell>
          <cell r="J3856">
            <v>0</v>
          </cell>
        </row>
        <row r="3857">
          <cell r="A3857" t="str">
            <v>CIVLA</v>
          </cell>
          <cell r="J3857">
            <v>0</v>
          </cell>
        </row>
        <row r="3858">
          <cell r="A3858" t="str">
            <v>CIVLA</v>
          </cell>
          <cell r="J3858">
            <v>0</v>
          </cell>
        </row>
        <row r="3859">
          <cell r="A3859" t="str">
            <v>CIVLA</v>
          </cell>
          <cell r="J3859">
            <v>0</v>
          </cell>
        </row>
        <row r="3860">
          <cell r="A3860" t="str">
            <v>CIVLA</v>
          </cell>
          <cell r="J3860">
            <v>0</v>
          </cell>
        </row>
        <row r="3861">
          <cell r="A3861" t="str">
            <v>CIVLA</v>
          </cell>
          <cell r="J3861">
            <v>0</v>
          </cell>
        </row>
        <row r="3862">
          <cell r="A3862" t="str">
            <v>CIVLA</v>
          </cell>
          <cell r="J3862">
            <v>0</v>
          </cell>
        </row>
        <row r="3863">
          <cell r="A3863" t="str">
            <v>CIVLA</v>
          </cell>
          <cell r="J3863">
            <v>0</v>
          </cell>
        </row>
        <row r="3864">
          <cell r="A3864" t="str">
            <v>CIVLA</v>
          </cell>
          <cell r="J3864">
            <v>0</v>
          </cell>
        </row>
        <row r="3865">
          <cell r="A3865" t="str">
            <v>CIVLA</v>
          </cell>
          <cell r="J3865">
            <v>0</v>
          </cell>
        </row>
        <row r="3866">
          <cell r="A3866" t="str">
            <v>CIVLA</v>
          </cell>
          <cell r="J3866">
            <v>0</v>
          </cell>
        </row>
        <row r="3867">
          <cell r="A3867" t="str">
            <v>CIVLA</v>
          </cell>
          <cell r="J3867">
            <v>0</v>
          </cell>
        </row>
        <row r="3868">
          <cell r="A3868" t="str">
            <v>CIVLA</v>
          </cell>
          <cell r="J3868">
            <v>0</v>
          </cell>
        </row>
        <row r="3869">
          <cell r="A3869" t="str">
            <v>CIVLA</v>
          </cell>
          <cell r="J3869">
            <v>0</v>
          </cell>
        </row>
        <row r="3870">
          <cell r="A3870" t="str">
            <v>CIVLA</v>
          </cell>
          <cell r="J3870">
            <v>0</v>
          </cell>
        </row>
        <row r="3871">
          <cell r="A3871" t="str">
            <v>CIVLA</v>
          </cell>
          <cell r="J3871">
            <v>0</v>
          </cell>
        </row>
        <row r="3872">
          <cell r="A3872" t="str">
            <v>CIVLA</v>
          </cell>
          <cell r="J3872">
            <v>0</v>
          </cell>
        </row>
        <row r="3873">
          <cell r="A3873" t="str">
            <v>CIVLA</v>
          </cell>
          <cell r="J3873">
            <v>0</v>
          </cell>
        </row>
        <row r="3874">
          <cell r="A3874" t="str">
            <v>CIVLA</v>
          </cell>
          <cell r="J3874">
            <v>0</v>
          </cell>
        </row>
        <row r="3875">
          <cell r="A3875" t="str">
            <v>CIVLA</v>
          </cell>
          <cell r="J3875">
            <v>0</v>
          </cell>
        </row>
        <row r="3876">
          <cell r="A3876" t="str">
            <v>CIVLA</v>
          </cell>
          <cell r="J3876">
            <v>0</v>
          </cell>
        </row>
        <row r="3877">
          <cell r="A3877" t="str">
            <v>CIVLA</v>
          </cell>
          <cell r="J3877">
            <v>0</v>
          </cell>
        </row>
        <row r="3878">
          <cell r="A3878" t="str">
            <v>CIVLA</v>
          </cell>
          <cell r="J3878">
            <v>0</v>
          </cell>
        </row>
        <row r="3879">
          <cell r="A3879" t="str">
            <v>CIVLA</v>
          </cell>
          <cell r="J3879">
            <v>0</v>
          </cell>
        </row>
        <row r="3880">
          <cell r="A3880" t="str">
            <v>CIVLA</v>
          </cell>
          <cell r="J3880">
            <v>0</v>
          </cell>
        </row>
        <row r="3881">
          <cell r="A3881" t="str">
            <v>CIVLA</v>
          </cell>
          <cell r="J3881">
            <v>0</v>
          </cell>
        </row>
        <row r="3882">
          <cell r="A3882" t="str">
            <v>CIVLA</v>
          </cell>
          <cell r="J3882">
            <v>0</v>
          </cell>
        </row>
        <row r="3883">
          <cell r="A3883" t="str">
            <v>CIVLA</v>
          </cell>
          <cell r="J3883">
            <v>0</v>
          </cell>
        </row>
        <row r="3884">
          <cell r="A3884" t="str">
            <v>CIVLA</v>
          </cell>
          <cell r="J3884">
            <v>0</v>
          </cell>
        </row>
        <row r="3885">
          <cell r="A3885" t="str">
            <v>CIVLA</v>
          </cell>
          <cell r="J3885">
            <v>0</v>
          </cell>
        </row>
        <row r="3886">
          <cell r="A3886" t="str">
            <v>CIVLA</v>
          </cell>
          <cell r="J3886">
            <v>0</v>
          </cell>
        </row>
        <row r="3887">
          <cell r="A3887" t="str">
            <v>CIVLA</v>
          </cell>
          <cell r="J3887">
            <v>0</v>
          </cell>
        </row>
        <row r="3888">
          <cell r="A3888" t="str">
            <v>CIVLA</v>
          </cell>
          <cell r="J3888">
            <v>0</v>
          </cell>
        </row>
        <row r="3889">
          <cell r="A3889" t="str">
            <v>CIVLA</v>
          </cell>
          <cell r="J3889">
            <v>0</v>
          </cell>
        </row>
        <row r="3890">
          <cell r="A3890" t="str">
            <v>CIVLA</v>
          </cell>
          <cell r="J3890">
            <v>0</v>
          </cell>
        </row>
        <row r="3891">
          <cell r="A3891" t="str">
            <v>CIVLA</v>
          </cell>
          <cell r="J3891">
            <v>0</v>
          </cell>
        </row>
        <row r="3892">
          <cell r="A3892" t="str">
            <v>CIVLA</v>
          </cell>
          <cell r="J3892">
            <v>0</v>
          </cell>
        </row>
        <row r="3893">
          <cell r="A3893" t="str">
            <v>CIVLA</v>
          </cell>
          <cell r="J3893">
            <v>0</v>
          </cell>
        </row>
        <row r="3894">
          <cell r="A3894" t="str">
            <v>CIVLA</v>
          </cell>
          <cell r="J3894">
            <v>0</v>
          </cell>
        </row>
        <row r="3895">
          <cell r="A3895" t="str">
            <v>CIVLA</v>
          </cell>
          <cell r="J3895">
            <v>0</v>
          </cell>
        </row>
        <row r="3896">
          <cell r="A3896" t="str">
            <v>CIVLA</v>
          </cell>
          <cell r="J3896">
            <v>0</v>
          </cell>
        </row>
        <row r="3897">
          <cell r="A3897" t="str">
            <v>CIVLA</v>
          </cell>
          <cell r="J3897">
            <v>0</v>
          </cell>
        </row>
        <row r="3898">
          <cell r="A3898" t="str">
            <v>CIVLA</v>
          </cell>
          <cell r="J3898">
            <v>0</v>
          </cell>
        </row>
        <row r="3899">
          <cell r="A3899" t="str">
            <v>CIVLA</v>
          </cell>
          <cell r="J3899">
            <v>0</v>
          </cell>
        </row>
        <row r="3900">
          <cell r="A3900" t="str">
            <v>CIVLA</v>
          </cell>
          <cell r="J3900">
            <v>0</v>
          </cell>
        </row>
        <row r="3901">
          <cell r="A3901" t="str">
            <v>CIVLA</v>
          </cell>
          <cell r="J3901">
            <v>0</v>
          </cell>
        </row>
        <row r="3902">
          <cell r="A3902" t="str">
            <v>CIVLA</v>
          </cell>
          <cell r="J3902">
            <v>0</v>
          </cell>
        </row>
        <row r="3903">
          <cell r="A3903" t="str">
            <v>CIVLA</v>
          </cell>
          <cell r="J3903">
            <v>0</v>
          </cell>
        </row>
        <row r="3904">
          <cell r="A3904" t="str">
            <v>CIVLA</v>
          </cell>
          <cell r="J3904">
            <v>0</v>
          </cell>
        </row>
        <row r="3905">
          <cell r="A3905" t="str">
            <v>CIVLA</v>
          </cell>
          <cell r="J3905">
            <v>0</v>
          </cell>
        </row>
        <row r="3906">
          <cell r="A3906" t="str">
            <v>CIVLA</v>
          </cell>
          <cell r="J3906">
            <v>0</v>
          </cell>
        </row>
        <row r="3907">
          <cell r="A3907" t="str">
            <v>CIVLA</v>
          </cell>
          <cell r="J3907">
            <v>0</v>
          </cell>
        </row>
        <row r="3908">
          <cell r="A3908" t="str">
            <v>CIVLA</v>
          </cell>
          <cell r="J3908">
            <v>0</v>
          </cell>
        </row>
        <row r="3909">
          <cell r="A3909" t="str">
            <v>CIVLA</v>
          </cell>
          <cell r="J3909">
            <v>0</v>
          </cell>
        </row>
        <row r="3910">
          <cell r="A3910" t="str">
            <v>CIVLA</v>
          </cell>
          <cell r="J3910">
            <v>0</v>
          </cell>
        </row>
        <row r="3911">
          <cell r="A3911" t="str">
            <v>CIVLA</v>
          </cell>
          <cell r="J3911">
            <v>0</v>
          </cell>
        </row>
        <row r="3912">
          <cell r="A3912" t="str">
            <v>CIVLA</v>
          </cell>
          <cell r="J3912">
            <v>0</v>
          </cell>
        </row>
        <row r="3913">
          <cell r="A3913" t="str">
            <v>CIVLA</v>
          </cell>
          <cell r="J3913">
            <v>0</v>
          </cell>
        </row>
        <row r="3914">
          <cell r="A3914" t="str">
            <v>CIVLA</v>
          </cell>
          <cell r="J3914">
            <v>0</v>
          </cell>
        </row>
        <row r="3915">
          <cell r="A3915" t="str">
            <v>CIVLA</v>
          </cell>
          <cell r="J3915">
            <v>0</v>
          </cell>
        </row>
        <row r="3916">
          <cell r="A3916" t="str">
            <v>CIVLA</v>
          </cell>
          <cell r="J3916">
            <v>0</v>
          </cell>
        </row>
        <row r="3917">
          <cell r="A3917" t="str">
            <v>CIVLA</v>
          </cell>
          <cell r="J3917">
            <v>0</v>
          </cell>
        </row>
        <row r="3918">
          <cell r="A3918" t="str">
            <v>CIVLA</v>
          </cell>
          <cell r="J3918">
            <v>0</v>
          </cell>
        </row>
        <row r="3919">
          <cell r="A3919" t="str">
            <v>CIVLA</v>
          </cell>
          <cell r="J3919">
            <v>0</v>
          </cell>
        </row>
        <row r="3920">
          <cell r="A3920" t="str">
            <v>CIVLA</v>
          </cell>
          <cell r="J3920">
            <v>0</v>
          </cell>
        </row>
        <row r="3921">
          <cell r="A3921" t="str">
            <v>CIVLA</v>
          </cell>
          <cell r="J3921">
            <v>0</v>
          </cell>
        </row>
        <row r="3922">
          <cell r="A3922" t="str">
            <v>CIVLA</v>
          </cell>
          <cell r="J3922">
            <v>0</v>
          </cell>
        </row>
        <row r="3923">
          <cell r="A3923" t="str">
            <v>CIVLA</v>
          </cell>
          <cell r="J3923">
            <v>0</v>
          </cell>
        </row>
        <row r="3924">
          <cell r="A3924" t="str">
            <v>CIVLA</v>
          </cell>
          <cell r="J3924">
            <v>0</v>
          </cell>
        </row>
        <row r="3925">
          <cell r="A3925" t="str">
            <v>CIVLA</v>
          </cell>
          <cell r="J3925">
            <v>0</v>
          </cell>
        </row>
        <row r="3926">
          <cell r="A3926" t="str">
            <v>CIVLA</v>
          </cell>
          <cell r="J3926">
            <v>0</v>
          </cell>
        </row>
        <row r="3927">
          <cell r="A3927" t="str">
            <v>CIVLA</v>
          </cell>
          <cell r="J3927">
            <v>0</v>
          </cell>
        </row>
        <row r="3928">
          <cell r="A3928" t="str">
            <v>CIVLA</v>
          </cell>
          <cell r="J3928">
            <v>0</v>
          </cell>
        </row>
        <row r="3929">
          <cell r="A3929" t="str">
            <v>CIVLA</v>
          </cell>
          <cell r="J3929">
            <v>0</v>
          </cell>
        </row>
        <row r="3930">
          <cell r="A3930" t="str">
            <v>CIVLA</v>
          </cell>
          <cell r="J3930">
            <v>0</v>
          </cell>
        </row>
        <row r="3931">
          <cell r="A3931" t="str">
            <v>CIVLA</v>
          </cell>
          <cell r="J3931">
            <v>0</v>
          </cell>
        </row>
        <row r="3932">
          <cell r="A3932" t="str">
            <v>CIVLA</v>
          </cell>
          <cell r="J3932">
            <v>0</v>
          </cell>
        </row>
        <row r="3933">
          <cell r="A3933" t="str">
            <v>CIVLA</v>
          </cell>
          <cell r="J3933">
            <v>0</v>
          </cell>
        </row>
        <row r="3934">
          <cell r="A3934" t="str">
            <v>CIVLA</v>
          </cell>
          <cell r="J3934">
            <v>0</v>
          </cell>
        </row>
        <row r="3935">
          <cell r="A3935" t="str">
            <v>CIVLA</v>
          </cell>
          <cell r="J3935">
            <v>0</v>
          </cell>
        </row>
        <row r="3936">
          <cell r="A3936" t="str">
            <v>CIVLA</v>
          </cell>
          <cell r="J3936">
            <v>0</v>
          </cell>
        </row>
        <row r="3937">
          <cell r="A3937" t="str">
            <v>CIVLA</v>
          </cell>
          <cell r="J3937">
            <v>0</v>
          </cell>
        </row>
        <row r="3938">
          <cell r="A3938" t="str">
            <v>CIVLA</v>
          </cell>
          <cell r="J3938">
            <v>0</v>
          </cell>
        </row>
        <row r="3939">
          <cell r="A3939" t="str">
            <v>CIVLA</v>
          </cell>
          <cell r="J3939">
            <v>0</v>
          </cell>
        </row>
        <row r="3940">
          <cell r="A3940" t="str">
            <v>CIVLA</v>
          </cell>
          <cell r="J3940">
            <v>0</v>
          </cell>
        </row>
        <row r="3941">
          <cell r="A3941" t="str">
            <v>CIVLA</v>
          </cell>
          <cell r="J3941">
            <v>0</v>
          </cell>
        </row>
        <row r="3942">
          <cell r="A3942" t="str">
            <v>CIVLA</v>
          </cell>
          <cell r="J3942">
            <v>0</v>
          </cell>
        </row>
        <row r="3943">
          <cell r="A3943" t="str">
            <v>CIVLA</v>
          </cell>
          <cell r="J3943">
            <v>0</v>
          </cell>
        </row>
        <row r="3944">
          <cell r="A3944" t="str">
            <v>CIVLA</v>
          </cell>
          <cell r="J3944">
            <v>0</v>
          </cell>
        </row>
        <row r="3945">
          <cell r="A3945" t="str">
            <v>CIVLA</v>
          </cell>
          <cell r="J3945">
            <v>0</v>
          </cell>
        </row>
        <row r="3946">
          <cell r="A3946" t="str">
            <v>CIVLA</v>
          </cell>
          <cell r="J3946">
            <v>0</v>
          </cell>
        </row>
        <row r="3947">
          <cell r="A3947" t="str">
            <v>CIVLA</v>
          </cell>
          <cell r="J3947">
            <v>0</v>
          </cell>
        </row>
        <row r="3948">
          <cell r="A3948" t="str">
            <v>CIVLA</v>
          </cell>
          <cell r="J3948">
            <v>0</v>
          </cell>
        </row>
        <row r="3949">
          <cell r="A3949" t="str">
            <v>CIVLA</v>
          </cell>
          <cell r="J3949">
            <v>0</v>
          </cell>
        </row>
        <row r="3950">
          <cell r="A3950" t="str">
            <v>CIVLA</v>
          </cell>
          <cell r="J3950">
            <v>0</v>
          </cell>
        </row>
        <row r="3951">
          <cell r="A3951" t="str">
            <v>CIVLA</v>
          </cell>
          <cell r="J3951">
            <v>0</v>
          </cell>
        </row>
        <row r="3952">
          <cell r="A3952" t="str">
            <v>CIVLA</v>
          </cell>
          <cell r="J3952">
            <v>0</v>
          </cell>
        </row>
        <row r="3953">
          <cell r="A3953" t="str">
            <v>CIVLA</v>
          </cell>
          <cell r="J3953">
            <v>0</v>
          </cell>
        </row>
        <row r="3954">
          <cell r="A3954" t="str">
            <v>CIVLA</v>
          </cell>
          <cell r="J3954">
            <v>0</v>
          </cell>
        </row>
        <row r="3955">
          <cell r="A3955" t="str">
            <v>CIVLA</v>
          </cell>
          <cell r="J3955">
            <v>0</v>
          </cell>
        </row>
        <row r="3956">
          <cell r="A3956" t="str">
            <v>CIVLA</v>
          </cell>
          <cell r="J3956">
            <v>0</v>
          </cell>
        </row>
        <row r="3957">
          <cell r="A3957" t="str">
            <v>CIVLA</v>
          </cell>
          <cell r="J3957">
            <v>0</v>
          </cell>
        </row>
        <row r="3958">
          <cell r="A3958" t="str">
            <v>CIVLA</v>
          </cell>
          <cell r="J3958">
            <v>0</v>
          </cell>
        </row>
        <row r="3959">
          <cell r="A3959" t="str">
            <v>CIVLA</v>
          </cell>
          <cell r="J3959">
            <v>0</v>
          </cell>
        </row>
        <row r="3960">
          <cell r="A3960" t="str">
            <v>CIVLA</v>
          </cell>
          <cell r="J3960">
            <v>0</v>
          </cell>
        </row>
        <row r="3961">
          <cell r="A3961" t="str">
            <v>CIVLA</v>
          </cell>
          <cell r="J3961">
            <v>0</v>
          </cell>
        </row>
        <row r="3962">
          <cell r="A3962" t="str">
            <v>CIVLA</v>
          </cell>
          <cell r="J3962">
            <v>0</v>
          </cell>
        </row>
        <row r="3963">
          <cell r="A3963" t="str">
            <v>CIVLA</v>
          </cell>
          <cell r="J3963">
            <v>0</v>
          </cell>
        </row>
        <row r="3964">
          <cell r="A3964" t="str">
            <v>CIVLA</v>
          </cell>
          <cell r="J3964">
            <v>0</v>
          </cell>
        </row>
        <row r="3965">
          <cell r="A3965" t="str">
            <v>CIVLA</v>
          </cell>
          <cell r="J3965">
            <v>0</v>
          </cell>
        </row>
        <row r="3966">
          <cell r="A3966" t="str">
            <v>CIVLA</v>
          </cell>
          <cell r="J3966">
            <v>0</v>
          </cell>
        </row>
        <row r="3967">
          <cell r="A3967" t="str">
            <v>CIVLA</v>
          </cell>
          <cell r="J3967">
            <v>0</v>
          </cell>
        </row>
        <row r="3968">
          <cell r="A3968" t="str">
            <v>CIVLA</v>
          </cell>
          <cell r="J3968">
            <v>0</v>
          </cell>
        </row>
        <row r="3969">
          <cell r="A3969" t="str">
            <v>CIVLA</v>
          </cell>
          <cell r="J3969">
            <v>0</v>
          </cell>
        </row>
        <row r="3970">
          <cell r="A3970" t="str">
            <v>CIVLA</v>
          </cell>
          <cell r="J3970">
            <v>0</v>
          </cell>
        </row>
        <row r="3971">
          <cell r="A3971" t="str">
            <v>CIVLA</v>
          </cell>
          <cell r="J3971">
            <v>0</v>
          </cell>
        </row>
        <row r="3972">
          <cell r="A3972" t="str">
            <v>CIVLA</v>
          </cell>
          <cell r="J3972">
            <v>0</v>
          </cell>
        </row>
        <row r="3973">
          <cell r="A3973" t="str">
            <v>CIVLA</v>
          </cell>
          <cell r="J3973">
            <v>0</v>
          </cell>
        </row>
        <row r="3974">
          <cell r="A3974" t="str">
            <v>CIVLA</v>
          </cell>
          <cell r="J3974">
            <v>0</v>
          </cell>
        </row>
        <row r="3975">
          <cell r="A3975" t="str">
            <v>CIVLA</v>
          </cell>
          <cell r="J3975">
            <v>0</v>
          </cell>
        </row>
        <row r="3976">
          <cell r="A3976" t="str">
            <v>CIVLA</v>
          </cell>
          <cell r="J3976">
            <v>0</v>
          </cell>
        </row>
        <row r="3977">
          <cell r="A3977" t="str">
            <v>CIVLA</v>
          </cell>
          <cell r="J3977">
            <v>0</v>
          </cell>
        </row>
        <row r="3978">
          <cell r="A3978" t="str">
            <v>CIVLA</v>
          </cell>
          <cell r="J3978">
            <v>0</v>
          </cell>
        </row>
        <row r="3979">
          <cell r="A3979" t="str">
            <v>CIVLA</v>
          </cell>
          <cell r="J3979">
            <v>0</v>
          </cell>
        </row>
        <row r="3980">
          <cell r="A3980" t="str">
            <v>CIVLA</v>
          </cell>
          <cell r="J3980">
            <v>0</v>
          </cell>
        </row>
        <row r="3981">
          <cell r="A3981" t="str">
            <v>CIVLA</v>
          </cell>
          <cell r="J3981">
            <v>0</v>
          </cell>
        </row>
        <row r="3982">
          <cell r="A3982" t="str">
            <v>CIVLA</v>
          </cell>
          <cell r="J3982">
            <v>0</v>
          </cell>
        </row>
        <row r="3983">
          <cell r="A3983" t="str">
            <v>CIVLA</v>
          </cell>
          <cell r="J3983">
            <v>0</v>
          </cell>
        </row>
        <row r="3984">
          <cell r="A3984" t="str">
            <v>CIVLA</v>
          </cell>
          <cell r="J3984">
            <v>0</v>
          </cell>
        </row>
        <row r="3985">
          <cell r="A3985" t="str">
            <v>CIVLA</v>
          </cell>
          <cell r="J3985">
            <v>0</v>
          </cell>
        </row>
        <row r="3986">
          <cell r="A3986" t="str">
            <v>CIVLA</v>
          </cell>
          <cell r="J3986">
            <v>0</v>
          </cell>
        </row>
        <row r="3987">
          <cell r="A3987" t="str">
            <v>CIVLA</v>
          </cell>
          <cell r="J3987">
            <v>0</v>
          </cell>
        </row>
        <row r="3988">
          <cell r="A3988" t="str">
            <v>CIVLA</v>
          </cell>
          <cell r="J3988">
            <v>0</v>
          </cell>
        </row>
        <row r="3989">
          <cell r="A3989" t="str">
            <v>CIVLA</v>
          </cell>
          <cell r="J3989">
            <v>0</v>
          </cell>
        </row>
        <row r="3990">
          <cell r="A3990" t="str">
            <v>CIVLA</v>
          </cell>
          <cell r="J3990">
            <v>0</v>
          </cell>
        </row>
        <row r="3991">
          <cell r="A3991" t="str">
            <v>CIVLA</v>
          </cell>
          <cell r="J3991">
            <v>0</v>
          </cell>
        </row>
        <row r="3992">
          <cell r="A3992" t="str">
            <v>CIVLA</v>
          </cell>
          <cell r="J3992">
            <v>0</v>
          </cell>
        </row>
        <row r="3993">
          <cell r="A3993" t="str">
            <v>CIVLA</v>
          </cell>
          <cell r="J3993">
            <v>0</v>
          </cell>
        </row>
        <row r="3994">
          <cell r="A3994" t="str">
            <v>CIVLA</v>
          </cell>
          <cell r="J3994">
            <v>0</v>
          </cell>
        </row>
        <row r="3995">
          <cell r="A3995" t="str">
            <v>CIVLA</v>
          </cell>
          <cell r="J3995">
            <v>0</v>
          </cell>
        </row>
        <row r="3996">
          <cell r="A3996" t="str">
            <v>CIVLA</v>
          </cell>
          <cell r="J3996">
            <v>0</v>
          </cell>
        </row>
        <row r="3997">
          <cell r="A3997" t="str">
            <v>CIVLA</v>
          </cell>
          <cell r="J3997">
            <v>0</v>
          </cell>
        </row>
        <row r="3998">
          <cell r="A3998" t="str">
            <v>CIVLA</v>
          </cell>
          <cell r="J3998">
            <v>0</v>
          </cell>
        </row>
        <row r="3999">
          <cell r="A3999" t="str">
            <v>CIVLA</v>
          </cell>
          <cell r="J3999">
            <v>0</v>
          </cell>
        </row>
        <row r="4000">
          <cell r="A4000" t="str">
            <v>CIVLA</v>
          </cell>
          <cell r="J4000">
            <v>0</v>
          </cell>
        </row>
        <row r="4001">
          <cell r="A4001" t="str">
            <v>CIVLA</v>
          </cell>
          <cell r="J4001">
            <v>0</v>
          </cell>
        </row>
        <row r="4002">
          <cell r="A4002" t="str">
            <v>CIVLA</v>
          </cell>
          <cell r="J4002">
            <v>0</v>
          </cell>
        </row>
        <row r="4003">
          <cell r="A4003" t="str">
            <v>CIVLA</v>
          </cell>
          <cell r="J4003">
            <v>0</v>
          </cell>
        </row>
        <row r="4004">
          <cell r="A4004" t="str">
            <v>CIVLA</v>
          </cell>
          <cell r="J4004">
            <v>0</v>
          </cell>
        </row>
        <row r="4005">
          <cell r="A4005" t="str">
            <v>CIVLA</v>
          </cell>
          <cell r="J4005">
            <v>0</v>
          </cell>
        </row>
        <row r="4006">
          <cell r="A4006" t="str">
            <v>CIVLA</v>
          </cell>
          <cell r="J4006">
            <v>0</v>
          </cell>
        </row>
        <row r="4007">
          <cell r="A4007" t="str">
            <v>CIVLA</v>
          </cell>
          <cell r="J4007">
            <v>0</v>
          </cell>
        </row>
        <row r="4008">
          <cell r="A4008" t="str">
            <v>CIVLA</v>
          </cell>
          <cell r="J4008">
            <v>0</v>
          </cell>
        </row>
        <row r="4009">
          <cell r="A4009" t="str">
            <v>CIVLA</v>
          </cell>
          <cell r="J4009">
            <v>0</v>
          </cell>
        </row>
        <row r="4010">
          <cell r="A4010" t="str">
            <v>CIVLA</v>
          </cell>
          <cell r="J4010">
            <v>0</v>
          </cell>
        </row>
        <row r="4011">
          <cell r="A4011" t="str">
            <v>CIVLA</v>
          </cell>
          <cell r="J4011">
            <v>0</v>
          </cell>
        </row>
        <row r="4012">
          <cell r="A4012" t="str">
            <v>CIVLA</v>
          </cell>
          <cell r="J4012">
            <v>0</v>
          </cell>
        </row>
        <row r="4013">
          <cell r="A4013" t="str">
            <v>CIVLA</v>
          </cell>
          <cell r="J4013">
            <v>0</v>
          </cell>
        </row>
        <row r="4014">
          <cell r="A4014" t="str">
            <v>CIVLA</v>
          </cell>
          <cell r="J4014">
            <v>0</v>
          </cell>
        </row>
        <row r="4015">
          <cell r="A4015" t="str">
            <v>CIVLA</v>
          </cell>
          <cell r="J4015">
            <v>0</v>
          </cell>
        </row>
        <row r="4016">
          <cell r="A4016" t="str">
            <v>CIVLA</v>
          </cell>
          <cell r="J4016">
            <v>0</v>
          </cell>
        </row>
        <row r="4017">
          <cell r="A4017" t="str">
            <v>CIVLA</v>
          </cell>
          <cell r="J4017">
            <v>0</v>
          </cell>
        </row>
        <row r="4018">
          <cell r="A4018" t="str">
            <v>CIVLA</v>
          </cell>
          <cell r="J4018">
            <v>0</v>
          </cell>
        </row>
        <row r="4019">
          <cell r="A4019" t="str">
            <v>CIVLA</v>
          </cell>
          <cell r="J4019">
            <v>0</v>
          </cell>
        </row>
        <row r="4020">
          <cell r="A4020" t="str">
            <v>CIVLA</v>
          </cell>
          <cell r="J4020">
            <v>0</v>
          </cell>
        </row>
        <row r="4021">
          <cell r="A4021" t="str">
            <v>CIVLA</v>
          </cell>
          <cell r="J4021">
            <v>0</v>
          </cell>
        </row>
        <row r="4022">
          <cell r="A4022" t="str">
            <v>CIVLA</v>
          </cell>
          <cell r="J4022">
            <v>0</v>
          </cell>
        </row>
        <row r="4023">
          <cell r="A4023" t="str">
            <v>CIVLA</v>
          </cell>
          <cell r="J4023">
            <v>0</v>
          </cell>
        </row>
        <row r="4024">
          <cell r="A4024" t="str">
            <v>CIVLA</v>
          </cell>
          <cell r="J4024">
            <v>0</v>
          </cell>
        </row>
        <row r="4025">
          <cell r="A4025" t="str">
            <v>CIVLA</v>
          </cell>
          <cell r="J4025">
            <v>0</v>
          </cell>
        </row>
        <row r="4026">
          <cell r="A4026" t="str">
            <v>CIVLA</v>
          </cell>
          <cell r="J4026">
            <v>0</v>
          </cell>
        </row>
        <row r="4027">
          <cell r="A4027" t="str">
            <v>CIVLA</v>
          </cell>
          <cell r="J4027">
            <v>0</v>
          </cell>
        </row>
        <row r="4028">
          <cell r="A4028" t="str">
            <v>CIVLA</v>
          </cell>
          <cell r="J4028">
            <v>0</v>
          </cell>
        </row>
        <row r="4029">
          <cell r="A4029" t="str">
            <v>CIVLA</v>
          </cell>
          <cell r="J4029">
            <v>0</v>
          </cell>
        </row>
        <row r="4030">
          <cell r="A4030" t="str">
            <v>CIVLA</v>
          </cell>
          <cell r="J4030">
            <v>0</v>
          </cell>
        </row>
        <row r="4031">
          <cell r="A4031" t="str">
            <v>CIVLA</v>
          </cell>
          <cell r="J4031">
            <v>0</v>
          </cell>
        </row>
        <row r="4032">
          <cell r="A4032" t="str">
            <v>CIVLA</v>
          </cell>
          <cell r="J4032">
            <v>0</v>
          </cell>
        </row>
        <row r="4033">
          <cell r="A4033" t="str">
            <v>CIVLA</v>
          </cell>
          <cell r="J4033">
            <v>0</v>
          </cell>
        </row>
        <row r="4034">
          <cell r="A4034" t="str">
            <v>CIVLA</v>
          </cell>
          <cell r="J4034">
            <v>0</v>
          </cell>
        </row>
        <row r="4035">
          <cell r="A4035" t="str">
            <v>CIVLA</v>
          </cell>
          <cell r="J4035">
            <v>0</v>
          </cell>
        </row>
        <row r="4036">
          <cell r="A4036" t="str">
            <v>CIVLA</v>
          </cell>
          <cell r="J4036">
            <v>0</v>
          </cell>
        </row>
        <row r="4037">
          <cell r="A4037" t="str">
            <v>CIVLA</v>
          </cell>
          <cell r="J4037">
            <v>0</v>
          </cell>
        </row>
        <row r="4038">
          <cell r="A4038" t="str">
            <v>CIVLA</v>
          </cell>
          <cell r="J4038">
            <v>0</v>
          </cell>
        </row>
        <row r="4039">
          <cell r="A4039" t="str">
            <v>CIVLA</v>
          </cell>
          <cell r="J4039">
            <v>0</v>
          </cell>
        </row>
        <row r="4040">
          <cell r="A4040" t="str">
            <v>CIVLA</v>
          </cell>
          <cell r="J4040">
            <v>0</v>
          </cell>
        </row>
        <row r="4041">
          <cell r="A4041" t="str">
            <v>CIVLA</v>
          </cell>
          <cell r="J4041">
            <v>0</v>
          </cell>
        </row>
        <row r="4042">
          <cell r="A4042" t="str">
            <v>CIVLA</v>
          </cell>
          <cell r="J4042">
            <v>0</v>
          </cell>
        </row>
        <row r="4043">
          <cell r="A4043" t="str">
            <v>CIVLA</v>
          </cell>
          <cell r="J4043">
            <v>0</v>
          </cell>
        </row>
        <row r="4044">
          <cell r="A4044" t="str">
            <v>CIVLA</v>
          </cell>
          <cell r="J4044">
            <v>0</v>
          </cell>
        </row>
        <row r="4045">
          <cell r="A4045" t="str">
            <v>CIVLA</v>
          </cell>
          <cell r="J4045">
            <v>0</v>
          </cell>
        </row>
        <row r="4046">
          <cell r="A4046" t="str">
            <v>CIVLA</v>
          </cell>
          <cell r="J4046">
            <v>0</v>
          </cell>
        </row>
        <row r="4047">
          <cell r="A4047" t="str">
            <v>CIVLA</v>
          </cell>
          <cell r="J4047">
            <v>0</v>
          </cell>
        </row>
        <row r="4048">
          <cell r="A4048" t="str">
            <v>CIVLA</v>
          </cell>
          <cell r="J4048">
            <v>0</v>
          </cell>
        </row>
        <row r="4049">
          <cell r="A4049" t="str">
            <v>CIVLA</v>
          </cell>
          <cell r="J4049">
            <v>0</v>
          </cell>
        </row>
        <row r="4050">
          <cell r="A4050" t="str">
            <v>CIVLA</v>
          </cell>
          <cell r="J4050">
            <v>0</v>
          </cell>
        </row>
        <row r="4051">
          <cell r="A4051" t="str">
            <v>CIVLA</v>
          </cell>
          <cell r="J4051">
            <v>0</v>
          </cell>
        </row>
        <row r="4052">
          <cell r="A4052" t="str">
            <v>CIVLA</v>
          </cell>
          <cell r="J4052">
            <v>0</v>
          </cell>
        </row>
        <row r="4053">
          <cell r="A4053" t="str">
            <v>CIVLA</v>
          </cell>
          <cell r="J4053">
            <v>0</v>
          </cell>
        </row>
        <row r="4054">
          <cell r="A4054" t="str">
            <v>CIVLA</v>
          </cell>
          <cell r="J4054">
            <v>0</v>
          </cell>
        </row>
        <row r="4055">
          <cell r="A4055" t="str">
            <v>CIVLA</v>
          </cell>
          <cell r="J4055">
            <v>0</v>
          </cell>
        </row>
        <row r="4056">
          <cell r="A4056" t="str">
            <v>CIVLA</v>
          </cell>
          <cell r="J4056">
            <v>0</v>
          </cell>
        </row>
        <row r="4057">
          <cell r="A4057" t="str">
            <v>CIVLA</v>
          </cell>
          <cell r="J4057">
            <v>0</v>
          </cell>
        </row>
        <row r="4058">
          <cell r="A4058" t="str">
            <v>CIVLA</v>
          </cell>
          <cell r="J4058">
            <v>0</v>
          </cell>
        </row>
        <row r="4059">
          <cell r="A4059" t="str">
            <v>CIVLA</v>
          </cell>
          <cell r="J4059">
            <v>0</v>
          </cell>
        </row>
        <row r="4060">
          <cell r="A4060" t="str">
            <v>CIVLA</v>
          </cell>
          <cell r="J4060">
            <v>0</v>
          </cell>
        </row>
        <row r="4061">
          <cell r="A4061" t="str">
            <v>CIVLA</v>
          </cell>
          <cell r="J4061">
            <v>0</v>
          </cell>
        </row>
        <row r="4062">
          <cell r="A4062" t="str">
            <v>CIVLA</v>
          </cell>
          <cell r="J4062">
            <v>0</v>
          </cell>
        </row>
        <row r="4063">
          <cell r="A4063" t="str">
            <v>CIVLA</v>
          </cell>
          <cell r="J4063">
            <v>0</v>
          </cell>
        </row>
        <row r="4064">
          <cell r="A4064" t="str">
            <v>CIVLA</v>
          </cell>
          <cell r="J4064">
            <v>0</v>
          </cell>
        </row>
        <row r="4065">
          <cell r="A4065" t="str">
            <v>CIVLA</v>
          </cell>
          <cell r="J4065">
            <v>0</v>
          </cell>
        </row>
        <row r="4066">
          <cell r="A4066" t="str">
            <v>CIVLA</v>
          </cell>
          <cell r="J4066">
            <v>0</v>
          </cell>
        </row>
        <row r="4067">
          <cell r="A4067" t="str">
            <v>CIVLA</v>
          </cell>
          <cell r="J4067">
            <v>0</v>
          </cell>
        </row>
        <row r="4068">
          <cell r="A4068" t="str">
            <v>CIVLA</v>
          </cell>
          <cell r="J4068">
            <v>0</v>
          </cell>
        </row>
        <row r="4069">
          <cell r="A4069" t="str">
            <v>CIVLA</v>
          </cell>
          <cell r="J4069">
            <v>0</v>
          </cell>
        </row>
        <row r="4070">
          <cell r="A4070" t="str">
            <v>CIVLA</v>
          </cell>
          <cell r="J4070">
            <v>0</v>
          </cell>
        </row>
        <row r="4071">
          <cell r="A4071" t="str">
            <v>CIVLA</v>
          </cell>
          <cell r="J4071">
            <v>0</v>
          </cell>
        </row>
        <row r="4072">
          <cell r="A4072" t="str">
            <v>CIVLA</v>
          </cell>
          <cell r="J4072">
            <v>0</v>
          </cell>
        </row>
        <row r="4073">
          <cell r="A4073" t="str">
            <v>CIVLA</v>
          </cell>
          <cell r="J4073">
            <v>0</v>
          </cell>
        </row>
        <row r="4074">
          <cell r="A4074" t="str">
            <v>CIVLA</v>
          </cell>
          <cell r="J4074">
            <v>0</v>
          </cell>
        </row>
        <row r="4075">
          <cell r="A4075" t="str">
            <v>CIVLA</v>
          </cell>
          <cell r="J4075">
            <v>0</v>
          </cell>
        </row>
        <row r="4076">
          <cell r="A4076" t="str">
            <v>CIVLA</v>
          </cell>
          <cell r="J4076">
            <v>0</v>
          </cell>
        </row>
        <row r="4077">
          <cell r="A4077" t="str">
            <v>CIVLA</v>
          </cell>
          <cell r="J4077">
            <v>0</v>
          </cell>
        </row>
        <row r="4078">
          <cell r="A4078" t="str">
            <v>CIVLA</v>
          </cell>
          <cell r="J4078">
            <v>0</v>
          </cell>
        </row>
        <row r="4079">
          <cell r="A4079" t="str">
            <v>CIVLA</v>
          </cell>
          <cell r="J4079">
            <v>0</v>
          </cell>
        </row>
        <row r="4080">
          <cell r="A4080" t="str">
            <v>CIVLA</v>
          </cell>
          <cell r="J4080">
            <v>0</v>
          </cell>
        </row>
        <row r="4081">
          <cell r="A4081" t="str">
            <v>CIVLA</v>
          </cell>
          <cell r="J4081">
            <v>0</v>
          </cell>
        </row>
        <row r="4082">
          <cell r="A4082" t="str">
            <v>CIVLA</v>
          </cell>
          <cell r="J4082">
            <v>0</v>
          </cell>
        </row>
        <row r="4083">
          <cell r="A4083" t="str">
            <v>CIVLA</v>
          </cell>
          <cell r="J4083">
            <v>0</v>
          </cell>
        </row>
        <row r="4084">
          <cell r="A4084" t="str">
            <v>CIVLA</v>
          </cell>
          <cell r="J4084">
            <v>0</v>
          </cell>
        </row>
        <row r="4085">
          <cell r="A4085" t="str">
            <v>CIVLA</v>
          </cell>
          <cell r="J4085">
            <v>0</v>
          </cell>
        </row>
        <row r="4086">
          <cell r="A4086" t="str">
            <v>CIVLA</v>
          </cell>
          <cell r="J4086">
            <v>0</v>
          </cell>
        </row>
        <row r="4087">
          <cell r="A4087" t="str">
            <v>CIVLA</v>
          </cell>
          <cell r="J4087">
            <v>0</v>
          </cell>
        </row>
        <row r="4088">
          <cell r="A4088" t="str">
            <v>CIVLA</v>
          </cell>
          <cell r="J4088">
            <v>0</v>
          </cell>
        </row>
        <row r="4089">
          <cell r="A4089" t="str">
            <v>CIVLA</v>
          </cell>
          <cell r="J4089">
            <v>0</v>
          </cell>
        </row>
        <row r="4090">
          <cell r="A4090" t="str">
            <v>CIVLA</v>
          </cell>
          <cell r="J4090">
            <v>0</v>
          </cell>
        </row>
        <row r="4091">
          <cell r="A4091" t="str">
            <v>CIVLA</v>
          </cell>
          <cell r="J4091">
            <v>0</v>
          </cell>
        </row>
        <row r="4092">
          <cell r="A4092" t="str">
            <v>CIVLA</v>
          </cell>
          <cell r="J4092">
            <v>0</v>
          </cell>
        </row>
        <row r="4093">
          <cell r="A4093" t="str">
            <v>CIVLA</v>
          </cell>
          <cell r="J4093">
            <v>0</v>
          </cell>
        </row>
        <row r="4094">
          <cell r="A4094" t="str">
            <v>CIVLA</v>
          </cell>
          <cell r="J4094">
            <v>0</v>
          </cell>
        </row>
        <row r="4095">
          <cell r="A4095" t="str">
            <v>CIVLA</v>
          </cell>
          <cell r="J4095">
            <v>0</v>
          </cell>
        </row>
        <row r="4096">
          <cell r="A4096" t="str">
            <v>CIVLA</v>
          </cell>
          <cell r="J4096">
            <v>0</v>
          </cell>
        </row>
        <row r="4097">
          <cell r="A4097" t="str">
            <v>CIVLA</v>
          </cell>
          <cell r="J4097">
            <v>0</v>
          </cell>
        </row>
        <row r="4098">
          <cell r="A4098" t="str">
            <v>CIVLA</v>
          </cell>
          <cell r="J4098">
            <v>0</v>
          </cell>
        </row>
        <row r="4099">
          <cell r="A4099" t="str">
            <v>CIVLA</v>
          </cell>
          <cell r="J4099">
            <v>0</v>
          </cell>
        </row>
        <row r="4100">
          <cell r="A4100" t="str">
            <v>CIVLA</v>
          </cell>
          <cell r="J4100">
            <v>0</v>
          </cell>
        </row>
        <row r="4101">
          <cell r="A4101" t="str">
            <v>CIVLA</v>
          </cell>
          <cell r="J4101">
            <v>0</v>
          </cell>
        </row>
        <row r="4102">
          <cell r="A4102" t="str">
            <v>CIVLA</v>
          </cell>
          <cell r="J4102">
            <v>0</v>
          </cell>
        </row>
        <row r="4103">
          <cell r="A4103" t="str">
            <v>CIVLA</v>
          </cell>
          <cell r="J4103">
            <v>0</v>
          </cell>
        </row>
        <row r="4104">
          <cell r="A4104" t="str">
            <v>CIVLA</v>
          </cell>
          <cell r="J4104">
            <v>0</v>
          </cell>
        </row>
        <row r="4105">
          <cell r="A4105" t="str">
            <v>CIVLA</v>
          </cell>
          <cell r="J4105">
            <v>0</v>
          </cell>
        </row>
        <row r="4106">
          <cell r="A4106" t="str">
            <v>CIVLA</v>
          </cell>
          <cell r="J4106">
            <v>0</v>
          </cell>
        </row>
        <row r="4107">
          <cell r="A4107" t="str">
            <v>CIVLA</v>
          </cell>
          <cell r="J4107">
            <v>0</v>
          </cell>
        </row>
        <row r="4108">
          <cell r="A4108" t="str">
            <v>CIVLA</v>
          </cell>
          <cell r="J4108">
            <v>0</v>
          </cell>
        </row>
        <row r="4109">
          <cell r="A4109" t="str">
            <v>CIVLA</v>
          </cell>
          <cell r="J4109">
            <v>0</v>
          </cell>
        </row>
        <row r="4110">
          <cell r="A4110" t="str">
            <v>CIVLA</v>
          </cell>
          <cell r="J4110">
            <v>0</v>
          </cell>
        </row>
        <row r="4111">
          <cell r="A4111" t="str">
            <v>CIVLA</v>
          </cell>
          <cell r="J4111">
            <v>0</v>
          </cell>
        </row>
        <row r="4112">
          <cell r="A4112" t="str">
            <v>CIVLA</v>
          </cell>
          <cell r="J4112">
            <v>0</v>
          </cell>
        </row>
        <row r="4113">
          <cell r="A4113" t="str">
            <v>CIVLA</v>
          </cell>
          <cell r="J4113">
            <v>0</v>
          </cell>
        </row>
        <row r="4114">
          <cell r="A4114" t="str">
            <v>CIVLA</v>
          </cell>
          <cell r="J4114">
            <v>0</v>
          </cell>
        </row>
        <row r="4115">
          <cell r="A4115" t="str">
            <v>CIVLA</v>
          </cell>
          <cell r="J4115">
            <v>0</v>
          </cell>
        </row>
        <row r="4116">
          <cell r="A4116" t="str">
            <v>CIVLA</v>
          </cell>
          <cell r="J4116">
            <v>0</v>
          </cell>
        </row>
        <row r="4117">
          <cell r="A4117" t="str">
            <v>CIVLA</v>
          </cell>
          <cell r="J4117">
            <v>0</v>
          </cell>
        </row>
        <row r="4118">
          <cell r="A4118" t="str">
            <v>CIVLA</v>
          </cell>
          <cell r="J4118">
            <v>0</v>
          </cell>
        </row>
        <row r="4119">
          <cell r="A4119" t="str">
            <v>CIVLA</v>
          </cell>
          <cell r="J4119">
            <v>0</v>
          </cell>
        </row>
        <row r="4120">
          <cell r="A4120" t="str">
            <v>CIVLA</v>
          </cell>
          <cell r="J4120">
            <v>0</v>
          </cell>
        </row>
        <row r="4121">
          <cell r="A4121" t="str">
            <v>CIVLA</v>
          </cell>
          <cell r="J4121">
            <v>0</v>
          </cell>
        </row>
        <row r="4122">
          <cell r="A4122" t="str">
            <v>CIVLA</v>
          </cell>
          <cell r="J4122">
            <v>0</v>
          </cell>
        </row>
        <row r="4123">
          <cell r="A4123" t="str">
            <v>CIVLA</v>
          </cell>
          <cell r="J4123">
            <v>0</v>
          </cell>
        </row>
        <row r="4124">
          <cell r="A4124" t="str">
            <v>CIVLA</v>
          </cell>
          <cell r="J4124">
            <v>0</v>
          </cell>
        </row>
        <row r="4125">
          <cell r="A4125" t="str">
            <v>CIVLA</v>
          </cell>
          <cell r="J4125">
            <v>0</v>
          </cell>
        </row>
        <row r="4126">
          <cell r="A4126" t="str">
            <v>CIVLA</v>
          </cell>
          <cell r="J4126">
            <v>0</v>
          </cell>
        </row>
        <row r="4127">
          <cell r="A4127" t="str">
            <v>CIVLA</v>
          </cell>
          <cell r="J4127">
            <v>0</v>
          </cell>
        </row>
        <row r="4128">
          <cell r="A4128" t="str">
            <v>CIVLA</v>
          </cell>
          <cell r="J4128">
            <v>0</v>
          </cell>
        </row>
        <row r="4129">
          <cell r="A4129" t="str">
            <v>CIVLA</v>
          </cell>
          <cell r="J4129">
            <v>0</v>
          </cell>
        </row>
        <row r="4130">
          <cell r="A4130" t="str">
            <v>CIVLA</v>
          </cell>
          <cell r="J4130">
            <v>0</v>
          </cell>
        </row>
        <row r="4131">
          <cell r="A4131" t="str">
            <v>CIVLA</v>
          </cell>
          <cell r="J4131">
            <v>0</v>
          </cell>
        </row>
        <row r="4132">
          <cell r="A4132" t="str">
            <v>CIVLA</v>
          </cell>
          <cell r="J4132">
            <v>0</v>
          </cell>
        </row>
        <row r="4133">
          <cell r="A4133" t="str">
            <v>CIVLA</v>
          </cell>
          <cell r="J4133">
            <v>0</v>
          </cell>
        </row>
        <row r="4134">
          <cell r="A4134" t="str">
            <v>CIVLA</v>
          </cell>
          <cell r="J4134">
            <v>0</v>
          </cell>
        </row>
        <row r="4135">
          <cell r="A4135" t="str">
            <v>CIVLA</v>
          </cell>
          <cell r="J4135">
            <v>0</v>
          </cell>
        </row>
        <row r="4136">
          <cell r="A4136" t="str">
            <v>CIVLA</v>
          </cell>
          <cell r="J4136">
            <v>0</v>
          </cell>
        </row>
        <row r="4137">
          <cell r="A4137" t="str">
            <v>CIVLA</v>
          </cell>
          <cell r="J4137">
            <v>0</v>
          </cell>
        </row>
        <row r="4138">
          <cell r="A4138" t="str">
            <v>CIVLA</v>
          </cell>
          <cell r="J4138">
            <v>0</v>
          </cell>
        </row>
        <row r="4139">
          <cell r="A4139" t="str">
            <v>CIVLA</v>
          </cell>
          <cell r="J4139">
            <v>0</v>
          </cell>
        </row>
        <row r="4140">
          <cell r="A4140" t="str">
            <v>CIVLA</v>
          </cell>
          <cell r="J4140">
            <v>0</v>
          </cell>
        </row>
        <row r="4141">
          <cell r="A4141" t="str">
            <v>CIVLA</v>
          </cell>
          <cell r="J4141">
            <v>0</v>
          </cell>
        </row>
        <row r="4142">
          <cell r="A4142" t="str">
            <v>CIVLA</v>
          </cell>
          <cell r="J4142">
            <v>0</v>
          </cell>
        </row>
        <row r="4143">
          <cell r="A4143" t="str">
            <v>CIVLA</v>
          </cell>
          <cell r="J4143">
            <v>0</v>
          </cell>
        </row>
        <row r="4144">
          <cell r="A4144" t="str">
            <v>CIVLA</v>
          </cell>
          <cell r="J4144">
            <v>0</v>
          </cell>
        </row>
        <row r="4145">
          <cell r="A4145" t="str">
            <v>CIVLA</v>
          </cell>
          <cell r="J4145">
            <v>0</v>
          </cell>
        </row>
        <row r="4146">
          <cell r="A4146" t="str">
            <v>CIVLA</v>
          </cell>
          <cell r="J4146">
            <v>0</v>
          </cell>
        </row>
        <row r="4147">
          <cell r="A4147" t="str">
            <v>CIVLA</v>
          </cell>
          <cell r="J4147">
            <v>0</v>
          </cell>
        </row>
        <row r="4148">
          <cell r="A4148" t="str">
            <v>CIVLA</v>
          </cell>
          <cell r="J4148">
            <v>0</v>
          </cell>
        </row>
        <row r="4149">
          <cell r="A4149" t="str">
            <v>CIVLA</v>
          </cell>
          <cell r="J4149">
            <v>0</v>
          </cell>
        </row>
        <row r="4150">
          <cell r="A4150" t="str">
            <v>CIVLA</v>
          </cell>
          <cell r="J4150">
            <v>0</v>
          </cell>
        </row>
        <row r="4151">
          <cell r="A4151" t="str">
            <v>CIVLA</v>
          </cell>
          <cell r="J4151">
            <v>0</v>
          </cell>
        </row>
        <row r="4152">
          <cell r="A4152" t="str">
            <v>CIVLA</v>
          </cell>
          <cell r="J4152">
            <v>0</v>
          </cell>
        </row>
        <row r="4153">
          <cell r="A4153" t="str">
            <v>CIVLA</v>
          </cell>
          <cell r="J4153">
            <v>0</v>
          </cell>
        </row>
        <row r="4154">
          <cell r="A4154" t="str">
            <v>CIVLA</v>
          </cell>
          <cell r="J4154">
            <v>0</v>
          </cell>
        </row>
        <row r="4155">
          <cell r="A4155" t="str">
            <v>CIVLA</v>
          </cell>
          <cell r="J4155">
            <v>0</v>
          </cell>
        </row>
        <row r="4156">
          <cell r="A4156" t="str">
            <v>CIVLA</v>
          </cell>
          <cell r="J4156">
            <v>0</v>
          </cell>
        </row>
        <row r="4157">
          <cell r="A4157" t="str">
            <v>CIVLA</v>
          </cell>
          <cell r="J4157">
            <v>0</v>
          </cell>
        </row>
        <row r="4158">
          <cell r="A4158" t="str">
            <v>CIVLA</v>
          </cell>
          <cell r="J4158">
            <v>0</v>
          </cell>
        </row>
        <row r="4159">
          <cell r="A4159" t="str">
            <v>CIVLA</v>
          </cell>
          <cell r="J4159">
            <v>0</v>
          </cell>
        </row>
        <row r="4160">
          <cell r="A4160" t="str">
            <v>CIVLA</v>
          </cell>
          <cell r="J4160">
            <v>0</v>
          </cell>
        </row>
        <row r="4161">
          <cell r="A4161" t="str">
            <v>CIVLA</v>
          </cell>
          <cell r="J4161">
            <v>0</v>
          </cell>
        </row>
        <row r="4162">
          <cell r="A4162" t="str">
            <v>CIVLA</v>
          </cell>
          <cell r="J4162">
            <v>0</v>
          </cell>
        </row>
        <row r="4163">
          <cell r="A4163" t="str">
            <v>CIVLA</v>
          </cell>
          <cell r="J4163">
            <v>0</v>
          </cell>
        </row>
        <row r="4164">
          <cell r="A4164" t="str">
            <v>CIVLA</v>
          </cell>
          <cell r="J4164">
            <v>0</v>
          </cell>
        </row>
        <row r="4165">
          <cell r="A4165" t="str">
            <v>CIVLA</v>
          </cell>
          <cell r="J4165">
            <v>0</v>
          </cell>
        </row>
        <row r="4166">
          <cell r="A4166" t="str">
            <v>CIVLA</v>
          </cell>
          <cell r="J4166">
            <v>0</v>
          </cell>
        </row>
        <row r="4167">
          <cell r="A4167" t="str">
            <v>CIVLA</v>
          </cell>
          <cell r="J4167">
            <v>0</v>
          </cell>
        </row>
        <row r="4168">
          <cell r="A4168" t="str">
            <v>CIVLA</v>
          </cell>
          <cell r="J4168">
            <v>0</v>
          </cell>
        </row>
        <row r="4169">
          <cell r="A4169" t="str">
            <v>CIVLA</v>
          </cell>
          <cell r="J4169">
            <v>0</v>
          </cell>
        </row>
        <row r="4170">
          <cell r="A4170" t="str">
            <v>CIVLA</v>
          </cell>
          <cell r="J4170">
            <v>0</v>
          </cell>
        </row>
        <row r="4171">
          <cell r="A4171" t="str">
            <v>CIVLA</v>
          </cell>
          <cell r="J4171">
            <v>0</v>
          </cell>
        </row>
        <row r="4172">
          <cell r="A4172" t="str">
            <v>CIVLA</v>
          </cell>
          <cell r="J4172">
            <v>0</v>
          </cell>
        </row>
        <row r="4173">
          <cell r="A4173" t="str">
            <v>CIVLA</v>
          </cell>
          <cell r="J4173">
            <v>0</v>
          </cell>
        </row>
        <row r="4174">
          <cell r="A4174" t="str">
            <v>CIVLA</v>
          </cell>
          <cell r="J4174">
            <v>0</v>
          </cell>
        </row>
        <row r="4175">
          <cell r="A4175" t="str">
            <v>CIVLA</v>
          </cell>
          <cell r="J4175">
            <v>0</v>
          </cell>
        </row>
        <row r="4176">
          <cell r="A4176" t="str">
            <v>CIVLA</v>
          </cell>
          <cell r="J4176">
            <v>0</v>
          </cell>
        </row>
        <row r="4177">
          <cell r="A4177" t="str">
            <v>CIVLA</v>
          </cell>
          <cell r="J4177">
            <v>0</v>
          </cell>
        </row>
        <row r="4178">
          <cell r="A4178" t="str">
            <v>CIVLA</v>
          </cell>
          <cell r="J4178">
            <v>0</v>
          </cell>
        </row>
        <row r="4179">
          <cell r="A4179" t="str">
            <v>CIVLA</v>
          </cell>
          <cell r="J4179">
            <v>0</v>
          </cell>
        </row>
        <row r="4180">
          <cell r="A4180" t="str">
            <v>CIVLA</v>
          </cell>
          <cell r="J4180">
            <v>0</v>
          </cell>
        </row>
        <row r="4181">
          <cell r="A4181" t="str">
            <v>CIVLA</v>
          </cell>
          <cell r="J4181">
            <v>0</v>
          </cell>
        </row>
        <row r="4182">
          <cell r="A4182" t="str">
            <v>CIVLA</v>
          </cell>
          <cell r="J4182">
            <v>0</v>
          </cell>
        </row>
        <row r="4183">
          <cell r="A4183" t="str">
            <v>CIVLA</v>
          </cell>
          <cell r="J4183">
            <v>0</v>
          </cell>
        </row>
        <row r="4184">
          <cell r="A4184" t="str">
            <v>CIVLA</v>
          </cell>
          <cell r="J4184">
            <v>0</v>
          </cell>
        </row>
        <row r="4185">
          <cell r="A4185" t="str">
            <v>CIVLA</v>
          </cell>
          <cell r="J4185">
            <v>0</v>
          </cell>
        </row>
        <row r="4186">
          <cell r="A4186" t="str">
            <v>CIVLA</v>
          </cell>
          <cell r="J4186">
            <v>0</v>
          </cell>
        </row>
        <row r="4187">
          <cell r="A4187" t="str">
            <v>CIVLA</v>
          </cell>
          <cell r="J4187">
            <v>0</v>
          </cell>
        </row>
        <row r="4188">
          <cell r="A4188" t="str">
            <v>CIVLA</v>
          </cell>
          <cell r="J4188">
            <v>0</v>
          </cell>
        </row>
        <row r="4189">
          <cell r="A4189" t="str">
            <v>CIVLA</v>
          </cell>
          <cell r="J4189">
            <v>0</v>
          </cell>
        </row>
        <row r="4190">
          <cell r="A4190" t="str">
            <v>CIVLA</v>
          </cell>
          <cell r="J4190">
            <v>0</v>
          </cell>
        </row>
        <row r="4191">
          <cell r="A4191" t="str">
            <v>CIVLA</v>
          </cell>
          <cell r="J4191">
            <v>0</v>
          </cell>
        </row>
        <row r="4192">
          <cell r="A4192" t="str">
            <v>CIVLA</v>
          </cell>
          <cell r="J4192">
            <v>0</v>
          </cell>
        </row>
        <row r="4193">
          <cell r="A4193" t="str">
            <v>CIVLA</v>
          </cell>
          <cell r="J4193">
            <v>0</v>
          </cell>
        </row>
        <row r="4194">
          <cell r="A4194" t="str">
            <v>CIVLA</v>
          </cell>
          <cell r="J4194">
            <v>0</v>
          </cell>
        </row>
        <row r="4195">
          <cell r="A4195" t="str">
            <v>CIVLA</v>
          </cell>
          <cell r="J4195">
            <v>0</v>
          </cell>
        </row>
        <row r="4196">
          <cell r="A4196" t="str">
            <v>CIVLA</v>
          </cell>
          <cell r="J4196">
            <v>0</v>
          </cell>
        </row>
        <row r="4197">
          <cell r="A4197" t="str">
            <v>CIVLA</v>
          </cell>
          <cell r="J4197">
            <v>0</v>
          </cell>
        </row>
        <row r="4198">
          <cell r="A4198" t="str">
            <v>CIVLA</v>
          </cell>
          <cell r="J4198">
            <v>0</v>
          </cell>
        </row>
        <row r="4199">
          <cell r="A4199" t="str">
            <v>CIVLA</v>
          </cell>
          <cell r="J4199">
            <v>0</v>
          </cell>
        </row>
        <row r="4200">
          <cell r="A4200" t="str">
            <v>CIVLA</v>
          </cell>
          <cell r="J4200">
            <v>0</v>
          </cell>
        </row>
        <row r="4201">
          <cell r="A4201" t="str">
            <v>CIVLA</v>
          </cell>
          <cell r="J4201">
            <v>0</v>
          </cell>
        </row>
        <row r="4202">
          <cell r="A4202" t="str">
            <v>CIVLA</v>
          </cell>
          <cell r="J4202">
            <v>0</v>
          </cell>
        </row>
        <row r="4203">
          <cell r="A4203" t="str">
            <v>CIVLA</v>
          </cell>
          <cell r="J4203">
            <v>0</v>
          </cell>
        </row>
        <row r="4204">
          <cell r="A4204" t="str">
            <v>CIVLA</v>
          </cell>
          <cell r="J4204">
            <v>0</v>
          </cell>
        </row>
        <row r="4205">
          <cell r="A4205" t="str">
            <v>CIVLA</v>
          </cell>
          <cell r="J4205">
            <v>0</v>
          </cell>
        </row>
        <row r="4206">
          <cell r="A4206" t="str">
            <v>CIVLA</v>
          </cell>
          <cell r="J4206">
            <v>0</v>
          </cell>
        </row>
        <row r="4207">
          <cell r="A4207" t="str">
            <v>CIVLA</v>
          </cell>
          <cell r="J4207">
            <v>0</v>
          </cell>
        </row>
        <row r="4208">
          <cell r="A4208" t="str">
            <v>CIVLA</v>
          </cell>
          <cell r="J4208">
            <v>0</v>
          </cell>
        </row>
        <row r="4209">
          <cell r="A4209" t="str">
            <v>CIVLA</v>
          </cell>
          <cell r="J4209">
            <v>0</v>
          </cell>
        </row>
        <row r="4210">
          <cell r="A4210" t="str">
            <v>CIVLA</v>
          </cell>
          <cell r="J4210">
            <v>0</v>
          </cell>
        </row>
        <row r="4211">
          <cell r="A4211" t="str">
            <v>CIVLA</v>
          </cell>
          <cell r="J4211">
            <v>0</v>
          </cell>
        </row>
        <row r="4212">
          <cell r="A4212" t="str">
            <v>CIVLA</v>
          </cell>
          <cell r="J4212">
            <v>0</v>
          </cell>
        </row>
        <row r="4213">
          <cell r="A4213" t="str">
            <v>CIVLA</v>
          </cell>
          <cell r="J4213">
            <v>0</v>
          </cell>
        </row>
        <row r="4214">
          <cell r="A4214" t="str">
            <v>CIVLA</v>
          </cell>
          <cell r="J4214">
            <v>0</v>
          </cell>
        </row>
        <row r="4215">
          <cell r="A4215" t="str">
            <v>CIVLA</v>
          </cell>
          <cell r="J4215">
            <v>0</v>
          </cell>
        </row>
        <row r="4216">
          <cell r="A4216" t="str">
            <v>CIVLA</v>
          </cell>
          <cell r="J4216">
            <v>0</v>
          </cell>
        </row>
        <row r="4217">
          <cell r="A4217" t="str">
            <v>CIVLA</v>
          </cell>
          <cell r="J4217">
            <v>0</v>
          </cell>
        </row>
        <row r="4218">
          <cell r="A4218" t="str">
            <v>CIVLA</v>
          </cell>
          <cell r="J4218">
            <v>0</v>
          </cell>
        </row>
        <row r="4219">
          <cell r="A4219" t="str">
            <v>CIVLA</v>
          </cell>
          <cell r="J4219">
            <v>0</v>
          </cell>
        </row>
        <row r="4220">
          <cell r="A4220" t="str">
            <v>CIVLA</v>
          </cell>
          <cell r="J4220">
            <v>0</v>
          </cell>
        </row>
        <row r="4221">
          <cell r="A4221" t="str">
            <v>CIVLA</v>
          </cell>
          <cell r="J4221">
            <v>0</v>
          </cell>
        </row>
        <row r="4222">
          <cell r="A4222" t="str">
            <v>CIVLA</v>
          </cell>
          <cell r="J4222">
            <v>0</v>
          </cell>
        </row>
        <row r="4223">
          <cell r="A4223" t="str">
            <v>CIVLA</v>
          </cell>
          <cell r="J4223">
            <v>0</v>
          </cell>
        </row>
        <row r="4224">
          <cell r="A4224" t="str">
            <v>CIVLA</v>
          </cell>
          <cell r="J4224">
            <v>0</v>
          </cell>
        </row>
        <row r="4225">
          <cell r="A4225" t="str">
            <v>CIVLA</v>
          </cell>
          <cell r="J4225">
            <v>0</v>
          </cell>
        </row>
        <row r="4226">
          <cell r="A4226" t="str">
            <v>CIVLA</v>
          </cell>
          <cell r="J4226">
            <v>0</v>
          </cell>
        </row>
        <row r="4227">
          <cell r="A4227" t="str">
            <v>CIVLA</v>
          </cell>
          <cell r="J4227">
            <v>0</v>
          </cell>
        </row>
        <row r="4228">
          <cell r="A4228" t="str">
            <v>CIVLA</v>
          </cell>
          <cell r="J4228">
            <v>0</v>
          </cell>
        </row>
        <row r="4229">
          <cell r="A4229" t="str">
            <v>CIVLA</v>
          </cell>
          <cell r="J4229">
            <v>0</v>
          </cell>
        </row>
        <row r="4230">
          <cell r="A4230" t="str">
            <v>CIVLA</v>
          </cell>
          <cell r="J4230">
            <v>0</v>
          </cell>
        </row>
        <row r="4231">
          <cell r="A4231" t="str">
            <v>CIVLA</v>
          </cell>
          <cell r="J4231">
            <v>0</v>
          </cell>
        </row>
        <row r="4232">
          <cell r="A4232" t="str">
            <v>CIVLA</v>
          </cell>
          <cell r="J4232">
            <v>0</v>
          </cell>
        </row>
        <row r="4233">
          <cell r="A4233" t="str">
            <v>CIVLA</v>
          </cell>
          <cell r="J4233">
            <v>0</v>
          </cell>
        </row>
        <row r="4234">
          <cell r="A4234" t="str">
            <v>CIVLA</v>
          </cell>
          <cell r="J4234">
            <v>0</v>
          </cell>
        </row>
        <row r="4235">
          <cell r="A4235" t="str">
            <v>CIVLA</v>
          </cell>
          <cell r="J4235">
            <v>0</v>
          </cell>
        </row>
        <row r="4236">
          <cell r="A4236" t="str">
            <v>CIVLA</v>
          </cell>
          <cell r="J4236">
            <v>0</v>
          </cell>
        </row>
        <row r="4237">
          <cell r="A4237" t="str">
            <v>CIVLA</v>
          </cell>
          <cell r="J4237">
            <v>0</v>
          </cell>
        </row>
        <row r="4238">
          <cell r="A4238" t="str">
            <v>CIVLA</v>
          </cell>
          <cell r="J4238">
            <v>0</v>
          </cell>
        </row>
        <row r="4239">
          <cell r="A4239" t="str">
            <v>CIVLA</v>
          </cell>
          <cell r="J4239">
            <v>0</v>
          </cell>
        </row>
        <row r="4240">
          <cell r="A4240" t="str">
            <v>CIVLA</v>
          </cell>
          <cell r="J4240">
            <v>0</v>
          </cell>
        </row>
        <row r="4241">
          <cell r="A4241" t="str">
            <v>CIVLA</v>
          </cell>
          <cell r="J4241">
            <v>0</v>
          </cell>
        </row>
        <row r="4242">
          <cell r="A4242" t="str">
            <v>CIVLA</v>
          </cell>
          <cell r="J4242">
            <v>0</v>
          </cell>
        </row>
        <row r="4243">
          <cell r="A4243" t="str">
            <v>CIVLA</v>
          </cell>
          <cell r="J4243">
            <v>0</v>
          </cell>
        </row>
        <row r="4244">
          <cell r="A4244" t="str">
            <v>CIVLA</v>
          </cell>
          <cell r="J4244">
            <v>0</v>
          </cell>
        </row>
        <row r="4245">
          <cell r="A4245" t="str">
            <v>CIVLA</v>
          </cell>
          <cell r="J4245">
            <v>0</v>
          </cell>
        </row>
        <row r="4246">
          <cell r="A4246" t="str">
            <v>CIVLA</v>
          </cell>
          <cell r="J4246">
            <v>0</v>
          </cell>
        </row>
        <row r="4247">
          <cell r="A4247" t="str">
            <v>CIVLA</v>
          </cell>
          <cell r="J4247">
            <v>0</v>
          </cell>
        </row>
        <row r="4248">
          <cell r="A4248" t="str">
            <v>CIVLA</v>
          </cell>
          <cell r="J4248">
            <v>0</v>
          </cell>
        </row>
        <row r="4249">
          <cell r="A4249" t="str">
            <v>CIVLA</v>
          </cell>
          <cell r="J4249">
            <v>0</v>
          </cell>
        </row>
        <row r="4250">
          <cell r="A4250" t="str">
            <v>CIVLA</v>
          </cell>
          <cell r="J4250">
            <v>0</v>
          </cell>
        </row>
        <row r="4251">
          <cell r="A4251" t="str">
            <v>CIVLA</v>
          </cell>
          <cell r="J4251">
            <v>0</v>
          </cell>
        </row>
        <row r="4252">
          <cell r="A4252" t="str">
            <v>CIVLA</v>
          </cell>
          <cell r="J4252">
            <v>0</v>
          </cell>
        </row>
        <row r="4253">
          <cell r="A4253" t="str">
            <v>CIVLA</v>
          </cell>
          <cell r="J4253">
            <v>0</v>
          </cell>
        </row>
        <row r="4254">
          <cell r="A4254" t="str">
            <v>CIVLA</v>
          </cell>
          <cell r="J4254">
            <v>0</v>
          </cell>
        </row>
        <row r="4255">
          <cell r="A4255" t="str">
            <v>CIVLA</v>
          </cell>
          <cell r="J4255">
            <v>0</v>
          </cell>
        </row>
        <row r="4256">
          <cell r="A4256" t="str">
            <v>CIVLA</v>
          </cell>
          <cell r="J4256">
            <v>0</v>
          </cell>
        </row>
        <row r="4257">
          <cell r="A4257" t="str">
            <v>CIVLA</v>
          </cell>
          <cell r="J4257">
            <v>0</v>
          </cell>
        </row>
        <row r="4258">
          <cell r="A4258" t="str">
            <v>CIVLA</v>
          </cell>
          <cell r="J4258">
            <v>0</v>
          </cell>
        </row>
        <row r="4259">
          <cell r="A4259" t="str">
            <v>CIVLA</v>
          </cell>
          <cell r="J4259">
            <v>0</v>
          </cell>
        </row>
        <row r="4260">
          <cell r="A4260" t="str">
            <v>CIVLA</v>
          </cell>
          <cell r="J4260">
            <v>0</v>
          </cell>
        </row>
        <row r="4261">
          <cell r="A4261" t="str">
            <v>CIVLA</v>
          </cell>
          <cell r="J4261">
            <v>0</v>
          </cell>
        </row>
        <row r="4262">
          <cell r="A4262" t="str">
            <v>CIVLA</v>
          </cell>
          <cell r="J4262">
            <v>0</v>
          </cell>
        </row>
        <row r="4263">
          <cell r="A4263" t="str">
            <v>CIVLA</v>
          </cell>
          <cell r="J4263">
            <v>0</v>
          </cell>
        </row>
        <row r="4264">
          <cell r="A4264" t="str">
            <v>CIVLA</v>
          </cell>
          <cell r="J4264">
            <v>0</v>
          </cell>
        </row>
        <row r="4265">
          <cell r="A4265" t="str">
            <v>CIVLA</v>
          </cell>
          <cell r="J4265">
            <v>0</v>
          </cell>
        </row>
        <row r="4266">
          <cell r="A4266" t="str">
            <v>CIVLA</v>
          </cell>
          <cell r="J4266">
            <v>0</v>
          </cell>
        </row>
        <row r="4267">
          <cell r="A4267" t="str">
            <v>CIVLA</v>
          </cell>
          <cell r="J4267">
            <v>0</v>
          </cell>
        </row>
        <row r="4268">
          <cell r="A4268" t="str">
            <v>CIVLA</v>
          </cell>
          <cell r="J4268">
            <v>0</v>
          </cell>
        </row>
        <row r="4269">
          <cell r="A4269" t="str">
            <v>CIVLA</v>
          </cell>
          <cell r="J4269">
            <v>0</v>
          </cell>
        </row>
        <row r="4270">
          <cell r="A4270" t="str">
            <v>CIVLA</v>
          </cell>
          <cell r="J4270">
            <v>0</v>
          </cell>
        </row>
        <row r="4271">
          <cell r="A4271" t="str">
            <v>CIVLA</v>
          </cell>
          <cell r="J4271">
            <v>0</v>
          </cell>
        </row>
        <row r="4272">
          <cell r="A4272" t="str">
            <v>CIVLA</v>
          </cell>
          <cell r="J4272">
            <v>0</v>
          </cell>
        </row>
        <row r="4273">
          <cell r="A4273" t="str">
            <v>CIVLA</v>
          </cell>
          <cell r="J4273">
            <v>0</v>
          </cell>
        </row>
        <row r="4274">
          <cell r="A4274" t="str">
            <v>CIVLA</v>
          </cell>
          <cell r="J4274">
            <v>0</v>
          </cell>
        </row>
        <row r="4275">
          <cell r="A4275" t="str">
            <v>CIVLA</v>
          </cell>
          <cell r="J4275">
            <v>0</v>
          </cell>
        </row>
        <row r="4276">
          <cell r="A4276" t="str">
            <v>CIVLA</v>
          </cell>
          <cell r="J4276">
            <v>0</v>
          </cell>
        </row>
        <row r="4277">
          <cell r="A4277" t="str">
            <v>CIVLA</v>
          </cell>
          <cell r="J4277">
            <v>0</v>
          </cell>
        </row>
        <row r="4278">
          <cell r="A4278" t="str">
            <v>CIVLA</v>
          </cell>
          <cell r="J4278">
            <v>0</v>
          </cell>
        </row>
        <row r="4279">
          <cell r="A4279" t="str">
            <v>CIVLA</v>
          </cell>
          <cell r="J4279">
            <v>0</v>
          </cell>
        </row>
        <row r="4280">
          <cell r="A4280" t="str">
            <v>CIVLA</v>
          </cell>
          <cell r="J4280">
            <v>0</v>
          </cell>
        </row>
        <row r="4281">
          <cell r="A4281" t="str">
            <v>CIVLA</v>
          </cell>
          <cell r="J4281">
            <v>0</v>
          </cell>
        </row>
        <row r="4282">
          <cell r="A4282" t="str">
            <v>CIVLA</v>
          </cell>
          <cell r="J4282">
            <v>0</v>
          </cell>
        </row>
        <row r="4283">
          <cell r="A4283" t="str">
            <v>CIVLA</v>
          </cell>
          <cell r="J4283">
            <v>0</v>
          </cell>
        </row>
        <row r="4284">
          <cell r="A4284" t="str">
            <v>CIVLA</v>
          </cell>
          <cell r="J4284">
            <v>0</v>
          </cell>
        </row>
        <row r="4285">
          <cell r="A4285" t="str">
            <v>CIVLA</v>
          </cell>
          <cell r="J4285">
            <v>0</v>
          </cell>
        </row>
        <row r="4286">
          <cell r="A4286" t="str">
            <v>CIVLA</v>
          </cell>
          <cell r="J4286">
            <v>0</v>
          </cell>
        </row>
        <row r="4287">
          <cell r="A4287" t="str">
            <v>CIVLA</v>
          </cell>
          <cell r="J4287">
            <v>0</v>
          </cell>
        </row>
        <row r="4288">
          <cell r="A4288" t="str">
            <v>CIVLA</v>
          </cell>
          <cell r="J4288">
            <v>0</v>
          </cell>
        </row>
        <row r="4289">
          <cell r="A4289" t="str">
            <v>CIVLA</v>
          </cell>
          <cell r="J4289">
            <v>0</v>
          </cell>
        </row>
        <row r="4290">
          <cell r="A4290" t="str">
            <v>CIVLA</v>
          </cell>
          <cell r="J4290">
            <v>0</v>
          </cell>
        </row>
        <row r="4291">
          <cell r="A4291" t="str">
            <v>CIVLA</v>
          </cell>
          <cell r="J4291">
            <v>0</v>
          </cell>
        </row>
        <row r="4292">
          <cell r="A4292" t="str">
            <v>CIVLA</v>
          </cell>
          <cell r="J4292">
            <v>0</v>
          </cell>
        </row>
        <row r="4293">
          <cell r="A4293" t="str">
            <v>CIVLA</v>
          </cell>
          <cell r="J4293">
            <v>0</v>
          </cell>
        </row>
        <row r="4294">
          <cell r="A4294" t="str">
            <v>CIVLA</v>
          </cell>
          <cell r="J4294">
            <v>0</v>
          </cell>
        </row>
        <row r="4295">
          <cell r="A4295" t="str">
            <v>CIVLA</v>
          </cell>
          <cell r="J4295">
            <v>0</v>
          </cell>
        </row>
        <row r="4296">
          <cell r="A4296" t="str">
            <v>CIVLA</v>
          </cell>
          <cell r="J4296">
            <v>0</v>
          </cell>
        </row>
        <row r="4297">
          <cell r="A4297" t="str">
            <v>CIVLA</v>
          </cell>
          <cell r="J4297">
            <v>0</v>
          </cell>
        </row>
        <row r="4298">
          <cell r="A4298" t="str">
            <v>CIVLA</v>
          </cell>
          <cell r="J4298">
            <v>0</v>
          </cell>
        </row>
        <row r="4299">
          <cell r="A4299" t="str">
            <v>CIVLA</v>
          </cell>
          <cell r="J4299">
            <v>0</v>
          </cell>
        </row>
        <row r="4300">
          <cell r="A4300" t="str">
            <v>CIVLA</v>
          </cell>
          <cell r="J4300">
            <v>0</v>
          </cell>
        </row>
        <row r="4301">
          <cell r="A4301" t="str">
            <v>CIVLA</v>
          </cell>
          <cell r="J4301">
            <v>0</v>
          </cell>
        </row>
        <row r="4302">
          <cell r="A4302" t="str">
            <v>CIVLA</v>
          </cell>
          <cell r="J4302">
            <v>0</v>
          </cell>
        </row>
        <row r="4303">
          <cell r="A4303" t="str">
            <v>CIVLA</v>
          </cell>
          <cell r="J4303">
            <v>0</v>
          </cell>
        </row>
        <row r="4304">
          <cell r="A4304" t="str">
            <v>CIVLA</v>
          </cell>
          <cell r="J4304">
            <v>0</v>
          </cell>
        </row>
        <row r="4305">
          <cell r="A4305" t="str">
            <v>CIVLA</v>
          </cell>
          <cell r="J4305">
            <v>0</v>
          </cell>
        </row>
        <row r="4306">
          <cell r="A4306" t="str">
            <v>CIVLA</v>
          </cell>
          <cell r="J4306">
            <v>0</v>
          </cell>
        </row>
        <row r="4307">
          <cell r="A4307" t="str">
            <v>CIVLA</v>
          </cell>
          <cell r="J4307">
            <v>0</v>
          </cell>
        </row>
        <row r="4308">
          <cell r="A4308" t="str">
            <v>CIVLA</v>
          </cell>
          <cell r="J4308">
            <v>0</v>
          </cell>
        </row>
        <row r="4309">
          <cell r="A4309" t="str">
            <v>CIVLA</v>
          </cell>
          <cell r="J4309">
            <v>0</v>
          </cell>
        </row>
        <row r="4310">
          <cell r="A4310" t="str">
            <v>CIVLA</v>
          </cell>
          <cell r="J4310">
            <v>0</v>
          </cell>
        </row>
        <row r="4311">
          <cell r="A4311" t="str">
            <v>CIVLA</v>
          </cell>
          <cell r="J4311">
            <v>0</v>
          </cell>
        </row>
        <row r="4312">
          <cell r="A4312" t="str">
            <v>CIVLA</v>
          </cell>
          <cell r="J4312">
            <v>0</v>
          </cell>
        </row>
        <row r="4313">
          <cell r="A4313" t="str">
            <v>CIVLA</v>
          </cell>
          <cell r="J4313">
            <v>0</v>
          </cell>
        </row>
        <row r="4314">
          <cell r="A4314" t="str">
            <v>CIVLA</v>
          </cell>
          <cell r="J4314">
            <v>0</v>
          </cell>
        </row>
        <row r="4315">
          <cell r="A4315" t="str">
            <v>CIVLA</v>
          </cell>
          <cell r="J4315">
            <v>0</v>
          </cell>
        </row>
        <row r="4316">
          <cell r="A4316" t="str">
            <v>CIVLA</v>
          </cell>
          <cell r="J4316">
            <v>0</v>
          </cell>
        </row>
        <row r="4317">
          <cell r="A4317" t="str">
            <v>CIVLA</v>
          </cell>
          <cell r="J4317">
            <v>0</v>
          </cell>
        </row>
        <row r="4318">
          <cell r="A4318" t="str">
            <v>CIVLA</v>
          </cell>
          <cell r="J4318">
            <v>0</v>
          </cell>
        </row>
        <row r="4319">
          <cell r="A4319" t="str">
            <v>CIVLA</v>
          </cell>
          <cell r="J4319">
            <v>0</v>
          </cell>
        </row>
        <row r="4320">
          <cell r="A4320" t="str">
            <v>CIVLA</v>
          </cell>
          <cell r="J4320">
            <v>0</v>
          </cell>
        </row>
        <row r="4321">
          <cell r="A4321" t="str">
            <v>CIVLA</v>
          </cell>
          <cell r="J4321">
            <v>0</v>
          </cell>
        </row>
        <row r="4322">
          <cell r="A4322" t="str">
            <v>CIVLA</v>
          </cell>
          <cell r="J4322">
            <v>0</v>
          </cell>
        </row>
        <row r="4323">
          <cell r="A4323" t="str">
            <v>CIVLA</v>
          </cell>
          <cell r="J4323">
            <v>0</v>
          </cell>
        </row>
        <row r="4324">
          <cell r="A4324" t="str">
            <v>CIVLA</v>
          </cell>
          <cell r="J4324">
            <v>0</v>
          </cell>
        </row>
        <row r="4325">
          <cell r="A4325" t="str">
            <v>CIVLA</v>
          </cell>
          <cell r="J4325">
            <v>0</v>
          </cell>
        </row>
        <row r="4326">
          <cell r="A4326" t="str">
            <v>CIVLA</v>
          </cell>
          <cell r="J4326">
            <v>0</v>
          </cell>
        </row>
        <row r="4327">
          <cell r="A4327" t="str">
            <v>CIVLA</v>
          </cell>
          <cell r="J4327">
            <v>0</v>
          </cell>
        </row>
        <row r="4328">
          <cell r="A4328" t="str">
            <v>CIVLA</v>
          </cell>
          <cell r="J4328">
            <v>0</v>
          </cell>
        </row>
        <row r="4329">
          <cell r="A4329" t="str">
            <v>CIVLA</v>
          </cell>
          <cell r="J4329">
            <v>0</v>
          </cell>
        </row>
        <row r="4330">
          <cell r="A4330" t="str">
            <v>CIVLA</v>
          </cell>
          <cell r="J4330">
            <v>0</v>
          </cell>
        </row>
        <row r="4331">
          <cell r="A4331" t="str">
            <v>CIVLA</v>
          </cell>
          <cell r="J4331">
            <v>0</v>
          </cell>
        </row>
        <row r="4332">
          <cell r="A4332" t="str">
            <v>CIVLA</v>
          </cell>
          <cell r="J4332">
            <v>0</v>
          </cell>
        </row>
        <row r="4333">
          <cell r="A4333" t="str">
            <v>CIVLA</v>
          </cell>
          <cell r="J4333">
            <v>0</v>
          </cell>
        </row>
        <row r="4334">
          <cell r="A4334" t="str">
            <v>CIVLA</v>
          </cell>
          <cell r="J4334">
            <v>0</v>
          </cell>
        </row>
        <row r="4335">
          <cell r="A4335" t="str">
            <v>CIVLA</v>
          </cell>
          <cell r="J4335">
            <v>0</v>
          </cell>
        </row>
        <row r="4336">
          <cell r="A4336" t="str">
            <v>CIVLA</v>
          </cell>
          <cell r="J4336">
            <v>0</v>
          </cell>
        </row>
        <row r="4337">
          <cell r="A4337" t="str">
            <v>CIVLA</v>
          </cell>
          <cell r="J4337">
            <v>0</v>
          </cell>
        </row>
        <row r="4338">
          <cell r="A4338" t="str">
            <v>CIVLA</v>
          </cell>
          <cell r="J4338">
            <v>0</v>
          </cell>
        </row>
        <row r="4339">
          <cell r="A4339" t="str">
            <v>CIVLA</v>
          </cell>
          <cell r="J4339">
            <v>0</v>
          </cell>
        </row>
        <row r="4340">
          <cell r="A4340" t="str">
            <v>CIVLA</v>
          </cell>
          <cell r="J4340">
            <v>0</v>
          </cell>
        </row>
        <row r="4341">
          <cell r="A4341" t="str">
            <v>CIVLA</v>
          </cell>
          <cell r="J4341">
            <v>0</v>
          </cell>
        </row>
        <row r="4342">
          <cell r="A4342" t="str">
            <v>CIVLA</v>
          </cell>
          <cell r="J4342">
            <v>0</v>
          </cell>
        </row>
        <row r="4343">
          <cell r="A4343" t="str">
            <v>CIVLA</v>
          </cell>
          <cell r="J4343">
            <v>0</v>
          </cell>
        </row>
        <row r="4344">
          <cell r="A4344" t="str">
            <v>CIVLA</v>
          </cell>
          <cell r="J4344">
            <v>0</v>
          </cell>
        </row>
        <row r="4345">
          <cell r="A4345" t="str">
            <v>CIVLA</v>
          </cell>
          <cell r="J4345">
            <v>0</v>
          </cell>
        </row>
        <row r="4346">
          <cell r="A4346" t="str">
            <v>CIVLA</v>
          </cell>
          <cell r="J4346">
            <v>0</v>
          </cell>
        </row>
        <row r="4347">
          <cell r="A4347" t="str">
            <v>CIVLA</v>
          </cell>
          <cell r="J4347">
            <v>0</v>
          </cell>
        </row>
        <row r="4348">
          <cell r="A4348" t="str">
            <v>CIVLA</v>
          </cell>
          <cell r="J4348">
            <v>0</v>
          </cell>
        </row>
        <row r="4349">
          <cell r="A4349" t="str">
            <v>CIVLA</v>
          </cell>
          <cell r="J4349">
            <v>0</v>
          </cell>
        </row>
        <row r="4350">
          <cell r="A4350" t="str">
            <v>CIVLA</v>
          </cell>
          <cell r="J4350">
            <v>0</v>
          </cell>
        </row>
        <row r="4351">
          <cell r="A4351" t="str">
            <v>CIVLA</v>
          </cell>
          <cell r="J4351">
            <v>0</v>
          </cell>
        </row>
        <row r="4352">
          <cell r="A4352" t="str">
            <v>CIVLA</v>
          </cell>
          <cell r="J4352">
            <v>0</v>
          </cell>
        </row>
        <row r="4353">
          <cell r="A4353" t="str">
            <v>CIVLA</v>
          </cell>
          <cell r="J4353">
            <v>0</v>
          </cell>
        </row>
        <row r="4354">
          <cell r="A4354" t="str">
            <v>CIVLA</v>
          </cell>
          <cell r="J4354">
            <v>0</v>
          </cell>
        </row>
        <row r="4355">
          <cell r="A4355" t="str">
            <v>CIVLA</v>
          </cell>
          <cell r="J4355">
            <v>0</v>
          </cell>
        </row>
        <row r="4356">
          <cell r="A4356" t="str">
            <v>CIVLA</v>
          </cell>
          <cell r="J4356">
            <v>0</v>
          </cell>
        </row>
        <row r="4357">
          <cell r="A4357" t="str">
            <v>CIVLA</v>
          </cell>
          <cell r="J4357">
            <v>0</v>
          </cell>
        </row>
        <row r="4358">
          <cell r="A4358" t="str">
            <v>CIVLA</v>
          </cell>
          <cell r="J4358">
            <v>0</v>
          </cell>
        </row>
        <row r="4359">
          <cell r="A4359" t="str">
            <v>CIVLA</v>
          </cell>
          <cell r="J4359">
            <v>0</v>
          </cell>
        </row>
        <row r="4360">
          <cell r="A4360" t="str">
            <v>CIVLA</v>
          </cell>
          <cell r="J4360">
            <v>0</v>
          </cell>
        </row>
        <row r="4361">
          <cell r="A4361" t="str">
            <v>CIVLA</v>
          </cell>
          <cell r="J4361">
            <v>0</v>
          </cell>
        </row>
        <row r="4362">
          <cell r="A4362" t="str">
            <v>CIVLA</v>
          </cell>
          <cell r="J4362">
            <v>0</v>
          </cell>
        </row>
        <row r="4363">
          <cell r="A4363" t="str">
            <v>CIVLA</v>
          </cell>
          <cell r="J4363">
            <v>0</v>
          </cell>
        </row>
        <row r="4364">
          <cell r="A4364" t="str">
            <v>CIVLA</v>
          </cell>
          <cell r="J4364">
            <v>0</v>
          </cell>
        </row>
        <row r="4365">
          <cell r="A4365" t="str">
            <v>CIVLA</v>
          </cell>
          <cell r="J4365">
            <v>0</v>
          </cell>
        </row>
        <row r="4366">
          <cell r="A4366" t="str">
            <v>CIVLA</v>
          </cell>
          <cell r="J4366">
            <v>0</v>
          </cell>
        </row>
        <row r="4367">
          <cell r="A4367" t="str">
            <v>CIVLA</v>
          </cell>
          <cell r="J4367">
            <v>0</v>
          </cell>
        </row>
        <row r="4368">
          <cell r="A4368" t="str">
            <v>CIVLA</v>
          </cell>
          <cell r="J4368">
            <v>0</v>
          </cell>
        </row>
        <row r="4369">
          <cell r="A4369" t="str">
            <v>CIVLA</v>
          </cell>
          <cell r="J4369">
            <v>0</v>
          </cell>
        </row>
        <row r="4370">
          <cell r="A4370" t="str">
            <v>CIVLA</v>
          </cell>
          <cell r="J4370">
            <v>0</v>
          </cell>
        </row>
        <row r="4371">
          <cell r="A4371" t="str">
            <v>CIVLA</v>
          </cell>
          <cell r="J4371">
            <v>0</v>
          </cell>
        </row>
        <row r="4372">
          <cell r="A4372" t="str">
            <v>CIVLA</v>
          </cell>
          <cell r="J4372">
            <v>0</v>
          </cell>
        </row>
        <row r="4373">
          <cell r="A4373" t="str">
            <v>CIVLA</v>
          </cell>
          <cell r="J4373">
            <v>0</v>
          </cell>
        </row>
        <row r="4374">
          <cell r="A4374" t="str">
            <v>CIVLA</v>
          </cell>
          <cell r="J4374">
            <v>0</v>
          </cell>
        </row>
        <row r="4375">
          <cell r="A4375" t="str">
            <v>CIVLA</v>
          </cell>
          <cell r="J4375">
            <v>0</v>
          </cell>
        </row>
        <row r="4376">
          <cell r="A4376" t="str">
            <v>CIVLA</v>
          </cell>
          <cell r="J4376">
            <v>0</v>
          </cell>
        </row>
        <row r="4377">
          <cell r="A4377" t="str">
            <v>CIVLA</v>
          </cell>
          <cell r="J4377">
            <v>0</v>
          </cell>
        </row>
        <row r="4378">
          <cell r="A4378" t="str">
            <v>CIVLA</v>
          </cell>
          <cell r="J4378">
            <v>0</v>
          </cell>
        </row>
        <row r="4379">
          <cell r="A4379" t="str">
            <v>CIVLA</v>
          </cell>
          <cell r="J4379">
            <v>0</v>
          </cell>
        </row>
        <row r="4380">
          <cell r="A4380" t="str">
            <v>CIVLA</v>
          </cell>
          <cell r="J4380">
            <v>0</v>
          </cell>
        </row>
        <row r="4381">
          <cell r="A4381" t="str">
            <v>CIVLA</v>
          </cell>
          <cell r="J4381">
            <v>0</v>
          </cell>
        </row>
        <row r="4382">
          <cell r="A4382" t="str">
            <v>CIVLA</v>
          </cell>
          <cell r="J4382">
            <v>0</v>
          </cell>
        </row>
        <row r="4383">
          <cell r="A4383" t="str">
            <v>CIVLA</v>
          </cell>
          <cell r="J4383">
            <v>0</v>
          </cell>
        </row>
        <row r="4384">
          <cell r="A4384" t="str">
            <v>CIVLA</v>
          </cell>
          <cell r="J4384">
            <v>0</v>
          </cell>
        </row>
        <row r="4385">
          <cell r="A4385" t="str">
            <v>CIVLA</v>
          </cell>
          <cell r="J4385">
            <v>0</v>
          </cell>
        </row>
        <row r="4386">
          <cell r="A4386" t="str">
            <v>CIVLA</v>
          </cell>
          <cell r="J4386">
            <v>0</v>
          </cell>
        </row>
        <row r="4387">
          <cell r="A4387" t="str">
            <v>CIVLA</v>
          </cell>
          <cell r="J4387">
            <v>0</v>
          </cell>
        </row>
        <row r="4388">
          <cell r="A4388" t="str">
            <v>CIVLA</v>
          </cell>
          <cell r="J4388">
            <v>0</v>
          </cell>
        </row>
        <row r="4389">
          <cell r="A4389" t="str">
            <v>CIVLA</v>
          </cell>
          <cell r="J4389">
            <v>0</v>
          </cell>
        </row>
        <row r="4390">
          <cell r="A4390" t="str">
            <v>CIVLA</v>
          </cell>
          <cell r="J4390">
            <v>0</v>
          </cell>
        </row>
        <row r="4391">
          <cell r="A4391" t="str">
            <v>CIVLA</v>
          </cell>
          <cell r="J4391">
            <v>0</v>
          </cell>
        </row>
        <row r="4392">
          <cell r="A4392" t="str">
            <v>CIVLA</v>
          </cell>
          <cell r="J4392">
            <v>0</v>
          </cell>
        </row>
        <row r="4393">
          <cell r="A4393" t="str">
            <v>CIVLA</v>
          </cell>
          <cell r="J4393">
            <v>0</v>
          </cell>
        </row>
        <row r="4394">
          <cell r="A4394" t="str">
            <v>CIVLA</v>
          </cell>
          <cell r="J4394">
            <v>0</v>
          </cell>
        </row>
        <row r="4395">
          <cell r="A4395" t="str">
            <v>CIVLA</v>
          </cell>
          <cell r="J4395">
            <v>0</v>
          </cell>
        </row>
        <row r="4396">
          <cell r="A4396" t="str">
            <v>CIVLA</v>
          </cell>
          <cell r="J4396">
            <v>0</v>
          </cell>
        </row>
        <row r="4397">
          <cell r="A4397" t="str">
            <v>CIVLA</v>
          </cell>
          <cell r="J4397">
            <v>0</v>
          </cell>
        </row>
        <row r="4398">
          <cell r="A4398" t="str">
            <v>CIVLA</v>
          </cell>
          <cell r="J4398">
            <v>0</v>
          </cell>
        </row>
        <row r="4399">
          <cell r="A4399" t="str">
            <v>CIVLA</v>
          </cell>
          <cell r="J4399">
            <v>0</v>
          </cell>
        </row>
        <row r="4400">
          <cell r="A4400" t="str">
            <v>CIVLA</v>
          </cell>
          <cell r="J4400">
            <v>0</v>
          </cell>
        </row>
        <row r="4401">
          <cell r="A4401" t="str">
            <v>CIVLA</v>
          </cell>
          <cell r="J4401">
            <v>0</v>
          </cell>
        </row>
        <row r="4402">
          <cell r="A4402" t="str">
            <v>CIVLA</v>
          </cell>
          <cell r="J4402">
            <v>0</v>
          </cell>
        </row>
        <row r="4403">
          <cell r="A4403" t="str">
            <v>CIVLA</v>
          </cell>
          <cell r="J4403">
            <v>0</v>
          </cell>
        </row>
        <row r="4404">
          <cell r="A4404" t="str">
            <v>CIVLA</v>
          </cell>
          <cell r="J4404">
            <v>0</v>
          </cell>
        </row>
        <row r="4405">
          <cell r="A4405" t="str">
            <v>CIVLA</v>
          </cell>
          <cell r="J4405">
            <v>0</v>
          </cell>
        </row>
        <row r="4406">
          <cell r="A4406" t="str">
            <v>CIVLA</v>
          </cell>
          <cell r="J4406">
            <v>0</v>
          </cell>
        </row>
        <row r="4407">
          <cell r="A4407" t="str">
            <v>CIVLA</v>
          </cell>
          <cell r="J4407">
            <v>0</v>
          </cell>
        </row>
        <row r="4408">
          <cell r="A4408" t="str">
            <v>CIVLA</v>
          </cell>
          <cell r="J4408">
            <v>0</v>
          </cell>
        </row>
        <row r="4409">
          <cell r="A4409" t="str">
            <v>CIVLA</v>
          </cell>
          <cell r="J4409">
            <v>0</v>
          </cell>
        </row>
        <row r="4410">
          <cell r="A4410" t="str">
            <v>CIVLA</v>
          </cell>
          <cell r="J4410">
            <v>0</v>
          </cell>
        </row>
        <row r="4411">
          <cell r="A4411" t="str">
            <v>CIVLA</v>
          </cell>
          <cell r="J4411">
            <v>0</v>
          </cell>
        </row>
        <row r="4412">
          <cell r="A4412" t="str">
            <v>CIVLA</v>
          </cell>
          <cell r="J4412">
            <v>0</v>
          </cell>
        </row>
        <row r="4413">
          <cell r="A4413" t="str">
            <v>CIVLA</v>
          </cell>
          <cell r="J4413">
            <v>0</v>
          </cell>
        </row>
        <row r="4414">
          <cell r="A4414" t="str">
            <v>CIVLA</v>
          </cell>
          <cell r="J4414">
            <v>0</v>
          </cell>
        </row>
        <row r="4415">
          <cell r="A4415" t="str">
            <v>CIVLA</v>
          </cell>
          <cell r="J4415">
            <v>0</v>
          </cell>
        </row>
        <row r="4416">
          <cell r="A4416" t="str">
            <v>CIVLA</v>
          </cell>
          <cell r="J4416">
            <v>0</v>
          </cell>
        </row>
        <row r="4417">
          <cell r="A4417" t="str">
            <v>CIVLA</v>
          </cell>
          <cell r="J4417">
            <v>0</v>
          </cell>
        </row>
        <row r="4418">
          <cell r="A4418" t="str">
            <v>CIVLA</v>
          </cell>
          <cell r="J4418">
            <v>0</v>
          </cell>
        </row>
        <row r="4419">
          <cell r="A4419" t="str">
            <v>CIVLA</v>
          </cell>
          <cell r="J4419">
            <v>0</v>
          </cell>
        </row>
        <row r="4420">
          <cell r="A4420" t="str">
            <v>CIVLA</v>
          </cell>
          <cell r="J4420">
            <v>0</v>
          </cell>
        </row>
        <row r="4421">
          <cell r="A4421" t="str">
            <v>CIVLA</v>
          </cell>
          <cell r="J4421">
            <v>0</v>
          </cell>
        </row>
        <row r="4422">
          <cell r="A4422" t="str">
            <v>CIVLA</v>
          </cell>
          <cell r="J4422">
            <v>0</v>
          </cell>
        </row>
        <row r="4423">
          <cell r="A4423" t="str">
            <v>CIVLA</v>
          </cell>
          <cell r="J4423">
            <v>0</v>
          </cell>
        </row>
        <row r="4424">
          <cell r="A4424" t="str">
            <v>CIVLA</v>
          </cell>
          <cell r="J4424">
            <v>0</v>
          </cell>
        </row>
        <row r="4425">
          <cell r="A4425" t="str">
            <v>CIVLA</v>
          </cell>
          <cell r="J4425">
            <v>0</v>
          </cell>
        </row>
        <row r="4426">
          <cell r="A4426" t="str">
            <v>CIVLA</v>
          </cell>
          <cell r="J4426">
            <v>0</v>
          </cell>
        </row>
        <row r="4427">
          <cell r="A4427" t="str">
            <v>CIVLA</v>
          </cell>
          <cell r="J4427">
            <v>0</v>
          </cell>
        </row>
        <row r="4428">
          <cell r="A4428" t="str">
            <v>CIVLA</v>
          </cell>
          <cell r="J4428">
            <v>0</v>
          </cell>
        </row>
        <row r="4429">
          <cell r="A4429" t="str">
            <v>CIVLA</v>
          </cell>
          <cell r="J4429">
            <v>0</v>
          </cell>
        </row>
        <row r="4430">
          <cell r="A4430" t="str">
            <v>CIVLA</v>
          </cell>
          <cell r="J4430">
            <v>0</v>
          </cell>
        </row>
        <row r="4431">
          <cell r="A4431" t="str">
            <v>CIVLA</v>
          </cell>
          <cell r="J4431">
            <v>0</v>
          </cell>
        </row>
        <row r="4432">
          <cell r="A4432" t="str">
            <v>CIVLA</v>
          </cell>
          <cell r="J4432">
            <v>0</v>
          </cell>
        </row>
        <row r="4433">
          <cell r="A4433" t="str">
            <v>CIVLA</v>
          </cell>
          <cell r="J4433">
            <v>0</v>
          </cell>
        </row>
        <row r="4434">
          <cell r="A4434" t="str">
            <v>CIVLA</v>
          </cell>
          <cell r="J4434">
            <v>0</v>
          </cell>
        </row>
        <row r="4435">
          <cell r="A4435" t="str">
            <v>CIVLA</v>
          </cell>
          <cell r="J4435">
            <v>0</v>
          </cell>
        </row>
        <row r="4436">
          <cell r="A4436" t="str">
            <v>CIVLA</v>
          </cell>
          <cell r="J4436">
            <v>0</v>
          </cell>
        </row>
        <row r="4437">
          <cell r="A4437" t="str">
            <v>CIVLA</v>
          </cell>
          <cell r="J4437">
            <v>0</v>
          </cell>
        </row>
        <row r="4438">
          <cell r="A4438" t="str">
            <v>CIVLA</v>
          </cell>
          <cell r="J4438">
            <v>0</v>
          </cell>
        </row>
        <row r="4439">
          <cell r="A4439" t="str">
            <v>CIVLA</v>
          </cell>
          <cell r="J4439">
            <v>0</v>
          </cell>
        </row>
        <row r="4440">
          <cell r="A4440" t="str">
            <v>CIVLA</v>
          </cell>
          <cell r="J4440">
            <v>0</v>
          </cell>
        </row>
        <row r="4441">
          <cell r="A4441" t="str">
            <v>CIVLA</v>
          </cell>
          <cell r="J4441">
            <v>0</v>
          </cell>
        </row>
        <row r="4442">
          <cell r="A4442" t="str">
            <v>CIVLA</v>
          </cell>
          <cell r="J4442">
            <v>0</v>
          </cell>
        </row>
        <row r="4443">
          <cell r="A4443" t="str">
            <v>CIVLA</v>
          </cell>
          <cell r="J4443">
            <v>0</v>
          </cell>
        </row>
        <row r="4444">
          <cell r="A4444" t="str">
            <v>CIVLA</v>
          </cell>
          <cell r="J4444">
            <v>0</v>
          </cell>
        </row>
        <row r="4445">
          <cell r="A4445" t="str">
            <v>CIVLA</v>
          </cell>
          <cell r="J4445">
            <v>0</v>
          </cell>
        </row>
        <row r="4446">
          <cell r="A4446" t="str">
            <v>CIVLA</v>
          </cell>
          <cell r="J4446">
            <v>0</v>
          </cell>
        </row>
        <row r="4447">
          <cell r="A4447" t="str">
            <v>CIVLA</v>
          </cell>
          <cell r="J4447">
            <v>0</v>
          </cell>
        </row>
        <row r="4448">
          <cell r="A4448" t="str">
            <v>CIVLA</v>
          </cell>
          <cell r="J4448">
            <v>0</v>
          </cell>
        </row>
        <row r="4449">
          <cell r="A4449" t="str">
            <v>CIVLA</v>
          </cell>
          <cell r="J4449">
            <v>0</v>
          </cell>
        </row>
        <row r="4450">
          <cell r="A4450" t="str">
            <v>CIVLA</v>
          </cell>
          <cell r="J4450">
            <v>0</v>
          </cell>
        </row>
        <row r="4451">
          <cell r="A4451" t="str">
            <v>CIVLA</v>
          </cell>
          <cell r="J4451">
            <v>0</v>
          </cell>
        </row>
        <row r="4452">
          <cell r="A4452" t="str">
            <v>CIVLA</v>
          </cell>
          <cell r="J4452">
            <v>0</v>
          </cell>
        </row>
        <row r="4453">
          <cell r="A4453" t="str">
            <v>CIVLA</v>
          </cell>
          <cell r="J4453">
            <v>0</v>
          </cell>
        </row>
        <row r="4454">
          <cell r="A4454" t="str">
            <v>CIVLA</v>
          </cell>
          <cell r="J4454">
            <v>0</v>
          </cell>
        </row>
        <row r="4455">
          <cell r="A4455" t="str">
            <v>CIVLA</v>
          </cell>
          <cell r="J4455">
            <v>0</v>
          </cell>
        </row>
        <row r="4456">
          <cell r="A4456" t="str">
            <v>CIVLA</v>
          </cell>
          <cell r="J4456">
            <v>0</v>
          </cell>
        </row>
        <row r="4457">
          <cell r="A4457" t="str">
            <v>CIVLA</v>
          </cell>
          <cell r="J4457">
            <v>0</v>
          </cell>
        </row>
        <row r="4458">
          <cell r="A4458" t="str">
            <v>CIVLA</v>
          </cell>
          <cell r="J4458">
            <v>0</v>
          </cell>
        </row>
        <row r="4459">
          <cell r="A4459" t="str">
            <v>CIVLA</v>
          </cell>
          <cell r="J4459">
            <v>0</v>
          </cell>
        </row>
        <row r="4460">
          <cell r="A4460" t="str">
            <v>CIVLA</v>
          </cell>
          <cell r="J4460">
            <v>0</v>
          </cell>
        </row>
        <row r="4461">
          <cell r="A4461" t="str">
            <v>CIVLA</v>
          </cell>
          <cell r="J4461">
            <v>0</v>
          </cell>
        </row>
        <row r="4462">
          <cell r="A4462" t="str">
            <v>CIVLA</v>
          </cell>
          <cell r="J4462">
            <v>0</v>
          </cell>
        </row>
        <row r="4463">
          <cell r="A4463" t="str">
            <v>CIVLA</v>
          </cell>
          <cell r="J4463">
            <v>0</v>
          </cell>
        </row>
        <row r="4464">
          <cell r="A4464" t="str">
            <v>CIVLA</v>
          </cell>
          <cell r="J4464">
            <v>0</v>
          </cell>
        </row>
        <row r="4465">
          <cell r="A4465" t="str">
            <v>CIVLA</v>
          </cell>
          <cell r="J4465">
            <v>0</v>
          </cell>
        </row>
        <row r="4466">
          <cell r="A4466" t="str">
            <v>CIVLA</v>
          </cell>
          <cell r="J4466">
            <v>0</v>
          </cell>
        </row>
        <row r="4467">
          <cell r="A4467" t="str">
            <v>CIVLA</v>
          </cell>
          <cell r="J4467">
            <v>0</v>
          </cell>
        </row>
        <row r="4468">
          <cell r="A4468" t="str">
            <v>CIVLA</v>
          </cell>
          <cell r="J4468">
            <v>0</v>
          </cell>
        </row>
        <row r="4469">
          <cell r="A4469" t="str">
            <v>CIVLA</v>
          </cell>
          <cell r="J4469">
            <v>0</v>
          </cell>
        </row>
        <row r="4470">
          <cell r="A4470" t="str">
            <v>CIVLA</v>
          </cell>
          <cell r="J4470">
            <v>0</v>
          </cell>
        </row>
        <row r="4471">
          <cell r="A4471" t="str">
            <v>CIVLA</v>
          </cell>
          <cell r="J4471">
            <v>0</v>
          </cell>
        </row>
        <row r="4472">
          <cell r="A4472" t="str">
            <v>CIVLA</v>
          </cell>
          <cell r="J4472">
            <v>0</v>
          </cell>
        </row>
        <row r="4473">
          <cell r="A4473" t="str">
            <v>CIVLA</v>
          </cell>
          <cell r="J4473">
            <v>0</v>
          </cell>
        </row>
        <row r="4474">
          <cell r="A4474" t="str">
            <v>CIVLA</v>
          </cell>
          <cell r="J4474">
            <v>0</v>
          </cell>
        </row>
        <row r="4475">
          <cell r="A4475" t="str">
            <v>CIVLA</v>
          </cell>
          <cell r="J4475">
            <v>0</v>
          </cell>
        </row>
        <row r="4476">
          <cell r="A4476" t="str">
            <v>CIVLA</v>
          </cell>
          <cell r="J4476">
            <v>0</v>
          </cell>
        </row>
        <row r="4477">
          <cell r="A4477" t="str">
            <v>CIVLA</v>
          </cell>
          <cell r="J4477">
            <v>0</v>
          </cell>
        </row>
        <row r="4478">
          <cell r="A4478" t="str">
            <v>CIVLA</v>
          </cell>
          <cell r="J4478">
            <v>0</v>
          </cell>
        </row>
        <row r="4479">
          <cell r="A4479" t="str">
            <v>CIVLA</v>
          </cell>
          <cell r="J4479">
            <v>0</v>
          </cell>
        </row>
        <row r="4480">
          <cell r="A4480" t="str">
            <v>CIVLA</v>
          </cell>
          <cell r="J4480">
            <v>0</v>
          </cell>
        </row>
        <row r="4481">
          <cell r="A4481" t="str">
            <v>CIVLA</v>
          </cell>
          <cell r="J4481">
            <v>0</v>
          </cell>
        </row>
        <row r="4482">
          <cell r="A4482" t="str">
            <v>CIVLA</v>
          </cell>
          <cell r="J4482">
            <v>0</v>
          </cell>
        </row>
        <row r="4483">
          <cell r="A4483" t="str">
            <v>CIVLA</v>
          </cell>
          <cell r="J4483">
            <v>0</v>
          </cell>
        </row>
        <row r="4484">
          <cell r="A4484" t="str">
            <v>CIVLA</v>
          </cell>
          <cell r="J4484">
            <v>0</v>
          </cell>
        </row>
        <row r="4485">
          <cell r="A4485" t="str">
            <v>CIVLA</v>
          </cell>
          <cell r="J4485">
            <v>0</v>
          </cell>
        </row>
        <row r="4486">
          <cell r="A4486" t="str">
            <v>CIVLA</v>
          </cell>
          <cell r="J4486">
            <v>0</v>
          </cell>
        </row>
        <row r="4487">
          <cell r="A4487" t="str">
            <v>CIVLA</v>
          </cell>
          <cell r="J4487">
            <v>0</v>
          </cell>
        </row>
        <row r="4488">
          <cell r="A4488" t="str">
            <v>CIVLA</v>
          </cell>
          <cell r="J4488">
            <v>0</v>
          </cell>
        </row>
        <row r="4489">
          <cell r="A4489" t="str">
            <v>CIVLA</v>
          </cell>
          <cell r="J4489">
            <v>0</v>
          </cell>
        </row>
        <row r="4490">
          <cell r="A4490" t="str">
            <v>CIVLA</v>
          </cell>
          <cell r="J4490">
            <v>0</v>
          </cell>
        </row>
        <row r="4491">
          <cell r="A4491" t="str">
            <v>CIVLA</v>
          </cell>
          <cell r="J4491">
            <v>0</v>
          </cell>
        </row>
        <row r="4492">
          <cell r="A4492" t="str">
            <v>CIVLA</v>
          </cell>
          <cell r="J4492">
            <v>0</v>
          </cell>
        </row>
        <row r="4493">
          <cell r="A4493" t="str">
            <v>CIVLA</v>
          </cell>
          <cell r="J4493">
            <v>0</v>
          </cell>
        </row>
        <row r="4494">
          <cell r="A4494" t="str">
            <v>CIVLA</v>
          </cell>
          <cell r="J4494">
            <v>0</v>
          </cell>
        </row>
        <row r="4495">
          <cell r="A4495" t="str">
            <v>CIVLA</v>
          </cell>
          <cell r="J4495">
            <v>0</v>
          </cell>
        </row>
        <row r="4496">
          <cell r="A4496" t="str">
            <v>CIVLA</v>
          </cell>
          <cell r="J4496">
            <v>0</v>
          </cell>
        </row>
        <row r="4497">
          <cell r="A4497" t="str">
            <v>CIVLA</v>
          </cell>
          <cell r="J4497">
            <v>0</v>
          </cell>
        </row>
        <row r="4498">
          <cell r="A4498" t="str">
            <v>CIVLA</v>
          </cell>
          <cell r="J4498">
            <v>0</v>
          </cell>
        </row>
        <row r="4499">
          <cell r="A4499" t="str">
            <v>CIVLA</v>
          </cell>
          <cell r="J4499">
            <v>0</v>
          </cell>
        </row>
        <row r="4500">
          <cell r="A4500" t="str">
            <v>CIVLA</v>
          </cell>
          <cell r="J4500">
            <v>0</v>
          </cell>
        </row>
        <row r="4501">
          <cell r="A4501" t="str">
            <v>CIVLA</v>
          </cell>
          <cell r="J4501">
            <v>0</v>
          </cell>
        </row>
        <row r="4502">
          <cell r="A4502" t="str">
            <v>CIVLA</v>
          </cell>
          <cell r="J4502">
            <v>0</v>
          </cell>
        </row>
        <row r="4503">
          <cell r="A4503" t="str">
            <v>CIVLA</v>
          </cell>
          <cell r="J4503">
            <v>0</v>
          </cell>
        </row>
        <row r="4504">
          <cell r="A4504" t="str">
            <v>CIVLA</v>
          </cell>
          <cell r="J4504">
            <v>0</v>
          </cell>
        </row>
        <row r="4505">
          <cell r="A4505" t="str">
            <v>CIVLA</v>
          </cell>
          <cell r="J4505">
            <v>0</v>
          </cell>
        </row>
        <row r="4506">
          <cell r="A4506" t="str">
            <v>CIVLA</v>
          </cell>
          <cell r="J4506">
            <v>0</v>
          </cell>
        </row>
        <row r="4507">
          <cell r="A4507" t="str">
            <v>CIVLA</v>
          </cell>
          <cell r="J4507">
            <v>0</v>
          </cell>
        </row>
        <row r="4508">
          <cell r="A4508" t="str">
            <v>CIVLA</v>
          </cell>
          <cell r="J4508">
            <v>0</v>
          </cell>
        </row>
        <row r="4509">
          <cell r="A4509" t="str">
            <v>CIVLA</v>
          </cell>
          <cell r="J4509">
            <v>0</v>
          </cell>
        </row>
        <row r="4510">
          <cell r="A4510" t="str">
            <v>CIVLA</v>
          </cell>
          <cell r="J4510">
            <v>0</v>
          </cell>
        </row>
        <row r="4511">
          <cell r="A4511" t="str">
            <v>CIVLA</v>
          </cell>
          <cell r="J4511">
            <v>0</v>
          </cell>
        </row>
        <row r="4512">
          <cell r="A4512" t="str">
            <v>CIVLA</v>
          </cell>
          <cell r="J4512">
            <v>0</v>
          </cell>
        </row>
        <row r="4513">
          <cell r="A4513" t="str">
            <v>CIVLA</v>
          </cell>
          <cell r="J4513">
            <v>0</v>
          </cell>
        </row>
        <row r="4514">
          <cell r="A4514" t="str">
            <v>CIVLA</v>
          </cell>
          <cell r="J4514">
            <v>0</v>
          </cell>
        </row>
        <row r="4515">
          <cell r="A4515" t="str">
            <v>CIVLA</v>
          </cell>
          <cell r="J4515">
            <v>0</v>
          </cell>
        </row>
        <row r="4516">
          <cell r="A4516" t="str">
            <v>CIVLA</v>
          </cell>
          <cell r="J4516">
            <v>0</v>
          </cell>
        </row>
        <row r="4517">
          <cell r="A4517" t="str">
            <v>CIVLA</v>
          </cell>
          <cell r="J4517">
            <v>0</v>
          </cell>
        </row>
        <row r="4518">
          <cell r="A4518" t="str">
            <v>CIVLA</v>
          </cell>
          <cell r="J4518">
            <v>0</v>
          </cell>
        </row>
        <row r="4519">
          <cell r="A4519" t="str">
            <v>CIVLA</v>
          </cell>
          <cell r="J4519">
            <v>0</v>
          </cell>
        </row>
        <row r="4520">
          <cell r="A4520" t="str">
            <v>CIVLA</v>
          </cell>
          <cell r="J4520">
            <v>0</v>
          </cell>
        </row>
        <row r="4521">
          <cell r="A4521" t="str">
            <v>CIVLA</v>
          </cell>
          <cell r="J4521">
            <v>0</v>
          </cell>
        </row>
        <row r="4522">
          <cell r="A4522" t="str">
            <v>CIVLA</v>
          </cell>
          <cell r="J4522">
            <v>0</v>
          </cell>
        </row>
        <row r="4523">
          <cell r="A4523" t="str">
            <v>CIVLA</v>
          </cell>
          <cell r="J4523">
            <v>0</v>
          </cell>
        </row>
        <row r="4524">
          <cell r="A4524" t="str">
            <v>CIVLA</v>
          </cell>
          <cell r="J4524">
            <v>0</v>
          </cell>
        </row>
        <row r="4525">
          <cell r="A4525" t="str">
            <v>CIVLA</v>
          </cell>
          <cell r="J4525">
            <v>0</v>
          </cell>
        </row>
        <row r="4526">
          <cell r="A4526" t="str">
            <v>CIVLA</v>
          </cell>
          <cell r="J4526">
            <v>0</v>
          </cell>
        </row>
        <row r="4527">
          <cell r="A4527" t="str">
            <v>CIVLA</v>
          </cell>
          <cell r="J4527">
            <v>0</v>
          </cell>
        </row>
        <row r="4528">
          <cell r="A4528" t="str">
            <v>CIVLA</v>
          </cell>
          <cell r="J4528">
            <v>0</v>
          </cell>
        </row>
        <row r="4529">
          <cell r="A4529" t="str">
            <v>CIVLA</v>
          </cell>
          <cell r="J4529">
            <v>0</v>
          </cell>
        </row>
        <row r="4530">
          <cell r="A4530" t="str">
            <v>CIVLA</v>
          </cell>
          <cell r="J4530">
            <v>0</v>
          </cell>
        </row>
        <row r="4531">
          <cell r="A4531" t="str">
            <v>CIVLA</v>
          </cell>
          <cell r="J4531">
            <v>0</v>
          </cell>
        </row>
        <row r="4532">
          <cell r="A4532" t="str">
            <v>CIVLA</v>
          </cell>
          <cell r="J4532">
            <v>0</v>
          </cell>
        </row>
        <row r="4533">
          <cell r="A4533" t="str">
            <v>CIVLA</v>
          </cell>
          <cell r="J4533">
            <v>0</v>
          </cell>
        </row>
        <row r="4534">
          <cell r="A4534" t="str">
            <v>CIVLA</v>
          </cell>
          <cell r="J4534">
            <v>0</v>
          </cell>
        </row>
        <row r="4535">
          <cell r="A4535" t="str">
            <v>CIVLA</v>
          </cell>
          <cell r="J4535">
            <v>0</v>
          </cell>
        </row>
        <row r="4536">
          <cell r="A4536" t="str">
            <v>CIVLA</v>
          </cell>
          <cell r="J4536">
            <v>0</v>
          </cell>
        </row>
        <row r="4537">
          <cell r="A4537" t="str">
            <v>CIVLA</v>
          </cell>
          <cell r="J4537">
            <v>0</v>
          </cell>
        </row>
        <row r="4538">
          <cell r="A4538" t="str">
            <v>CIVLA</v>
          </cell>
          <cell r="J4538">
            <v>0</v>
          </cell>
        </row>
        <row r="4539">
          <cell r="A4539" t="str">
            <v>CIVLA</v>
          </cell>
          <cell r="J4539">
            <v>0</v>
          </cell>
        </row>
        <row r="4540">
          <cell r="A4540" t="str">
            <v>CIVLA</v>
          </cell>
          <cell r="J4540">
            <v>0</v>
          </cell>
        </row>
        <row r="4541">
          <cell r="A4541" t="str">
            <v>CIVLA</v>
          </cell>
          <cell r="J4541">
            <v>0</v>
          </cell>
        </row>
        <row r="4542">
          <cell r="A4542" t="str">
            <v>CIVLA</v>
          </cell>
          <cell r="J4542">
            <v>0</v>
          </cell>
        </row>
        <row r="4543">
          <cell r="A4543" t="str">
            <v>CIVLA</v>
          </cell>
          <cell r="J4543">
            <v>0</v>
          </cell>
        </row>
        <row r="4544">
          <cell r="A4544" t="str">
            <v>CIVLA</v>
          </cell>
          <cell r="J4544">
            <v>0</v>
          </cell>
        </row>
        <row r="4545">
          <cell r="A4545" t="str">
            <v>CIVLA</v>
          </cell>
          <cell r="J4545">
            <v>0</v>
          </cell>
        </row>
        <row r="4546">
          <cell r="A4546" t="str">
            <v>CIVLA</v>
          </cell>
          <cell r="J4546">
            <v>0</v>
          </cell>
        </row>
        <row r="4547">
          <cell r="A4547" t="str">
            <v>CIVLA</v>
          </cell>
          <cell r="J4547">
            <v>0</v>
          </cell>
        </row>
        <row r="4548">
          <cell r="A4548" t="str">
            <v>CIVLA</v>
          </cell>
          <cell r="J4548">
            <v>0</v>
          </cell>
        </row>
        <row r="4549">
          <cell r="A4549" t="str">
            <v>CIVLA</v>
          </cell>
          <cell r="J4549">
            <v>0</v>
          </cell>
        </row>
        <row r="4550">
          <cell r="A4550" t="str">
            <v>CIVLA</v>
          </cell>
          <cell r="J4550">
            <v>0</v>
          </cell>
        </row>
        <row r="4551">
          <cell r="A4551" t="str">
            <v>CIVLA</v>
          </cell>
          <cell r="J4551">
            <v>0</v>
          </cell>
        </row>
        <row r="4552">
          <cell r="A4552" t="str">
            <v>CIVLA</v>
          </cell>
          <cell r="J4552">
            <v>0</v>
          </cell>
        </row>
        <row r="4553">
          <cell r="A4553" t="str">
            <v>CIVLA</v>
          </cell>
          <cell r="J4553">
            <v>0</v>
          </cell>
        </row>
        <row r="4554">
          <cell r="A4554" t="str">
            <v>CIVLA</v>
          </cell>
          <cell r="J4554">
            <v>0</v>
          </cell>
        </row>
        <row r="4555">
          <cell r="A4555" t="str">
            <v>CIVLA</v>
          </cell>
          <cell r="J4555">
            <v>0</v>
          </cell>
        </row>
        <row r="4556">
          <cell r="A4556" t="str">
            <v>CIVLA</v>
          </cell>
          <cell r="J4556">
            <v>0</v>
          </cell>
        </row>
        <row r="4557">
          <cell r="A4557" t="str">
            <v>CIVLA</v>
          </cell>
          <cell r="J4557">
            <v>0</v>
          </cell>
        </row>
        <row r="4558">
          <cell r="A4558" t="str">
            <v>CIVLA</v>
          </cell>
          <cell r="J4558">
            <v>0</v>
          </cell>
        </row>
        <row r="4559">
          <cell r="A4559" t="str">
            <v>CIVLA</v>
          </cell>
          <cell r="J4559">
            <v>0</v>
          </cell>
        </row>
        <row r="4560">
          <cell r="A4560" t="str">
            <v>CIVLA</v>
          </cell>
          <cell r="J4560">
            <v>0</v>
          </cell>
        </row>
        <row r="4561">
          <cell r="A4561" t="str">
            <v>CIVLA</v>
          </cell>
          <cell r="J4561">
            <v>0</v>
          </cell>
        </row>
        <row r="4562">
          <cell r="A4562" t="str">
            <v>CIVLA</v>
          </cell>
          <cell r="J4562">
            <v>0</v>
          </cell>
        </row>
        <row r="4563">
          <cell r="A4563" t="str">
            <v>CIVLA</v>
          </cell>
          <cell r="J4563">
            <v>0</v>
          </cell>
        </row>
        <row r="4564">
          <cell r="A4564" t="str">
            <v>CIVLA</v>
          </cell>
          <cell r="J4564">
            <v>0</v>
          </cell>
        </row>
        <row r="4565">
          <cell r="A4565" t="str">
            <v>CIVLA</v>
          </cell>
          <cell r="J4565">
            <v>0</v>
          </cell>
        </row>
        <row r="4566">
          <cell r="A4566" t="str">
            <v>CIVLA</v>
          </cell>
          <cell r="J4566">
            <v>0</v>
          </cell>
        </row>
        <row r="4567">
          <cell r="A4567" t="str">
            <v>CIVLA</v>
          </cell>
          <cell r="J4567">
            <v>0</v>
          </cell>
        </row>
        <row r="4568">
          <cell r="A4568" t="str">
            <v>CIVLA</v>
          </cell>
          <cell r="J4568">
            <v>0</v>
          </cell>
        </row>
        <row r="4569">
          <cell r="A4569" t="str">
            <v>CIVLA</v>
          </cell>
          <cell r="J4569">
            <v>0</v>
          </cell>
        </row>
        <row r="4570">
          <cell r="A4570" t="str">
            <v>CIVLA</v>
          </cell>
          <cell r="J4570">
            <v>0</v>
          </cell>
        </row>
        <row r="4571">
          <cell r="A4571" t="str">
            <v>CIVLA</v>
          </cell>
          <cell r="J4571">
            <v>0</v>
          </cell>
        </row>
        <row r="4572">
          <cell r="A4572" t="str">
            <v>CIVLA</v>
          </cell>
          <cell r="J4572">
            <v>0</v>
          </cell>
        </row>
        <row r="4573">
          <cell r="A4573" t="str">
            <v>CIVLA</v>
          </cell>
          <cell r="J4573">
            <v>0</v>
          </cell>
        </row>
        <row r="4574">
          <cell r="A4574" t="str">
            <v>CIVLA</v>
          </cell>
          <cell r="J4574">
            <v>0</v>
          </cell>
        </row>
        <row r="4575">
          <cell r="A4575" t="str">
            <v>CIVLA</v>
          </cell>
          <cell r="J4575">
            <v>0</v>
          </cell>
        </row>
        <row r="4576">
          <cell r="A4576" t="str">
            <v>CIVLA</v>
          </cell>
          <cell r="J4576">
            <v>0</v>
          </cell>
        </row>
        <row r="4577">
          <cell r="A4577" t="str">
            <v>CIVLA</v>
          </cell>
          <cell r="J4577">
            <v>0</v>
          </cell>
        </row>
        <row r="4578">
          <cell r="A4578" t="str">
            <v>CIVLA</v>
          </cell>
          <cell r="J4578">
            <v>0</v>
          </cell>
        </row>
        <row r="4579">
          <cell r="A4579" t="str">
            <v>CIVLA</v>
          </cell>
          <cell r="J4579">
            <v>0</v>
          </cell>
        </row>
        <row r="4580">
          <cell r="A4580" t="str">
            <v>CIVLA</v>
          </cell>
          <cell r="J4580">
            <v>0</v>
          </cell>
        </row>
        <row r="4581">
          <cell r="A4581" t="str">
            <v>CIVLA</v>
          </cell>
          <cell r="J4581">
            <v>0</v>
          </cell>
        </row>
        <row r="4582">
          <cell r="A4582" t="str">
            <v>CIVLA</v>
          </cell>
          <cell r="J4582">
            <v>0</v>
          </cell>
        </row>
        <row r="4583">
          <cell r="A4583" t="str">
            <v>CIVLA</v>
          </cell>
          <cell r="J4583">
            <v>0</v>
          </cell>
        </row>
        <row r="4584">
          <cell r="A4584" t="str">
            <v>CIVLA</v>
          </cell>
          <cell r="J4584">
            <v>0</v>
          </cell>
        </row>
        <row r="4585">
          <cell r="A4585" t="str">
            <v>CIVLA</v>
          </cell>
          <cell r="J4585">
            <v>0</v>
          </cell>
        </row>
        <row r="4586">
          <cell r="A4586" t="str">
            <v>CIVLA</v>
          </cell>
          <cell r="J4586">
            <v>0</v>
          </cell>
        </row>
        <row r="4587">
          <cell r="A4587" t="str">
            <v>CIVLA</v>
          </cell>
          <cell r="J4587">
            <v>0</v>
          </cell>
        </row>
        <row r="4588">
          <cell r="A4588" t="str">
            <v>CIVLA</v>
          </cell>
          <cell r="J4588">
            <v>0</v>
          </cell>
        </row>
        <row r="4589">
          <cell r="A4589" t="str">
            <v>CIVLA</v>
          </cell>
          <cell r="J4589">
            <v>0</v>
          </cell>
        </row>
        <row r="4590">
          <cell r="A4590" t="str">
            <v>CIVLA</v>
          </cell>
          <cell r="J4590">
            <v>0</v>
          </cell>
        </row>
        <row r="4591">
          <cell r="A4591" t="str">
            <v>CIVLA</v>
          </cell>
          <cell r="J4591">
            <v>0</v>
          </cell>
        </row>
        <row r="4592">
          <cell r="A4592" t="str">
            <v>CIVLA</v>
          </cell>
          <cell r="J4592">
            <v>0</v>
          </cell>
        </row>
        <row r="4593">
          <cell r="A4593" t="str">
            <v>CIVLA</v>
          </cell>
          <cell r="J4593">
            <v>0</v>
          </cell>
        </row>
        <row r="4594">
          <cell r="A4594" t="str">
            <v>CIVLA</v>
          </cell>
          <cell r="J4594">
            <v>0</v>
          </cell>
        </row>
        <row r="4595">
          <cell r="A4595" t="str">
            <v>CIVLA</v>
          </cell>
          <cell r="J4595">
            <v>0</v>
          </cell>
        </row>
        <row r="4596">
          <cell r="A4596" t="str">
            <v>CIVLA</v>
          </cell>
          <cell r="J4596">
            <v>0</v>
          </cell>
        </row>
        <row r="4597">
          <cell r="A4597" t="str">
            <v>CIVLA</v>
          </cell>
          <cell r="J4597">
            <v>0</v>
          </cell>
        </row>
        <row r="4598">
          <cell r="A4598" t="str">
            <v>CIVLA</v>
          </cell>
          <cell r="J4598">
            <v>0</v>
          </cell>
        </row>
        <row r="4599">
          <cell r="A4599" t="str">
            <v>CIVLA</v>
          </cell>
          <cell r="J4599">
            <v>0</v>
          </cell>
        </row>
        <row r="4600">
          <cell r="A4600" t="str">
            <v>CIVLA</v>
          </cell>
          <cell r="J4600">
            <v>0</v>
          </cell>
        </row>
        <row r="4601">
          <cell r="A4601" t="str">
            <v>CIVLA</v>
          </cell>
          <cell r="J4601">
            <v>0</v>
          </cell>
        </row>
        <row r="4602">
          <cell r="A4602" t="str">
            <v>CIVLA</v>
          </cell>
          <cell r="J4602">
            <v>0</v>
          </cell>
        </row>
        <row r="4603">
          <cell r="A4603" t="str">
            <v>CIVLA</v>
          </cell>
          <cell r="J4603">
            <v>0</v>
          </cell>
        </row>
        <row r="4604">
          <cell r="A4604" t="str">
            <v>CIVLA</v>
          </cell>
          <cell r="J4604">
            <v>0</v>
          </cell>
        </row>
        <row r="4605">
          <cell r="A4605" t="str">
            <v>CIVLA</v>
          </cell>
          <cell r="J4605">
            <v>0</v>
          </cell>
        </row>
        <row r="4606">
          <cell r="A4606" t="str">
            <v>CIVLA</v>
          </cell>
          <cell r="J4606">
            <v>0</v>
          </cell>
        </row>
        <row r="4607">
          <cell r="A4607" t="str">
            <v>CIVLA</v>
          </cell>
          <cell r="J4607">
            <v>0</v>
          </cell>
        </row>
        <row r="4608">
          <cell r="A4608" t="str">
            <v>CIVLA</v>
          </cell>
          <cell r="J4608">
            <v>0</v>
          </cell>
        </row>
        <row r="4609">
          <cell r="A4609" t="str">
            <v>CIVLA</v>
          </cell>
          <cell r="J4609">
            <v>0</v>
          </cell>
        </row>
        <row r="4610">
          <cell r="A4610" t="str">
            <v>CIVLA</v>
          </cell>
          <cell r="J4610">
            <v>0</v>
          </cell>
        </row>
        <row r="4611">
          <cell r="A4611" t="str">
            <v>CIVLA</v>
          </cell>
          <cell r="J4611">
            <v>0</v>
          </cell>
        </row>
        <row r="4612">
          <cell r="A4612" t="str">
            <v>CIVLA</v>
          </cell>
          <cell r="J4612">
            <v>0</v>
          </cell>
        </row>
        <row r="4613">
          <cell r="A4613" t="str">
            <v>CIVLA</v>
          </cell>
          <cell r="J4613">
            <v>0</v>
          </cell>
        </row>
        <row r="4614">
          <cell r="A4614" t="str">
            <v>CIVLA</v>
          </cell>
          <cell r="J4614">
            <v>0</v>
          </cell>
        </row>
        <row r="4615">
          <cell r="A4615" t="str">
            <v>CIVLA</v>
          </cell>
          <cell r="J4615">
            <v>0</v>
          </cell>
        </row>
        <row r="4616">
          <cell r="A4616" t="str">
            <v>CIVLA</v>
          </cell>
          <cell r="J4616">
            <v>0</v>
          </cell>
        </row>
        <row r="4617">
          <cell r="A4617" t="str">
            <v>CIVLA</v>
          </cell>
          <cell r="J4617">
            <v>0</v>
          </cell>
        </row>
        <row r="4618">
          <cell r="A4618" t="str">
            <v>CIVLA</v>
          </cell>
          <cell r="J4618">
            <v>0</v>
          </cell>
        </row>
        <row r="4619">
          <cell r="A4619" t="str">
            <v>CIVLA</v>
          </cell>
          <cell r="J4619">
            <v>0</v>
          </cell>
        </row>
        <row r="4620">
          <cell r="A4620" t="str">
            <v>CIVLA</v>
          </cell>
          <cell r="J4620">
            <v>0</v>
          </cell>
        </row>
        <row r="4621">
          <cell r="A4621" t="str">
            <v>CIVLA</v>
          </cell>
          <cell r="J4621">
            <v>0</v>
          </cell>
        </row>
        <row r="4622">
          <cell r="A4622" t="str">
            <v>CIVLA</v>
          </cell>
          <cell r="J4622">
            <v>0</v>
          </cell>
        </row>
        <row r="4623">
          <cell r="A4623" t="str">
            <v>CIVLA</v>
          </cell>
          <cell r="J4623">
            <v>0</v>
          </cell>
        </row>
        <row r="4624">
          <cell r="A4624" t="str">
            <v>CIVLA</v>
          </cell>
          <cell r="J4624">
            <v>0</v>
          </cell>
        </row>
        <row r="4625">
          <cell r="A4625" t="str">
            <v>CIVLA</v>
          </cell>
          <cell r="J4625">
            <v>0</v>
          </cell>
        </row>
        <row r="4626">
          <cell r="A4626" t="str">
            <v>CIVLA</v>
          </cell>
          <cell r="J4626">
            <v>0</v>
          </cell>
        </row>
        <row r="4627">
          <cell r="A4627" t="str">
            <v>CIVLA</v>
          </cell>
          <cell r="J4627">
            <v>0</v>
          </cell>
        </row>
        <row r="4628">
          <cell r="A4628" t="str">
            <v>CIVLA</v>
          </cell>
          <cell r="J4628">
            <v>0</v>
          </cell>
        </row>
        <row r="4629">
          <cell r="A4629" t="str">
            <v>CIVLA</v>
          </cell>
          <cell r="J4629">
            <v>0</v>
          </cell>
        </row>
        <row r="4630">
          <cell r="A4630" t="str">
            <v>CIVLA</v>
          </cell>
          <cell r="J4630">
            <v>0</v>
          </cell>
        </row>
        <row r="4631">
          <cell r="A4631" t="str">
            <v>CIVLA</v>
          </cell>
          <cell r="J4631">
            <v>0</v>
          </cell>
        </row>
        <row r="4632">
          <cell r="A4632" t="str">
            <v>CIVLA</v>
          </cell>
          <cell r="J4632">
            <v>0</v>
          </cell>
        </row>
        <row r="4633">
          <cell r="A4633" t="str">
            <v>CIVLA</v>
          </cell>
          <cell r="J4633">
            <v>0</v>
          </cell>
        </row>
        <row r="4634">
          <cell r="A4634" t="str">
            <v>CIVLA</v>
          </cell>
          <cell r="J4634">
            <v>0</v>
          </cell>
        </row>
        <row r="4635">
          <cell r="A4635" t="str">
            <v>CIVLA</v>
          </cell>
          <cell r="J4635">
            <v>0</v>
          </cell>
        </row>
        <row r="4636">
          <cell r="A4636" t="str">
            <v>CIVLA</v>
          </cell>
          <cell r="J4636">
            <v>0</v>
          </cell>
        </row>
        <row r="4637">
          <cell r="A4637" t="str">
            <v>CIVLA</v>
          </cell>
          <cell r="J4637">
            <v>0</v>
          </cell>
        </row>
        <row r="4638">
          <cell r="A4638" t="str">
            <v>CIVLA</v>
          </cell>
          <cell r="J4638">
            <v>0</v>
          </cell>
        </row>
        <row r="4639">
          <cell r="A4639" t="str">
            <v>CIVLA</v>
          </cell>
          <cell r="J4639">
            <v>0</v>
          </cell>
        </row>
        <row r="4640">
          <cell r="A4640" t="str">
            <v>CIVLA</v>
          </cell>
          <cell r="J4640">
            <v>0</v>
          </cell>
        </row>
        <row r="4641">
          <cell r="A4641" t="str">
            <v>CIVLA</v>
          </cell>
          <cell r="J4641">
            <v>0</v>
          </cell>
        </row>
        <row r="4642">
          <cell r="A4642" t="str">
            <v>CIVLA</v>
          </cell>
          <cell r="J4642">
            <v>0</v>
          </cell>
        </row>
        <row r="4643">
          <cell r="A4643" t="str">
            <v>CIVLA</v>
          </cell>
          <cell r="J4643">
            <v>0</v>
          </cell>
        </row>
        <row r="4644">
          <cell r="A4644" t="str">
            <v>CIVLA</v>
          </cell>
          <cell r="J4644">
            <v>0</v>
          </cell>
        </row>
        <row r="4645">
          <cell r="A4645" t="str">
            <v>CIVLA</v>
          </cell>
          <cell r="J4645">
            <v>0</v>
          </cell>
        </row>
        <row r="4646">
          <cell r="A4646" t="str">
            <v>CIVLA</v>
          </cell>
          <cell r="J4646">
            <v>0</v>
          </cell>
        </row>
        <row r="4647">
          <cell r="A4647" t="str">
            <v>CIVLA</v>
          </cell>
          <cell r="J4647">
            <v>0</v>
          </cell>
        </row>
        <row r="4648">
          <cell r="A4648" t="str">
            <v>CIVLA</v>
          </cell>
          <cell r="J4648">
            <v>0</v>
          </cell>
        </row>
        <row r="4649">
          <cell r="A4649" t="str">
            <v>CIVLA</v>
          </cell>
          <cell r="J4649">
            <v>0</v>
          </cell>
        </row>
        <row r="4650">
          <cell r="A4650" t="str">
            <v>CIVLA</v>
          </cell>
          <cell r="J4650">
            <v>0</v>
          </cell>
        </row>
        <row r="4651">
          <cell r="A4651" t="str">
            <v>CIVLA</v>
          </cell>
          <cell r="J4651">
            <v>0</v>
          </cell>
        </row>
        <row r="4652">
          <cell r="A4652" t="str">
            <v>CIVLA</v>
          </cell>
          <cell r="J4652">
            <v>0</v>
          </cell>
        </row>
        <row r="4653">
          <cell r="A4653" t="str">
            <v>CIVLA</v>
          </cell>
          <cell r="J4653">
            <v>0</v>
          </cell>
        </row>
        <row r="4654">
          <cell r="A4654" t="str">
            <v>CIVLA</v>
          </cell>
          <cell r="J4654">
            <v>0</v>
          </cell>
        </row>
        <row r="4655">
          <cell r="A4655" t="str">
            <v>CIVLA</v>
          </cell>
          <cell r="J4655">
            <v>0</v>
          </cell>
        </row>
        <row r="4656">
          <cell r="A4656" t="str">
            <v>CIVLA</v>
          </cell>
          <cell r="J4656">
            <v>0</v>
          </cell>
        </row>
        <row r="4657">
          <cell r="A4657" t="str">
            <v>CIVLA</v>
          </cell>
          <cell r="J4657">
            <v>0</v>
          </cell>
        </row>
        <row r="4658">
          <cell r="A4658" t="str">
            <v>CIVLA</v>
          </cell>
          <cell r="J4658">
            <v>0</v>
          </cell>
        </row>
        <row r="4659">
          <cell r="A4659" t="str">
            <v>CIVLA</v>
          </cell>
          <cell r="J4659">
            <v>0</v>
          </cell>
        </row>
        <row r="4660">
          <cell r="A4660" t="str">
            <v>CIVLA</v>
          </cell>
          <cell r="J4660">
            <v>0</v>
          </cell>
        </row>
        <row r="4661">
          <cell r="A4661" t="str">
            <v>CIVLA</v>
          </cell>
          <cell r="J4661">
            <v>0</v>
          </cell>
        </row>
        <row r="4662">
          <cell r="A4662" t="str">
            <v>CIVLA</v>
          </cell>
          <cell r="J4662">
            <v>0</v>
          </cell>
        </row>
        <row r="4663">
          <cell r="A4663" t="str">
            <v>CIVLA</v>
          </cell>
          <cell r="J4663">
            <v>0</v>
          </cell>
        </row>
        <row r="4664">
          <cell r="A4664" t="str">
            <v>CIVLA</v>
          </cell>
          <cell r="J4664">
            <v>0</v>
          </cell>
        </row>
        <row r="4665">
          <cell r="A4665" t="str">
            <v>CIVLA</v>
          </cell>
          <cell r="J4665">
            <v>0</v>
          </cell>
        </row>
        <row r="4666">
          <cell r="A4666" t="str">
            <v>CIVLA</v>
          </cell>
          <cell r="J4666">
            <v>0</v>
          </cell>
        </row>
        <row r="4667">
          <cell r="A4667" t="str">
            <v>CIVLA</v>
          </cell>
          <cell r="J4667">
            <v>0</v>
          </cell>
        </row>
        <row r="4668">
          <cell r="A4668" t="str">
            <v>CIVLA</v>
          </cell>
          <cell r="J4668">
            <v>0</v>
          </cell>
        </row>
        <row r="4669">
          <cell r="A4669" t="str">
            <v>CIVLA</v>
          </cell>
          <cell r="J4669">
            <v>0</v>
          </cell>
        </row>
        <row r="4670">
          <cell r="A4670" t="str">
            <v>CIVLA</v>
          </cell>
          <cell r="J4670">
            <v>0</v>
          </cell>
        </row>
        <row r="4671">
          <cell r="A4671" t="str">
            <v>CIVLA</v>
          </cell>
          <cell r="J4671">
            <v>0</v>
          </cell>
        </row>
        <row r="4672">
          <cell r="A4672" t="str">
            <v>CIVLA</v>
          </cell>
          <cell r="J4672">
            <v>0</v>
          </cell>
        </row>
        <row r="4673">
          <cell r="A4673" t="str">
            <v>CIVLA</v>
          </cell>
          <cell r="J4673">
            <v>0</v>
          </cell>
        </row>
        <row r="4674">
          <cell r="A4674" t="str">
            <v>CIVLA</v>
          </cell>
          <cell r="J4674">
            <v>0</v>
          </cell>
        </row>
        <row r="4675">
          <cell r="A4675" t="str">
            <v>CIVLA</v>
          </cell>
          <cell r="J4675">
            <v>0</v>
          </cell>
        </row>
        <row r="4676">
          <cell r="A4676" t="str">
            <v>CIVLA</v>
          </cell>
          <cell r="J4676">
            <v>0</v>
          </cell>
        </row>
        <row r="4677">
          <cell r="A4677" t="str">
            <v>CIVLA</v>
          </cell>
          <cell r="J4677">
            <v>0</v>
          </cell>
        </row>
        <row r="4678">
          <cell r="A4678" t="str">
            <v>CIVLA</v>
          </cell>
          <cell r="J4678">
            <v>0</v>
          </cell>
        </row>
        <row r="4679">
          <cell r="A4679" t="str">
            <v>CIVLA</v>
          </cell>
          <cell r="J4679">
            <v>0</v>
          </cell>
        </row>
        <row r="4680">
          <cell r="A4680" t="str">
            <v>CIVLA</v>
          </cell>
          <cell r="J4680">
            <v>0</v>
          </cell>
        </row>
        <row r="4681">
          <cell r="A4681" t="str">
            <v>CIVLA</v>
          </cell>
          <cell r="J4681">
            <v>0</v>
          </cell>
        </row>
        <row r="4682">
          <cell r="A4682" t="str">
            <v>CIVLA</v>
          </cell>
          <cell r="J4682">
            <v>0</v>
          </cell>
        </row>
        <row r="4683">
          <cell r="A4683" t="str">
            <v>CIVLA</v>
          </cell>
          <cell r="J4683">
            <v>0</v>
          </cell>
        </row>
        <row r="4684">
          <cell r="A4684" t="str">
            <v>CIVLA</v>
          </cell>
          <cell r="J4684">
            <v>0</v>
          </cell>
        </row>
        <row r="4685">
          <cell r="A4685" t="str">
            <v>CIVLA</v>
          </cell>
          <cell r="J4685">
            <v>0</v>
          </cell>
        </row>
        <row r="4686">
          <cell r="A4686" t="str">
            <v>CIVLA</v>
          </cell>
          <cell r="J4686">
            <v>0</v>
          </cell>
        </row>
        <row r="4687">
          <cell r="A4687" t="str">
            <v>CIVLA</v>
          </cell>
          <cell r="J4687">
            <v>0</v>
          </cell>
        </row>
        <row r="4688">
          <cell r="A4688" t="str">
            <v>CIVLA</v>
          </cell>
          <cell r="J4688">
            <v>0</v>
          </cell>
        </row>
        <row r="4689">
          <cell r="A4689" t="str">
            <v>CIVLA</v>
          </cell>
          <cell r="J4689">
            <v>0</v>
          </cell>
        </row>
        <row r="4690">
          <cell r="A4690" t="str">
            <v>CIVLA</v>
          </cell>
          <cell r="J4690">
            <v>0</v>
          </cell>
        </row>
        <row r="4691">
          <cell r="A4691" t="str">
            <v>CIVLA</v>
          </cell>
          <cell r="J4691">
            <v>0</v>
          </cell>
        </row>
        <row r="4692">
          <cell r="A4692" t="str">
            <v>CIVLA</v>
          </cell>
          <cell r="J4692">
            <v>0</v>
          </cell>
        </row>
        <row r="4693">
          <cell r="A4693" t="str">
            <v>CIVLA</v>
          </cell>
          <cell r="J4693">
            <v>0</v>
          </cell>
        </row>
        <row r="4694">
          <cell r="A4694" t="str">
            <v>CIVLA</v>
          </cell>
          <cell r="J4694">
            <v>0</v>
          </cell>
        </row>
        <row r="4695">
          <cell r="A4695" t="str">
            <v>CIVLA</v>
          </cell>
          <cell r="J4695">
            <v>0</v>
          </cell>
        </row>
        <row r="4696">
          <cell r="A4696" t="str">
            <v>CIVLA</v>
          </cell>
          <cell r="J4696">
            <v>0</v>
          </cell>
        </row>
        <row r="4697">
          <cell r="A4697" t="str">
            <v>CIVLA</v>
          </cell>
          <cell r="J4697">
            <v>0</v>
          </cell>
        </row>
        <row r="4698">
          <cell r="A4698" t="str">
            <v>CIVLA</v>
          </cell>
          <cell r="J4698">
            <v>0</v>
          </cell>
        </row>
        <row r="4699">
          <cell r="A4699" t="str">
            <v>CIVLA</v>
          </cell>
          <cell r="J4699">
            <v>0</v>
          </cell>
        </row>
        <row r="4700">
          <cell r="A4700" t="str">
            <v>CIVLA</v>
          </cell>
          <cell r="J4700">
            <v>0</v>
          </cell>
        </row>
        <row r="4701">
          <cell r="A4701" t="str">
            <v>CIVLA</v>
          </cell>
          <cell r="J4701">
            <v>0</v>
          </cell>
        </row>
        <row r="4702">
          <cell r="A4702" t="str">
            <v>CIVLA</v>
          </cell>
          <cell r="J4702">
            <v>0</v>
          </cell>
        </row>
        <row r="4703">
          <cell r="A4703" t="str">
            <v>CIVLA</v>
          </cell>
          <cell r="J4703">
            <v>0</v>
          </cell>
        </row>
        <row r="4704">
          <cell r="A4704" t="str">
            <v>CIVLA</v>
          </cell>
          <cell r="J4704">
            <v>0</v>
          </cell>
        </row>
        <row r="4705">
          <cell r="A4705" t="str">
            <v>CIVLA</v>
          </cell>
          <cell r="J4705">
            <v>0</v>
          </cell>
        </row>
        <row r="4706">
          <cell r="A4706" t="str">
            <v>CIVLA</v>
          </cell>
          <cell r="J4706">
            <v>0</v>
          </cell>
        </row>
        <row r="4707">
          <cell r="A4707" t="str">
            <v>CIVLA</v>
          </cell>
          <cell r="J4707">
            <v>0</v>
          </cell>
        </row>
        <row r="4708">
          <cell r="A4708" t="str">
            <v>CIVLA</v>
          </cell>
          <cell r="J4708">
            <v>0</v>
          </cell>
        </row>
        <row r="4709">
          <cell r="A4709" t="str">
            <v>CIVLA</v>
          </cell>
          <cell r="J4709">
            <v>0</v>
          </cell>
        </row>
        <row r="4710">
          <cell r="A4710" t="str">
            <v>CIVLA</v>
          </cell>
          <cell r="J4710">
            <v>0</v>
          </cell>
        </row>
        <row r="4711">
          <cell r="A4711" t="str">
            <v>CIVLA</v>
          </cell>
          <cell r="J4711">
            <v>0</v>
          </cell>
        </row>
        <row r="4712">
          <cell r="A4712" t="str">
            <v>CIVLA</v>
          </cell>
          <cell r="J4712">
            <v>0</v>
          </cell>
        </row>
        <row r="4713">
          <cell r="A4713" t="str">
            <v>CIVLA</v>
          </cell>
          <cell r="J4713">
            <v>0</v>
          </cell>
        </row>
        <row r="4714">
          <cell r="A4714" t="str">
            <v>CIVLA</v>
          </cell>
          <cell r="J4714">
            <v>0</v>
          </cell>
        </row>
        <row r="4715">
          <cell r="A4715" t="str">
            <v>CIVLA</v>
          </cell>
          <cell r="J4715">
            <v>0</v>
          </cell>
        </row>
        <row r="4716">
          <cell r="A4716" t="str">
            <v>CIVLA</v>
          </cell>
          <cell r="J4716">
            <v>0</v>
          </cell>
        </row>
        <row r="4717">
          <cell r="A4717" t="str">
            <v>CIVLA</v>
          </cell>
          <cell r="J4717">
            <v>0</v>
          </cell>
        </row>
        <row r="4718">
          <cell r="A4718" t="str">
            <v>CIVLA</v>
          </cell>
          <cell r="J4718">
            <v>0</v>
          </cell>
        </row>
        <row r="4719">
          <cell r="A4719" t="str">
            <v>CIVLA</v>
          </cell>
          <cell r="J4719">
            <v>0</v>
          </cell>
        </row>
        <row r="4720">
          <cell r="A4720" t="str">
            <v>CIVLA</v>
          </cell>
          <cell r="J4720">
            <v>0</v>
          </cell>
        </row>
        <row r="4721">
          <cell r="A4721" t="str">
            <v>CIVLA</v>
          </cell>
          <cell r="J4721">
            <v>0</v>
          </cell>
        </row>
        <row r="4722">
          <cell r="A4722" t="str">
            <v>CIVLA</v>
          </cell>
          <cell r="J4722">
            <v>0</v>
          </cell>
        </row>
        <row r="4723">
          <cell r="A4723" t="str">
            <v>CIVLA</v>
          </cell>
          <cell r="J4723">
            <v>0</v>
          </cell>
        </row>
        <row r="4724">
          <cell r="A4724" t="str">
            <v>CIVLA</v>
          </cell>
          <cell r="J4724">
            <v>0</v>
          </cell>
        </row>
        <row r="4725">
          <cell r="A4725" t="str">
            <v>CIVLA</v>
          </cell>
          <cell r="J4725">
            <v>0</v>
          </cell>
        </row>
        <row r="4726">
          <cell r="A4726" t="str">
            <v>CIVLA</v>
          </cell>
          <cell r="J4726">
            <v>0</v>
          </cell>
        </row>
        <row r="4727">
          <cell r="A4727" t="str">
            <v>CIVLA</v>
          </cell>
          <cell r="J4727">
            <v>0</v>
          </cell>
        </row>
        <row r="4728">
          <cell r="A4728" t="str">
            <v>CIVLA</v>
          </cell>
          <cell r="J4728">
            <v>0</v>
          </cell>
        </row>
        <row r="4729">
          <cell r="A4729" t="str">
            <v>CIVLA</v>
          </cell>
          <cell r="J4729">
            <v>0</v>
          </cell>
        </row>
        <row r="4730">
          <cell r="A4730" t="str">
            <v>CIVLA</v>
          </cell>
          <cell r="J4730">
            <v>0</v>
          </cell>
        </row>
        <row r="4731">
          <cell r="A4731" t="str">
            <v>CIVLA</v>
          </cell>
          <cell r="J4731">
            <v>0</v>
          </cell>
        </row>
        <row r="4732">
          <cell r="A4732" t="str">
            <v>CIVLA</v>
          </cell>
          <cell r="J4732">
            <v>0</v>
          </cell>
        </row>
        <row r="4733">
          <cell r="A4733" t="str">
            <v>CIVLA</v>
          </cell>
          <cell r="J4733">
            <v>0</v>
          </cell>
        </row>
        <row r="4734">
          <cell r="A4734" t="str">
            <v>CIVLA</v>
          </cell>
          <cell r="J4734">
            <v>0</v>
          </cell>
        </row>
        <row r="4735">
          <cell r="A4735" t="str">
            <v>CIVLA</v>
          </cell>
          <cell r="J4735">
            <v>0</v>
          </cell>
        </row>
        <row r="4736">
          <cell r="A4736" t="str">
            <v>CIVLA</v>
          </cell>
          <cell r="J4736">
            <v>0</v>
          </cell>
        </row>
        <row r="4737">
          <cell r="A4737" t="str">
            <v>CIVLA</v>
          </cell>
          <cell r="J4737">
            <v>0</v>
          </cell>
        </row>
        <row r="4738">
          <cell r="A4738" t="str">
            <v>CIVLA</v>
          </cell>
          <cell r="J4738">
            <v>0</v>
          </cell>
        </row>
        <row r="4739">
          <cell r="A4739" t="str">
            <v>CIVLA</v>
          </cell>
          <cell r="J4739">
            <v>0</v>
          </cell>
        </row>
        <row r="4740">
          <cell r="A4740" t="str">
            <v>CIVLA</v>
          </cell>
          <cell r="J4740">
            <v>0</v>
          </cell>
        </row>
        <row r="4741">
          <cell r="A4741" t="str">
            <v>CIVLA</v>
          </cell>
          <cell r="J4741">
            <v>0</v>
          </cell>
        </row>
        <row r="4742">
          <cell r="A4742" t="str">
            <v>CIVLA</v>
          </cell>
          <cell r="J4742">
            <v>0</v>
          </cell>
        </row>
        <row r="4743">
          <cell r="A4743" t="str">
            <v>CIVLA</v>
          </cell>
          <cell r="J4743">
            <v>0</v>
          </cell>
        </row>
        <row r="4744">
          <cell r="A4744" t="str">
            <v>CIVLA</v>
          </cell>
          <cell r="J4744">
            <v>0</v>
          </cell>
        </row>
        <row r="4745">
          <cell r="A4745" t="str">
            <v>CIVLA</v>
          </cell>
          <cell r="J4745">
            <v>0</v>
          </cell>
        </row>
        <row r="4746">
          <cell r="A4746" t="str">
            <v>CIVLA</v>
          </cell>
          <cell r="J4746">
            <v>0</v>
          </cell>
        </row>
        <row r="4747">
          <cell r="A4747" t="str">
            <v>CIVLA</v>
          </cell>
          <cell r="J4747">
            <v>0</v>
          </cell>
        </row>
        <row r="4748">
          <cell r="A4748" t="str">
            <v>CIVLA</v>
          </cell>
          <cell r="J4748">
            <v>0</v>
          </cell>
        </row>
        <row r="4749">
          <cell r="A4749" t="str">
            <v>CIVLA</v>
          </cell>
          <cell r="J4749">
            <v>0</v>
          </cell>
        </row>
        <row r="4750">
          <cell r="A4750" t="str">
            <v>CIVLA</v>
          </cell>
          <cell r="J4750">
            <v>0</v>
          </cell>
        </row>
        <row r="4751">
          <cell r="A4751" t="str">
            <v>CIVLA</v>
          </cell>
          <cell r="J4751">
            <v>0</v>
          </cell>
        </row>
        <row r="4752">
          <cell r="A4752" t="str">
            <v>CIVLA</v>
          </cell>
          <cell r="J4752">
            <v>0</v>
          </cell>
        </row>
        <row r="4753">
          <cell r="A4753" t="str">
            <v>CIVLA</v>
          </cell>
          <cell r="J4753">
            <v>0</v>
          </cell>
        </row>
        <row r="4754">
          <cell r="A4754" t="str">
            <v>CIVLA</v>
          </cell>
          <cell r="J4754">
            <v>0</v>
          </cell>
        </row>
        <row r="4755">
          <cell r="A4755" t="str">
            <v>CIVLA</v>
          </cell>
          <cell r="J4755">
            <v>0</v>
          </cell>
        </row>
        <row r="4756">
          <cell r="A4756" t="str">
            <v>CIVLA</v>
          </cell>
          <cell r="J4756">
            <v>0</v>
          </cell>
        </row>
        <row r="4757">
          <cell r="A4757" t="str">
            <v>CIVLA</v>
          </cell>
          <cell r="J4757">
            <v>0</v>
          </cell>
        </row>
        <row r="4758">
          <cell r="A4758" t="str">
            <v>CIVLA</v>
          </cell>
          <cell r="J4758">
            <v>0</v>
          </cell>
        </row>
        <row r="4759">
          <cell r="A4759" t="str">
            <v>CIVLA</v>
          </cell>
          <cell r="J4759">
            <v>0</v>
          </cell>
        </row>
        <row r="4760">
          <cell r="A4760" t="str">
            <v>CIVLA</v>
          </cell>
          <cell r="J4760">
            <v>0</v>
          </cell>
        </row>
        <row r="4761">
          <cell r="A4761" t="str">
            <v>CIVLA</v>
          </cell>
          <cell r="J4761">
            <v>0</v>
          </cell>
        </row>
        <row r="4762">
          <cell r="A4762" t="str">
            <v>CIVLA</v>
          </cell>
          <cell r="J4762">
            <v>0</v>
          </cell>
        </row>
        <row r="4763">
          <cell r="A4763" t="str">
            <v>CIVLA</v>
          </cell>
          <cell r="J4763">
            <v>0</v>
          </cell>
        </row>
        <row r="4764">
          <cell r="A4764" t="str">
            <v>CIVLA</v>
          </cell>
          <cell r="J4764">
            <v>0</v>
          </cell>
        </row>
        <row r="4765">
          <cell r="A4765" t="str">
            <v>CIVLA</v>
          </cell>
          <cell r="J4765">
            <v>0</v>
          </cell>
        </row>
        <row r="4766">
          <cell r="A4766" t="str">
            <v>CIVLA</v>
          </cell>
          <cell r="J4766">
            <v>0</v>
          </cell>
        </row>
        <row r="4767">
          <cell r="A4767" t="str">
            <v>CIVLA</v>
          </cell>
          <cell r="J4767">
            <v>0</v>
          </cell>
        </row>
        <row r="4768">
          <cell r="A4768" t="str">
            <v>CIVLA</v>
          </cell>
          <cell r="J4768">
            <v>0</v>
          </cell>
        </row>
        <row r="4769">
          <cell r="A4769" t="str">
            <v>CIVLA</v>
          </cell>
          <cell r="J4769">
            <v>0</v>
          </cell>
        </row>
        <row r="4770">
          <cell r="A4770" t="str">
            <v>CIVLA</v>
          </cell>
          <cell r="J4770">
            <v>0</v>
          </cell>
        </row>
        <row r="4771">
          <cell r="A4771" t="str">
            <v>CIVLA</v>
          </cell>
          <cell r="J4771">
            <v>0</v>
          </cell>
        </row>
        <row r="4772">
          <cell r="A4772" t="str">
            <v>CIVLA</v>
          </cell>
          <cell r="J4772">
            <v>0</v>
          </cell>
        </row>
        <row r="4773">
          <cell r="A4773" t="str">
            <v>CIVLA</v>
          </cell>
          <cell r="J4773">
            <v>0</v>
          </cell>
        </row>
        <row r="4774">
          <cell r="A4774" t="str">
            <v>CIVLA</v>
          </cell>
          <cell r="J4774">
            <v>0</v>
          </cell>
        </row>
        <row r="4775">
          <cell r="A4775" t="str">
            <v>CIVLA</v>
          </cell>
          <cell r="J4775">
            <v>0</v>
          </cell>
        </row>
        <row r="4776">
          <cell r="A4776" t="str">
            <v>CIVLA</v>
          </cell>
          <cell r="J4776">
            <v>0</v>
          </cell>
        </row>
        <row r="4777">
          <cell r="A4777" t="str">
            <v>CIVLA</v>
          </cell>
          <cell r="J4777">
            <v>0</v>
          </cell>
        </row>
        <row r="4778">
          <cell r="A4778" t="str">
            <v>CIVLA</v>
          </cell>
          <cell r="J4778">
            <v>0</v>
          </cell>
        </row>
        <row r="4779">
          <cell r="A4779" t="str">
            <v>CIVLA</v>
          </cell>
          <cell r="J4779">
            <v>0</v>
          </cell>
        </row>
        <row r="4780">
          <cell r="A4780" t="str">
            <v>CIVLA</v>
          </cell>
          <cell r="J4780">
            <v>0</v>
          </cell>
        </row>
        <row r="4781">
          <cell r="A4781" t="str">
            <v>CIVLA</v>
          </cell>
          <cell r="J4781">
            <v>0</v>
          </cell>
        </row>
        <row r="4782">
          <cell r="A4782" t="str">
            <v>CIVLA</v>
          </cell>
          <cell r="J4782">
            <v>0</v>
          </cell>
        </row>
        <row r="4783">
          <cell r="A4783" t="str">
            <v>CIVLA</v>
          </cell>
          <cell r="J4783">
            <v>0</v>
          </cell>
        </row>
        <row r="4784">
          <cell r="A4784" t="str">
            <v>CIVLA</v>
          </cell>
          <cell r="J4784">
            <v>0</v>
          </cell>
        </row>
        <row r="4785">
          <cell r="A4785" t="str">
            <v>CIVLA</v>
          </cell>
          <cell r="J4785">
            <v>0</v>
          </cell>
        </row>
        <row r="4786">
          <cell r="A4786" t="str">
            <v>CIVLA</v>
          </cell>
          <cell r="J4786">
            <v>0</v>
          </cell>
        </row>
        <row r="4787">
          <cell r="A4787" t="str">
            <v>CIVLA</v>
          </cell>
          <cell r="J4787">
            <v>0</v>
          </cell>
        </row>
        <row r="4788">
          <cell r="A4788" t="str">
            <v>CIVLA</v>
          </cell>
          <cell r="J4788">
            <v>0</v>
          </cell>
        </row>
        <row r="4789">
          <cell r="A4789" t="str">
            <v>CIVLA</v>
          </cell>
          <cell r="J4789">
            <v>0</v>
          </cell>
        </row>
        <row r="4790">
          <cell r="A4790" t="str">
            <v>CIVLA</v>
          </cell>
          <cell r="J4790">
            <v>0</v>
          </cell>
        </row>
        <row r="4791">
          <cell r="A4791" t="str">
            <v>CIVLA</v>
          </cell>
          <cell r="J4791">
            <v>0</v>
          </cell>
        </row>
        <row r="4792">
          <cell r="A4792" t="str">
            <v>CIVLA</v>
          </cell>
          <cell r="J4792">
            <v>0</v>
          </cell>
        </row>
        <row r="4793">
          <cell r="A4793" t="str">
            <v>CIVLA</v>
          </cell>
          <cell r="J4793">
            <v>0</v>
          </cell>
        </row>
        <row r="4794">
          <cell r="A4794" t="str">
            <v>CIVLA</v>
          </cell>
          <cell r="J4794">
            <v>0</v>
          </cell>
        </row>
        <row r="4795">
          <cell r="A4795" t="str">
            <v>CIVLA</v>
          </cell>
          <cell r="J4795">
            <v>0</v>
          </cell>
        </row>
        <row r="4796">
          <cell r="A4796" t="str">
            <v>CIVLA</v>
          </cell>
          <cell r="J4796">
            <v>0</v>
          </cell>
        </row>
        <row r="4797">
          <cell r="A4797" t="str">
            <v>CIVLA</v>
          </cell>
          <cell r="J4797">
            <v>0</v>
          </cell>
        </row>
        <row r="4798">
          <cell r="A4798" t="str">
            <v>CIVLA</v>
          </cell>
          <cell r="J4798">
            <v>0</v>
          </cell>
        </row>
        <row r="4799">
          <cell r="A4799" t="str">
            <v>CIVLA</v>
          </cell>
          <cell r="J4799">
            <v>0</v>
          </cell>
        </row>
        <row r="4800">
          <cell r="A4800" t="str">
            <v>CIVLA</v>
          </cell>
          <cell r="J4800">
            <v>0</v>
          </cell>
        </row>
        <row r="4801">
          <cell r="A4801" t="str">
            <v>CIVLA</v>
          </cell>
          <cell r="J4801">
            <v>0</v>
          </cell>
        </row>
        <row r="4802">
          <cell r="A4802" t="str">
            <v>CIVLA</v>
          </cell>
          <cell r="J4802">
            <v>0</v>
          </cell>
        </row>
        <row r="4803">
          <cell r="A4803" t="str">
            <v>CIVLA</v>
          </cell>
          <cell r="J4803">
            <v>0</v>
          </cell>
        </row>
        <row r="4804">
          <cell r="A4804" t="str">
            <v>CIVLA</v>
          </cell>
          <cell r="J4804">
            <v>0</v>
          </cell>
        </row>
        <row r="4805">
          <cell r="A4805" t="str">
            <v>CIVLA</v>
          </cell>
          <cell r="J4805">
            <v>0</v>
          </cell>
        </row>
        <row r="4806">
          <cell r="A4806" t="str">
            <v>CIVLA</v>
          </cell>
          <cell r="J4806">
            <v>0</v>
          </cell>
        </row>
        <row r="4807">
          <cell r="A4807" t="str">
            <v>CIVLA</v>
          </cell>
          <cell r="J4807">
            <v>0</v>
          </cell>
        </row>
        <row r="4808">
          <cell r="A4808" t="str">
            <v>CIVLA</v>
          </cell>
          <cell r="J4808">
            <v>0</v>
          </cell>
        </row>
        <row r="4809">
          <cell r="A4809" t="str">
            <v>CIVLA</v>
          </cell>
          <cell r="J4809">
            <v>0</v>
          </cell>
        </row>
        <row r="4810">
          <cell r="A4810" t="str">
            <v>CIVLA</v>
          </cell>
          <cell r="J4810">
            <v>0</v>
          </cell>
        </row>
        <row r="4811">
          <cell r="A4811" t="str">
            <v>CIVLA</v>
          </cell>
          <cell r="J4811">
            <v>0</v>
          </cell>
        </row>
        <row r="4812">
          <cell r="A4812" t="str">
            <v>CIVLA</v>
          </cell>
          <cell r="J4812">
            <v>0</v>
          </cell>
        </row>
        <row r="4813">
          <cell r="A4813" t="str">
            <v>CIVLA</v>
          </cell>
          <cell r="J4813">
            <v>0</v>
          </cell>
        </row>
        <row r="4814">
          <cell r="A4814" t="str">
            <v>CIVLA</v>
          </cell>
          <cell r="J4814">
            <v>0</v>
          </cell>
        </row>
        <row r="4815">
          <cell r="A4815" t="str">
            <v>CIVLA</v>
          </cell>
          <cell r="J4815">
            <v>0</v>
          </cell>
        </row>
        <row r="4816">
          <cell r="A4816" t="str">
            <v>CIVLA</v>
          </cell>
          <cell r="J4816">
            <v>0</v>
          </cell>
        </row>
        <row r="4817">
          <cell r="A4817" t="str">
            <v>CIVLA</v>
          </cell>
          <cell r="J4817">
            <v>0</v>
          </cell>
        </row>
        <row r="4818">
          <cell r="A4818" t="str">
            <v>CIVLA</v>
          </cell>
          <cell r="J4818">
            <v>0</v>
          </cell>
        </row>
        <row r="4819">
          <cell r="A4819" t="str">
            <v>CIVLA</v>
          </cell>
          <cell r="J4819">
            <v>0</v>
          </cell>
        </row>
        <row r="4820">
          <cell r="A4820" t="str">
            <v>CIVLA</v>
          </cell>
          <cell r="J4820">
            <v>0</v>
          </cell>
        </row>
        <row r="4821">
          <cell r="A4821" t="str">
            <v>CIVLA</v>
          </cell>
          <cell r="J4821">
            <v>0</v>
          </cell>
        </row>
        <row r="4822">
          <cell r="A4822" t="str">
            <v>CIVLA</v>
          </cell>
          <cell r="J4822">
            <v>0</v>
          </cell>
        </row>
        <row r="4823">
          <cell r="A4823" t="str">
            <v>CIVLA</v>
          </cell>
          <cell r="J4823">
            <v>0</v>
          </cell>
        </row>
        <row r="4824">
          <cell r="A4824" t="str">
            <v>CIVLA</v>
          </cell>
          <cell r="J4824">
            <v>0</v>
          </cell>
        </row>
        <row r="4825">
          <cell r="A4825" t="str">
            <v>CIVLA</v>
          </cell>
          <cell r="J4825">
            <v>0</v>
          </cell>
        </row>
        <row r="4826">
          <cell r="A4826" t="str">
            <v>CIVLA</v>
          </cell>
          <cell r="J4826">
            <v>0</v>
          </cell>
        </row>
        <row r="4827">
          <cell r="A4827" t="str">
            <v>CIVLA</v>
          </cell>
          <cell r="J4827">
            <v>0</v>
          </cell>
        </row>
        <row r="4828">
          <cell r="A4828" t="str">
            <v>CIVLA</v>
          </cell>
          <cell r="J4828">
            <v>0</v>
          </cell>
        </row>
        <row r="4829">
          <cell r="A4829" t="str">
            <v>CIVLA</v>
          </cell>
          <cell r="J4829">
            <v>0</v>
          </cell>
        </row>
        <row r="4830">
          <cell r="A4830" t="str">
            <v>CIVLA</v>
          </cell>
          <cell r="J4830">
            <v>0</v>
          </cell>
        </row>
        <row r="4831">
          <cell r="A4831" t="str">
            <v>CIVLA</v>
          </cell>
          <cell r="J4831">
            <v>0</v>
          </cell>
        </row>
        <row r="4832">
          <cell r="A4832" t="str">
            <v>CIVLA</v>
          </cell>
          <cell r="J4832">
            <v>0</v>
          </cell>
        </row>
        <row r="4833">
          <cell r="A4833" t="str">
            <v>CIVLA</v>
          </cell>
          <cell r="J4833">
            <v>0</v>
          </cell>
        </row>
        <row r="4834">
          <cell r="A4834" t="str">
            <v>CIVLA</v>
          </cell>
          <cell r="J4834">
            <v>0</v>
          </cell>
        </row>
        <row r="4835">
          <cell r="A4835" t="str">
            <v>CIVLA</v>
          </cell>
          <cell r="J4835">
            <v>0</v>
          </cell>
        </row>
        <row r="4836">
          <cell r="A4836" t="str">
            <v>CIVLA</v>
          </cell>
          <cell r="J4836">
            <v>0</v>
          </cell>
        </row>
        <row r="4837">
          <cell r="A4837" t="str">
            <v>CIVLA</v>
          </cell>
          <cell r="J4837">
            <v>0</v>
          </cell>
        </row>
        <row r="4838">
          <cell r="A4838" t="str">
            <v>CIVLA</v>
          </cell>
          <cell r="J4838">
            <v>0</v>
          </cell>
        </row>
        <row r="4839">
          <cell r="A4839" t="str">
            <v>CIVLA</v>
          </cell>
          <cell r="J4839">
            <v>0</v>
          </cell>
        </row>
        <row r="4840">
          <cell r="A4840" t="str">
            <v>CIVLA</v>
          </cell>
          <cell r="J4840">
            <v>0</v>
          </cell>
        </row>
        <row r="4841">
          <cell r="A4841" t="str">
            <v>CIVLA</v>
          </cell>
          <cell r="J4841">
            <v>0</v>
          </cell>
        </row>
        <row r="4842">
          <cell r="A4842" t="str">
            <v>CIVLA</v>
          </cell>
          <cell r="J4842">
            <v>0</v>
          </cell>
        </row>
        <row r="4843">
          <cell r="A4843" t="str">
            <v>CIVLA</v>
          </cell>
          <cell r="J4843">
            <v>0</v>
          </cell>
        </row>
        <row r="4844">
          <cell r="A4844" t="str">
            <v>CIVLA</v>
          </cell>
          <cell r="J4844">
            <v>0</v>
          </cell>
        </row>
        <row r="4845">
          <cell r="A4845" t="str">
            <v>CIVLA</v>
          </cell>
          <cell r="J4845">
            <v>0</v>
          </cell>
        </row>
        <row r="4846">
          <cell r="A4846" t="str">
            <v>CIVLA</v>
          </cell>
          <cell r="J4846">
            <v>0</v>
          </cell>
        </row>
        <row r="4847">
          <cell r="A4847" t="str">
            <v>CIVLA</v>
          </cell>
          <cell r="J4847">
            <v>0</v>
          </cell>
        </row>
        <row r="4848">
          <cell r="A4848" t="str">
            <v>CIVLA</v>
          </cell>
          <cell r="J4848">
            <v>0</v>
          </cell>
        </row>
        <row r="4849">
          <cell r="A4849" t="str">
            <v>CIVLA</v>
          </cell>
          <cell r="J4849">
            <v>0</v>
          </cell>
        </row>
        <row r="4850">
          <cell r="A4850" t="str">
            <v>CIVLA</v>
          </cell>
          <cell r="J4850">
            <v>0</v>
          </cell>
        </row>
        <row r="4851">
          <cell r="A4851" t="str">
            <v>CIVLA</v>
          </cell>
          <cell r="J4851">
            <v>0</v>
          </cell>
        </row>
        <row r="4852">
          <cell r="A4852" t="str">
            <v>CIVLA</v>
          </cell>
          <cell r="J4852">
            <v>0</v>
          </cell>
        </row>
        <row r="4853">
          <cell r="A4853" t="str">
            <v>CIVLA</v>
          </cell>
          <cell r="J4853">
            <v>0</v>
          </cell>
        </row>
        <row r="4854">
          <cell r="A4854" t="str">
            <v>CIVLA</v>
          </cell>
          <cell r="J4854">
            <v>0</v>
          </cell>
        </row>
        <row r="4855">
          <cell r="A4855" t="str">
            <v>CIVLA</v>
          </cell>
          <cell r="J4855">
            <v>0</v>
          </cell>
        </row>
        <row r="4856">
          <cell r="A4856" t="str">
            <v>CIVLA</v>
          </cell>
          <cell r="J4856">
            <v>0</v>
          </cell>
        </row>
        <row r="4857">
          <cell r="A4857" t="str">
            <v>CIVLA</v>
          </cell>
          <cell r="J4857">
            <v>0</v>
          </cell>
        </row>
        <row r="4858">
          <cell r="A4858" t="str">
            <v>CIVLA</v>
          </cell>
          <cell r="J4858">
            <v>0</v>
          </cell>
        </row>
        <row r="4859">
          <cell r="A4859" t="str">
            <v>CIVLA</v>
          </cell>
          <cell r="J4859">
            <v>0</v>
          </cell>
        </row>
        <row r="4860">
          <cell r="A4860" t="str">
            <v>CIVLA</v>
          </cell>
          <cell r="J4860">
            <v>0</v>
          </cell>
        </row>
        <row r="4861">
          <cell r="A4861" t="str">
            <v>CIVLA</v>
          </cell>
          <cell r="J4861">
            <v>0</v>
          </cell>
        </row>
        <row r="4862">
          <cell r="A4862" t="str">
            <v>CIVLA</v>
          </cell>
          <cell r="J4862">
            <v>0</v>
          </cell>
        </row>
        <row r="4863">
          <cell r="A4863" t="str">
            <v>CIVLA</v>
          </cell>
          <cell r="J4863">
            <v>0</v>
          </cell>
        </row>
        <row r="4864">
          <cell r="A4864" t="str">
            <v>CIVLA</v>
          </cell>
          <cell r="J4864">
            <v>0</v>
          </cell>
        </row>
        <row r="4865">
          <cell r="A4865" t="str">
            <v>CIVLA</v>
          </cell>
          <cell r="J4865">
            <v>0</v>
          </cell>
        </row>
        <row r="4866">
          <cell r="A4866" t="str">
            <v>CIVLA</v>
          </cell>
          <cell r="J4866">
            <v>0</v>
          </cell>
        </row>
        <row r="4867">
          <cell r="A4867" t="str">
            <v>CIVLA</v>
          </cell>
          <cell r="J4867">
            <v>0</v>
          </cell>
        </row>
        <row r="4868">
          <cell r="A4868" t="str">
            <v>CIVLA</v>
          </cell>
          <cell r="J4868">
            <v>0</v>
          </cell>
        </row>
        <row r="4869">
          <cell r="A4869" t="str">
            <v>CIVLA</v>
          </cell>
          <cell r="J4869">
            <v>0</v>
          </cell>
        </row>
        <row r="4870">
          <cell r="A4870" t="str">
            <v>CIVLA</v>
          </cell>
          <cell r="J4870">
            <v>0</v>
          </cell>
        </row>
        <row r="4871">
          <cell r="A4871" t="str">
            <v>CIVLA</v>
          </cell>
          <cell r="J4871">
            <v>0</v>
          </cell>
        </row>
        <row r="4872">
          <cell r="A4872" t="str">
            <v>CIVLA</v>
          </cell>
          <cell r="J4872">
            <v>0</v>
          </cell>
        </row>
        <row r="4873">
          <cell r="A4873" t="str">
            <v>CIVLA</v>
          </cell>
          <cell r="J4873">
            <v>0</v>
          </cell>
        </row>
        <row r="4874">
          <cell r="A4874" t="str">
            <v>CIVLA</v>
          </cell>
          <cell r="J4874">
            <v>0</v>
          </cell>
        </row>
        <row r="4875">
          <cell r="A4875" t="str">
            <v>CIVLA</v>
          </cell>
          <cell r="J4875">
            <v>0</v>
          </cell>
        </row>
        <row r="4876">
          <cell r="A4876" t="str">
            <v>CIVLA</v>
          </cell>
          <cell r="J4876">
            <v>0</v>
          </cell>
        </row>
        <row r="4877">
          <cell r="A4877" t="str">
            <v>CIVLA</v>
          </cell>
          <cell r="J4877">
            <v>0</v>
          </cell>
        </row>
        <row r="4878">
          <cell r="A4878" t="str">
            <v>CIVLA</v>
          </cell>
          <cell r="J4878">
            <v>0</v>
          </cell>
        </row>
        <row r="4879">
          <cell r="A4879" t="str">
            <v>CIVLA</v>
          </cell>
          <cell r="J4879">
            <v>0</v>
          </cell>
        </row>
        <row r="4880">
          <cell r="A4880" t="str">
            <v>CIVLA</v>
          </cell>
          <cell r="J4880">
            <v>0</v>
          </cell>
        </row>
        <row r="4881">
          <cell r="A4881" t="str">
            <v>CIVLA</v>
          </cell>
          <cell r="J4881">
            <v>0</v>
          </cell>
        </row>
        <row r="4882">
          <cell r="A4882" t="str">
            <v>CIVLA</v>
          </cell>
          <cell r="J4882">
            <v>0</v>
          </cell>
        </row>
        <row r="4883">
          <cell r="A4883" t="str">
            <v>CIVLA</v>
          </cell>
          <cell r="J4883">
            <v>0</v>
          </cell>
        </row>
        <row r="4884">
          <cell r="A4884" t="str">
            <v>CIVLA</v>
          </cell>
          <cell r="J4884">
            <v>0</v>
          </cell>
        </row>
        <row r="4885">
          <cell r="A4885" t="str">
            <v>CIVLA</v>
          </cell>
          <cell r="J4885">
            <v>0</v>
          </cell>
        </row>
        <row r="4886">
          <cell r="A4886" t="str">
            <v>CIVLA</v>
          </cell>
          <cell r="J4886">
            <v>0</v>
          </cell>
        </row>
        <row r="4887">
          <cell r="A4887" t="str">
            <v>CIVLA</v>
          </cell>
          <cell r="J4887">
            <v>0</v>
          </cell>
        </row>
        <row r="4888">
          <cell r="A4888" t="str">
            <v>CIVLA</v>
          </cell>
          <cell r="J4888">
            <v>0</v>
          </cell>
        </row>
        <row r="4889">
          <cell r="A4889" t="str">
            <v>CIVLA</v>
          </cell>
          <cell r="J4889">
            <v>0</v>
          </cell>
        </row>
        <row r="4890">
          <cell r="A4890" t="str">
            <v>CIVLA</v>
          </cell>
          <cell r="J4890">
            <v>0</v>
          </cell>
        </row>
        <row r="4891">
          <cell r="A4891" t="str">
            <v>CIVLA</v>
          </cell>
          <cell r="J4891">
            <v>0</v>
          </cell>
        </row>
        <row r="4892">
          <cell r="A4892" t="str">
            <v>CIVLA</v>
          </cell>
          <cell r="J4892">
            <v>0</v>
          </cell>
        </row>
        <row r="4893">
          <cell r="A4893" t="str">
            <v>CIVLA</v>
          </cell>
          <cell r="J4893">
            <v>0</v>
          </cell>
        </row>
        <row r="4894">
          <cell r="A4894" t="str">
            <v>CIVLA</v>
          </cell>
          <cell r="J4894">
            <v>0</v>
          </cell>
        </row>
        <row r="4895">
          <cell r="A4895" t="str">
            <v>CIVLA</v>
          </cell>
          <cell r="J4895">
            <v>0</v>
          </cell>
        </row>
        <row r="4896">
          <cell r="A4896" t="str">
            <v>CIVLA</v>
          </cell>
          <cell r="J4896">
            <v>0</v>
          </cell>
        </row>
        <row r="4897">
          <cell r="A4897" t="str">
            <v>CIVLA</v>
          </cell>
          <cell r="J4897">
            <v>0</v>
          </cell>
        </row>
        <row r="4898">
          <cell r="A4898" t="str">
            <v>CIVLA</v>
          </cell>
          <cell r="J4898">
            <v>0</v>
          </cell>
        </row>
        <row r="4899">
          <cell r="A4899" t="str">
            <v>CIVLA</v>
          </cell>
          <cell r="J4899">
            <v>0</v>
          </cell>
        </row>
        <row r="4900">
          <cell r="A4900" t="str">
            <v>CIVLA</v>
          </cell>
          <cell r="J4900">
            <v>0</v>
          </cell>
        </row>
        <row r="4901">
          <cell r="A4901" t="str">
            <v>CIVLA</v>
          </cell>
          <cell r="J4901">
            <v>0</v>
          </cell>
        </row>
        <row r="4902">
          <cell r="A4902" t="str">
            <v>CIVLA</v>
          </cell>
          <cell r="J4902">
            <v>0</v>
          </cell>
        </row>
        <row r="4903">
          <cell r="A4903" t="str">
            <v>CIVLA</v>
          </cell>
          <cell r="J4903">
            <v>0</v>
          </cell>
        </row>
        <row r="4904">
          <cell r="A4904" t="str">
            <v>CIVLA</v>
          </cell>
          <cell r="J4904">
            <v>0</v>
          </cell>
        </row>
        <row r="4905">
          <cell r="A4905" t="str">
            <v>CIVLA</v>
          </cell>
          <cell r="J4905">
            <v>0</v>
          </cell>
        </row>
        <row r="4906">
          <cell r="A4906" t="str">
            <v>CIVLA</v>
          </cell>
          <cell r="J4906">
            <v>0</v>
          </cell>
        </row>
        <row r="4907">
          <cell r="A4907" t="str">
            <v>CIVLA</v>
          </cell>
          <cell r="J4907">
            <v>0</v>
          </cell>
        </row>
        <row r="4908">
          <cell r="A4908" t="str">
            <v>CIVLA</v>
          </cell>
          <cell r="J4908">
            <v>0</v>
          </cell>
        </row>
        <row r="4909">
          <cell r="A4909" t="str">
            <v>CIVLA</v>
          </cell>
          <cell r="J4909">
            <v>0</v>
          </cell>
        </row>
        <row r="4910">
          <cell r="A4910" t="str">
            <v>CIVLA</v>
          </cell>
          <cell r="J4910">
            <v>0</v>
          </cell>
        </row>
        <row r="4911">
          <cell r="A4911" t="str">
            <v>CIVLA</v>
          </cell>
          <cell r="J4911">
            <v>0</v>
          </cell>
        </row>
        <row r="4912">
          <cell r="A4912" t="str">
            <v>CIVLA</v>
          </cell>
          <cell r="J4912">
            <v>0</v>
          </cell>
        </row>
        <row r="4913">
          <cell r="A4913" t="str">
            <v>CIVLA</v>
          </cell>
          <cell r="J4913">
            <v>0</v>
          </cell>
        </row>
        <row r="4914">
          <cell r="A4914" t="str">
            <v>CIVLA</v>
          </cell>
          <cell r="J4914">
            <v>0</v>
          </cell>
        </row>
        <row r="4915">
          <cell r="A4915" t="str">
            <v>CIVLA</v>
          </cell>
          <cell r="J4915">
            <v>0</v>
          </cell>
        </row>
        <row r="4916">
          <cell r="A4916" t="str">
            <v>CIVLA</v>
          </cell>
          <cell r="J4916">
            <v>0</v>
          </cell>
        </row>
        <row r="4917">
          <cell r="A4917" t="str">
            <v>CIVLA</v>
          </cell>
          <cell r="J4917">
            <v>0</v>
          </cell>
        </row>
        <row r="4918">
          <cell r="A4918" t="str">
            <v>CIVLA</v>
          </cell>
          <cell r="J4918">
            <v>0</v>
          </cell>
        </row>
        <row r="4919">
          <cell r="A4919" t="str">
            <v>CIVLA</v>
          </cell>
          <cell r="J4919">
            <v>0</v>
          </cell>
        </row>
        <row r="4920">
          <cell r="A4920" t="str">
            <v>CIVLA</v>
          </cell>
          <cell r="J4920">
            <v>0</v>
          </cell>
        </row>
        <row r="4921">
          <cell r="A4921" t="str">
            <v>CIVLA</v>
          </cell>
          <cell r="J4921">
            <v>0</v>
          </cell>
        </row>
        <row r="4922">
          <cell r="A4922" t="str">
            <v>CIVLA</v>
          </cell>
          <cell r="J4922">
            <v>0</v>
          </cell>
        </row>
        <row r="4923">
          <cell r="A4923" t="str">
            <v>CIVLA</v>
          </cell>
          <cell r="J4923">
            <v>0</v>
          </cell>
        </row>
        <row r="4924">
          <cell r="A4924" t="str">
            <v>CIVLA</v>
          </cell>
          <cell r="J4924">
            <v>0</v>
          </cell>
        </row>
        <row r="4925">
          <cell r="A4925" t="str">
            <v>CIVLA</v>
          </cell>
          <cell r="J4925">
            <v>0</v>
          </cell>
        </row>
        <row r="4926">
          <cell r="A4926" t="str">
            <v>CIVLA</v>
          </cell>
          <cell r="J4926">
            <v>0</v>
          </cell>
        </row>
        <row r="4927">
          <cell r="A4927" t="str">
            <v>CIVLA</v>
          </cell>
          <cell r="J4927">
            <v>0</v>
          </cell>
        </row>
        <row r="4928">
          <cell r="A4928" t="str">
            <v>CIVLA</v>
          </cell>
          <cell r="J4928">
            <v>0</v>
          </cell>
        </row>
        <row r="4929">
          <cell r="A4929" t="str">
            <v>CIVLA</v>
          </cell>
          <cell r="J4929">
            <v>0</v>
          </cell>
        </row>
        <row r="4930">
          <cell r="A4930" t="str">
            <v>CIVLA</v>
          </cell>
          <cell r="J4930">
            <v>0</v>
          </cell>
        </row>
        <row r="4931">
          <cell r="A4931" t="str">
            <v>CIVLA</v>
          </cell>
          <cell r="J4931">
            <v>0</v>
          </cell>
        </row>
        <row r="4932">
          <cell r="A4932" t="str">
            <v>CIVLA</v>
          </cell>
          <cell r="J4932">
            <v>0</v>
          </cell>
        </row>
        <row r="4933">
          <cell r="A4933" t="str">
            <v>CIVLA</v>
          </cell>
          <cell r="J4933">
            <v>0</v>
          </cell>
        </row>
        <row r="4934">
          <cell r="A4934" t="str">
            <v>CIVLA</v>
          </cell>
          <cell r="J4934">
            <v>0</v>
          </cell>
        </row>
        <row r="4935">
          <cell r="A4935" t="str">
            <v>CIVLA</v>
          </cell>
          <cell r="J4935">
            <v>0</v>
          </cell>
        </row>
        <row r="4936">
          <cell r="A4936" t="str">
            <v>CIVLA</v>
          </cell>
          <cell r="J4936">
            <v>0</v>
          </cell>
        </row>
        <row r="4937">
          <cell r="A4937" t="str">
            <v>CIVLA</v>
          </cell>
          <cell r="J4937">
            <v>0</v>
          </cell>
        </row>
        <row r="4938">
          <cell r="A4938" t="str">
            <v>CIVLA</v>
          </cell>
          <cell r="J4938">
            <v>0</v>
          </cell>
        </row>
        <row r="4939">
          <cell r="A4939" t="str">
            <v>CIVLA</v>
          </cell>
          <cell r="J4939">
            <v>0</v>
          </cell>
        </row>
        <row r="4940">
          <cell r="A4940" t="str">
            <v>CIVLA</v>
          </cell>
          <cell r="J4940">
            <v>0</v>
          </cell>
        </row>
        <row r="4941">
          <cell r="A4941" t="str">
            <v>CIVLA</v>
          </cell>
          <cell r="J4941">
            <v>0</v>
          </cell>
        </row>
        <row r="4942">
          <cell r="A4942" t="str">
            <v>CIVLA</v>
          </cell>
          <cell r="J4942">
            <v>0</v>
          </cell>
        </row>
        <row r="4943">
          <cell r="A4943" t="str">
            <v>CIVLA</v>
          </cell>
          <cell r="J4943">
            <v>0</v>
          </cell>
        </row>
        <row r="4944">
          <cell r="A4944" t="str">
            <v>CIVLA</v>
          </cell>
          <cell r="J4944">
            <v>0</v>
          </cell>
        </row>
        <row r="4945">
          <cell r="A4945" t="str">
            <v>CIVLA</v>
          </cell>
          <cell r="J4945">
            <v>0</v>
          </cell>
        </row>
        <row r="4946">
          <cell r="A4946" t="str">
            <v>CIVLA</v>
          </cell>
          <cell r="J4946">
            <v>0</v>
          </cell>
        </row>
        <row r="4947">
          <cell r="A4947" t="str">
            <v>CIVLA</v>
          </cell>
          <cell r="J4947">
            <v>0</v>
          </cell>
        </row>
        <row r="4948">
          <cell r="A4948" t="str">
            <v>CIVLA</v>
          </cell>
          <cell r="J4948">
            <v>0</v>
          </cell>
        </row>
        <row r="4949">
          <cell r="A4949" t="str">
            <v>CIVLA</v>
          </cell>
          <cell r="J4949">
            <v>0</v>
          </cell>
        </row>
        <row r="4950">
          <cell r="A4950" t="str">
            <v>CIVLA</v>
          </cell>
          <cell r="J4950">
            <v>0</v>
          </cell>
        </row>
        <row r="4951">
          <cell r="A4951" t="str">
            <v>CIVLA</v>
          </cell>
          <cell r="J4951">
            <v>0</v>
          </cell>
        </row>
        <row r="4952">
          <cell r="A4952" t="str">
            <v>CIVLA</v>
          </cell>
          <cell r="J4952">
            <v>0</v>
          </cell>
        </row>
        <row r="4953">
          <cell r="A4953" t="str">
            <v>CIVLA</v>
          </cell>
          <cell r="J4953">
            <v>0</v>
          </cell>
        </row>
        <row r="4954">
          <cell r="A4954" t="str">
            <v>CIVLA</v>
          </cell>
          <cell r="J4954">
            <v>0</v>
          </cell>
        </row>
        <row r="4955">
          <cell r="A4955" t="str">
            <v>CIVLA</v>
          </cell>
          <cell r="J4955">
            <v>0</v>
          </cell>
        </row>
        <row r="4956">
          <cell r="A4956" t="str">
            <v>CIVLA</v>
          </cell>
          <cell r="J4956">
            <v>0</v>
          </cell>
        </row>
        <row r="4957">
          <cell r="A4957" t="str">
            <v>CIVLA</v>
          </cell>
          <cell r="J4957">
            <v>0</v>
          </cell>
        </row>
        <row r="4958">
          <cell r="A4958" t="str">
            <v>CIVLA</v>
          </cell>
          <cell r="J4958">
            <v>0</v>
          </cell>
        </row>
        <row r="4959">
          <cell r="A4959" t="str">
            <v>CIVLA</v>
          </cell>
          <cell r="J4959">
            <v>0</v>
          </cell>
        </row>
        <row r="4960">
          <cell r="A4960" t="str">
            <v>CIVLA</v>
          </cell>
          <cell r="J4960">
            <v>0</v>
          </cell>
        </row>
        <row r="4961">
          <cell r="A4961" t="str">
            <v>CIVLA</v>
          </cell>
          <cell r="J4961">
            <v>0</v>
          </cell>
        </row>
        <row r="4962">
          <cell r="A4962" t="str">
            <v>CIVLA</v>
          </cell>
          <cell r="J4962">
            <v>0</v>
          </cell>
        </row>
        <row r="4963">
          <cell r="A4963" t="str">
            <v>CIVLA</v>
          </cell>
          <cell r="J4963">
            <v>0</v>
          </cell>
        </row>
        <row r="4964">
          <cell r="A4964" t="str">
            <v>CIVLA</v>
          </cell>
          <cell r="J4964">
            <v>0</v>
          </cell>
        </row>
        <row r="4965">
          <cell r="A4965" t="str">
            <v>CIVLA</v>
          </cell>
          <cell r="J4965">
            <v>0</v>
          </cell>
        </row>
        <row r="4966">
          <cell r="A4966" t="str">
            <v>CIVLA</v>
          </cell>
          <cell r="J4966">
            <v>0</v>
          </cell>
        </row>
        <row r="4967">
          <cell r="A4967" t="str">
            <v>CIVLA</v>
          </cell>
          <cell r="J4967">
            <v>0</v>
          </cell>
        </row>
        <row r="4968">
          <cell r="A4968" t="str">
            <v>CIVLA</v>
          </cell>
          <cell r="J4968">
            <v>0</v>
          </cell>
        </row>
        <row r="4969">
          <cell r="A4969" t="str">
            <v>CIVLA</v>
          </cell>
          <cell r="J4969">
            <v>0</v>
          </cell>
        </row>
        <row r="4970">
          <cell r="A4970" t="str">
            <v>CIVLA</v>
          </cell>
          <cell r="J4970">
            <v>0</v>
          </cell>
        </row>
        <row r="4971">
          <cell r="A4971" t="str">
            <v>CIVLA</v>
          </cell>
          <cell r="J4971">
            <v>0</v>
          </cell>
        </row>
        <row r="4972">
          <cell r="A4972" t="str">
            <v>CIVLA</v>
          </cell>
          <cell r="J4972">
            <v>0</v>
          </cell>
        </row>
        <row r="4973">
          <cell r="A4973" t="str">
            <v>CIVLA</v>
          </cell>
          <cell r="J4973">
            <v>0</v>
          </cell>
        </row>
        <row r="4974">
          <cell r="A4974" t="str">
            <v>CIVLA</v>
          </cell>
          <cell r="J4974">
            <v>0</v>
          </cell>
        </row>
        <row r="4975">
          <cell r="A4975" t="str">
            <v>CIVLA</v>
          </cell>
          <cell r="J4975">
            <v>0</v>
          </cell>
        </row>
        <row r="4976">
          <cell r="A4976" t="str">
            <v>CIVLA</v>
          </cell>
          <cell r="J4976">
            <v>0</v>
          </cell>
        </row>
        <row r="4977">
          <cell r="A4977" t="str">
            <v>CIVLA</v>
          </cell>
          <cell r="J4977">
            <v>0</v>
          </cell>
        </row>
        <row r="4978">
          <cell r="A4978" t="str">
            <v>CIVLA</v>
          </cell>
          <cell r="J4978">
            <v>0</v>
          </cell>
        </row>
        <row r="4979">
          <cell r="A4979" t="str">
            <v>CIVLA</v>
          </cell>
          <cell r="J4979">
            <v>0</v>
          </cell>
        </row>
        <row r="4980">
          <cell r="A4980" t="str">
            <v>CIVLA</v>
          </cell>
          <cell r="J4980">
            <v>0</v>
          </cell>
        </row>
        <row r="4981">
          <cell r="A4981" t="str">
            <v>CIVLA</v>
          </cell>
          <cell r="J4981">
            <v>0</v>
          </cell>
        </row>
        <row r="4982">
          <cell r="A4982" t="str">
            <v>CIVLA</v>
          </cell>
          <cell r="J4982">
            <v>0</v>
          </cell>
        </row>
        <row r="4983">
          <cell r="A4983" t="str">
            <v>CIVLA</v>
          </cell>
          <cell r="J4983">
            <v>0</v>
          </cell>
        </row>
        <row r="4984">
          <cell r="A4984" t="str">
            <v>CIVLA</v>
          </cell>
          <cell r="J4984">
            <v>0</v>
          </cell>
        </row>
        <row r="4985">
          <cell r="A4985" t="str">
            <v>CIVLA</v>
          </cell>
          <cell r="J4985">
            <v>0</v>
          </cell>
        </row>
        <row r="4986">
          <cell r="A4986" t="str">
            <v>CIVLA</v>
          </cell>
          <cell r="J4986">
            <v>0</v>
          </cell>
        </row>
        <row r="4987">
          <cell r="A4987" t="str">
            <v>CIVLA</v>
          </cell>
          <cell r="J4987">
            <v>0</v>
          </cell>
        </row>
        <row r="4988">
          <cell r="A4988" t="str">
            <v>CIVLA</v>
          </cell>
          <cell r="J4988">
            <v>0</v>
          </cell>
        </row>
        <row r="4989">
          <cell r="A4989" t="str">
            <v>CIVLA</v>
          </cell>
          <cell r="J4989">
            <v>0</v>
          </cell>
        </row>
        <row r="4990">
          <cell r="A4990" t="str">
            <v>CIVLA</v>
          </cell>
          <cell r="J4990">
            <v>0</v>
          </cell>
        </row>
        <row r="4991">
          <cell r="A4991" t="str">
            <v>CIVLA</v>
          </cell>
          <cell r="J4991">
            <v>0</v>
          </cell>
        </row>
        <row r="4992">
          <cell r="A4992" t="str">
            <v>CIVLA</v>
          </cell>
          <cell r="J4992">
            <v>0</v>
          </cell>
        </row>
        <row r="4993">
          <cell r="A4993" t="str">
            <v>CIVLA</v>
          </cell>
          <cell r="J4993">
            <v>0</v>
          </cell>
        </row>
        <row r="4994">
          <cell r="A4994" t="str">
            <v>CIVLA</v>
          </cell>
          <cell r="J4994">
            <v>0</v>
          </cell>
        </row>
        <row r="4995">
          <cell r="A4995" t="str">
            <v>CIVLA</v>
          </cell>
          <cell r="J4995">
            <v>0</v>
          </cell>
        </row>
        <row r="4996">
          <cell r="A4996" t="str">
            <v>CIVLA</v>
          </cell>
          <cell r="J4996">
            <v>0</v>
          </cell>
        </row>
        <row r="4997">
          <cell r="A4997" t="str">
            <v>CIVLA</v>
          </cell>
          <cell r="J4997">
            <v>0</v>
          </cell>
        </row>
        <row r="4998">
          <cell r="A4998" t="str">
            <v>CIVLA</v>
          </cell>
          <cell r="J4998">
            <v>0</v>
          </cell>
        </row>
        <row r="4999">
          <cell r="A4999" t="str">
            <v>CIVLA</v>
          </cell>
          <cell r="J4999">
            <v>0</v>
          </cell>
        </row>
        <row r="5000">
          <cell r="A5000" t="str">
            <v>CIVLA</v>
          </cell>
          <cell r="J5000">
            <v>0</v>
          </cell>
        </row>
        <row r="5001">
          <cell r="A5001" t="str">
            <v>CIVLA</v>
          </cell>
          <cell r="J5001">
            <v>0</v>
          </cell>
        </row>
        <row r="5002">
          <cell r="A5002" t="str">
            <v>CIVLA</v>
          </cell>
          <cell r="J5002">
            <v>0</v>
          </cell>
        </row>
        <row r="5003">
          <cell r="A5003" t="str">
            <v>CIVLA</v>
          </cell>
          <cell r="J5003">
            <v>0</v>
          </cell>
        </row>
        <row r="5004">
          <cell r="A5004" t="str">
            <v>CIVLA</v>
          </cell>
          <cell r="J5004">
            <v>0</v>
          </cell>
        </row>
        <row r="5005">
          <cell r="A5005" t="str">
            <v>CIVLA</v>
          </cell>
          <cell r="J5005">
            <v>0</v>
          </cell>
        </row>
        <row r="5006">
          <cell r="A5006" t="str">
            <v>CIVLA</v>
          </cell>
          <cell r="J5006">
            <v>0</v>
          </cell>
        </row>
        <row r="5007">
          <cell r="A5007" t="str">
            <v>CIVLA</v>
          </cell>
          <cell r="J5007">
            <v>0</v>
          </cell>
        </row>
        <row r="5008">
          <cell r="A5008" t="str">
            <v>CIVLA</v>
          </cell>
          <cell r="J5008">
            <v>0</v>
          </cell>
        </row>
        <row r="5009">
          <cell r="A5009" t="str">
            <v>CIVLA</v>
          </cell>
          <cell r="J5009">
            <v>0</v>
          </cell>
        </row>
        <row r="5010">
          <cell r="A5010" t="str">
            <v>CIVLA</v>
          </cell>
          <cell r="J5010">
            <v>0</v>
          </cell>
        </row>
        <row r="5011">
          <cell r="A5011" t="str">
            <v>CIVLA</v>
          </cell>
          <cell r="J5011">
            <v>0</v>
          </cell>
        </row>
        <row r="5012">
          <cell r="A5012" t="str">
            <v>CIVLA</v>
          </cell>
          <cell r="J5012">
            <v>0</v>
          </cell>
        </row>
        <row r="5013">
          <cell r="A5013" t="str">
            <v>CIVLA</v>
          </cell>
          <cell r="J5013">
            <v>0</v>
          </cell>
        </row>
        <row r="5014">
          <cell r="A5014" t="str">
            <v>CIVLA</v>
          </cell>
          <cell r="J5014">
            <v>0</v>
          </cell>
        </row>
        <row r="5015">
          <cell r="A5015" t="str">
            <v>CIVLA</v>
          </cell>
          <cell r="J5015">
            <v>0</v>
          </cell>
        </row>
        <row r="5016">
          <cell r="A5016" t="str">
            <v>CIVLA</v>
          </cell>
          <cell r="J5016">
            <v>0</v>
          </cell>
        </row>
        <row r="5017">
          <cell r="A5017" t="str">
            <v>CIVLA</v>
          </cell>
          <cell r="J5017">
            <v>0</v>
          </cell>
        </row>
        <row r="5018">
          <cell r="A5018" t="str">
            <v>CIVLA</v>
          </cell>
          <cell r="J5018">
            <v>0</v>
          </cell>
        </row>
        <row r="5019">
          <cell r="A5019" t="str">
            <v>CIVLA</v>
          </cell>
          <cell r="J5019">
            <v>0</v>
          </cell>
        </row>
        <row r="5020">
          <cell r="A5020" t="str">
            <v>CIVLA</v>
          </cell>
          <cell r="J5020">
            <v>0</v>
          </cell>
        </row>
        <row r="5021">
          <cell r="A5021" t="str">
            <v>CIVLA</v>
          </cell>
          <cell r="J5021">
            <v>0</v>
          </cell>
        </row>
        <row r="5022">
          <cell r="A5022" t="str">
            <v>CIVLA</v>
          </cell>
          <cell r="J5022">
            <v>0</v>
          </cell>
        </row>
        <row r="5023">
          <cell r="A5023" t="str">
            <v>CIVLA</v>
          </cell>
          <cell r="J5023">
            <v>0</v>
          </cell>
        </row>
        <row r="5024">
          <cell r="A5024" t="str">
            <v>CIVLA</v>
          </cell>
          <cell r="J5024">
            <v>0</v>
          </cell>
        </row>
        <row r="5025">
          <cell r="A5025" t="str">
            <v>CIVLA</v>
          </cell>
          <cell r="J5025">
            <v>0</v>
          </cell>
        </row>
        <row r="5026">
          <cell r="A5026" t="str">
            <v>CIVLA</v>
          </cell>
          <cell r="J5026">
            <v>0</v>
          </cell>
        </row>
        <row r="5027">
          <cell r="A5027" t="str">
            <v>CIVLA</v>
          </cell>
          <cell r="J5027">
            <v>0</v>
          </cell>
        </row>
        <row r="5028">
          <cell r="A5028" t="str">
            <v>CIVLA</v>
          </cell>
          <cell r="J5028">
            <v>0</v>
          </cell>
        </row>
        <row r="5029">
          <cell r="A5029" t="str">
            <v>CIVLA</v>
          </cell>
          <cell r="J5029">
            <v>0</v>
          </cell>
        </row>
        <row r="5030">
          <cell r="A5030" t="str">
            <v>CIVLA</v>
          </cell>
          <cell r="J5030">
            <v>0</v>
          </cell>
        </row>
        <row r="5031">
          <cell r="A5031" t="str">
            <v>CIVLA</v>
          </cell>
          <cell r="J5031">
            <v>0</v>
          </cell>
        </row>
        <row r="5032">
          <cell r="A5032" t="str">
            <v>CIVLA</v>
          </cell>
          <cell r="J5032">
            <v>0</v>
          </cell>
        </row>
        <row r="5033">
          <cell r="A5033" t="str">
            <v>CIVLA</v>
          </cell>
          <cell r="J5033">
            <v>0</v>
          </cell>
        </row>
        <row r="5034">
          <cell r="A5034" t="str">
            <v>CIVLA</v>
          </cell>
          <cell r="J5034">
            <v>0</v>
          </cell>
        </row>
        <row r="5035">
          <cell r="A5035" t="str">
            <v>CIVLA</v>
          </cell>
          <cell r="J5035">
            <v>0</v>
          </cell>
        </row>
        <row r="5036">
          <cell r="A5036" t="str">
            <v>CIVLA</v>
          </cell>
          <cell r="J5036">
            <v>0</v>
          </cell>
        </row>
        <row r="5037">
          <cell r="A5037" t="str">
            <v>CIVLA</v>
          </cell>
          <cell r="J5037">
            <v>0</v>
          </cell>
        </row>
        <row r="5038">
          <cell r="A5038" t="str">
            <v>CIVLA</v>
          </cell>
          <cell r="J5038">
            <v>0</v>
          </cell>
        </row>
        <row r="5039">
          <cell r="A5039" t="str">
            <v>CIVLA</v>
          </cell>
          <cell r="J5039">
            <v>0</v>
          </cell>
        </row>
        <row r="5040">
          <cell r="A5040" t="str">
            <v>CIVLA</v>
          </cell>
          <cell r="J5040">
            <v>0</v>
          </cell>
        </row>
        <row r="5041">
          <cell r="A5041" t="str">
            <v>CIVLA</v>
          </cell>
          <cell r="J5041">
            <v>0</v>
          </cell>
        </row>
        <row r="5042">
          <cell r="A5042" t="str">
            <v>CIVLA</v>
          </cell>
          <cell r="J5042">
            <v>0</v>
          </cell>
        </row>
        <row r="5043">
          <cell r="A5043" t="str">
            <v>CIVLA</v>
          </cell>
          <cell r="J5043">
            <v>0</v>
          </cell>
        </row>
        <row r="5044">
          <cell r="A5044" t="str">
            <v>CIVLA</v>
          </cell>
          <cell r="J5044">
            <v>0</v>
          </cell>
        </row>
        <row r="5045">
          <cell r="A5045" t="str">
            <v>CIVLA</v>
          </cell>
          <cell r="J5045">
            <v>0</v>
          </cell>
        </row>
        <row r="5046">
          <cell r="A5046" t="str">
            <v>CIVLA</v>
          </cell>
          <cell r="J5046">
            <v>0</v>
          </cell>
        </row>
        <row r="5047">
          <cell r="A5047" t="str">
            <v>CIVLA</v>
          </cell>
          <cell r="J5047">
            <v>0</v>
          </cell>
        </row>
        <row r="5048">
          <cell r="A5048" t="str">
            <v>CIVLA</v>
          </cell>
          <cell r="J5048">
            <v>0</v>
          </cell>
        </row>
        <row r="5049">
          <cell r="A5049" t="str">
            <v>CIVLA</v>
          </cell>
          <cell r="J5049">
            <v>0</v>
          </cell>
        </row>
        <row r="5050">
          <cell r="A5050" t="str">
            <v>CIVLA</v>
          </cell>
          <cell r="J5050">
            <v>0</v>
          </cell>
        </row>
        <row r="5051">
          <cell r="A5051" t="str">
            <v>CIVLA</v>
          </cell>
          <cell r="J5051">
            <v>0</v>
          </cell>
        </row>
        <row r="5052">
          <cell r="A5052" t="str">
            <v>CIVLA</v>
          </cell>
          <cell r="J5052">
            <v>0</v>
          </cell>
        </row>
        <row r="5053">
          <cell r="A5053" t="str">
            <v>CIVLA</v>
          </cell>
          <cell r="J5053">
            <v>0</v>
          </cell>
        </row>
        <row r="5054">
          <cell r="A5054" t="str">
            <v>CIVLA</v>
          </cell>
          <cell r="J5054">
            <v>0</v>
          </cell>
        </row>
        <row r="5055">
          <cell r="A5055" t="str">
            <v>CIVLA</v>
          </cell>
          <cell r="J5055">
            <v>0</v>
          </cell>
        </row>
        <row r="5056">
          <cell r="A5056" t="str">
            <v>CIVLA</v>
          </cell>
          <cell r="J5056">
            <v>0</v>
          </cell>
        </row>
        <row r="5057">
          <cell r="A5057" t="str">
            <v>CIVLA</v>
          </cell>
          <cell r="J5057">
            <v>0</v>
          </cell>
        </row>
        <row r="5058">
          <cell r="A5058" t="str">
            <v>CIVLA</v>
          </cell>
          <cell r="J5058">
            <v>0</v>
          </cell>
        </row>
        <row r="5059">
          <cell r="A5059" t="str">
            <v>CIVLA</v>
          </cell>
          <cell r="J5059">
            <v>0</v>
          </cell>
        </row>
        <row r="5060">
          <cell r="A5060" t="str">
            <v>CIVLA</v>
          </cell>
          <cell r="J5060">
            <v>0</v>
          </cell>
        </row>
        <row r="5061">
          <cell r="A5061" t="str">
            <v>CIVLA</v>
          </cell>
          <cell r="J5061">
            <v>0</v>
          </cell>
        </row>
        <row r="5062">
          <cell r="A5062" t="str">
            <v>CIVLA</v>
          </cell>
          <cell r="J5062">
            <v>0</v>
          </cell>
        </row>
        <row r="5063">
          <cell r="A5063" t="str">
            <v>CIVLA</v>
          </cell>
          <cell r="J5063">
            <v>0</v>
          </cell>
        </row>
        <row r="5064">
          <cell r="A5064" t="str">
            <v>CIVLA</v>
          </cell>
          <cell r="J5064">
            <v>0</v>
          </cell>
        </row>
        <row r="5065">
          <cell r="A5065" t="str">
            <v>CIVLA</v>
          </cell>
          <cell r="J5065">
            <v>0</v>
          </cell>
        </row>
        <row r="5066">
          <cell r="A5066" t="str">
            <v>CIVLA</v>
          </cell>
          <cell r="J5066">
            <v>0</v>
          </cell>
        </row>
        <row r="5067">
          <cell r="A5067" t="str">
            <v>CIVLA</v>
          </cell>
          <cell r="J5067">
            <v>0</v>
          </cell>
        </row>
        <row r="5068">
          <cell r="A5068" t="str">
            <v>CIVLA</v>
          </cell>
          <cell r="J5068">
            <v>0</v>
          </cell>
        </row>
        <row r="5069">
          <cell r="A5069" t="str">
            <v>CIVLA</v>
          </cell>
          <cell r="J5069">
            <v>0</v>
          </cell>
        </row>
        <row r="5070">
          <cell r="A5070" t="str">
            <v>CIVLA</v>
          </cell>
          <cell r="J5070">
            <v>0</v>
          </cell>
        </row>
        <row r="5071">
          <cell r="A5071" t="str">
            <v>CIVLA</v>
          </cell>
          <cell r="J5071">
            <v>0</v>
          </cell>
        </row>
        <row r="5072">
          <cell r="A5072" t="str">
            <v>CIVLA</v>
          </cell>
          <cell r="J5072">
            <v>0</v>
          </cell>
        </row>
        <row r="5073">
          <cell r="A5073" t="str">
            <v>CIVLA</v>
          </cell>
          <cell r="J5073">
            <v>0</v>
          </cell>
        </row>
        <row r="5074">
          <cell r="A5074" t="str">
            <v>CIVLA</v>
          </cell>
          <cell r="J5074">
            <v>0</v>
          </cell>
        </row>
        <row r="5075">
          <cell r="A5075" t="str">
            <v>CIVLA</v>
          </cell>
          <cell r="J5075">
            <v>0</v>
          </cell>
        </row>
        <row r="5076">
          <cell r="A5076" t="str">
            <v>CIVLA</v>
          </cell>
          <cell r="J5076">
            <v>0</v>
          </cell>
        </row>
        <row r="5077">
          <cell r="A5077" t="str">
            <v>CIVLA</v>
          </cell>
          <cell r="J5077">
            <v>0</v>
          </cell>
        </row>
        <row r="5078">
          <cell r="A5078" t="str">
            <v>CIVLA</v>
          </cell>
          <cell r="J5078">
            <v>0</v>
          </cell>
        </row>
        <row r="5079">
          <cell r="A5079" t="str">
            <v>CIVLA</v>
          </cell>
          <cell r="J5079">
            <v>0</v>
          </cell>
        </row>
        <row r="5080">
          <cell r="A5080" t="str">
            <v>CIVLA</v>
          </cell>
          <cell r="J5080">
            <v>0</v>
          </cell>
        </row>
        <row r="5081">
          <cell r="A5081" t="str">
            <v>CIVLA</v>
          </cell>
          <cell r="J5081">
            <v>0</v>
          </cell>
        </row>
        <row r="5082">
          <cell r="A5082" t="str">
            <v>CIVLA</v>
          </cell>
          <cell r="J5082">
            <v>0</v>
          </cell>
        </row>
        <row r="5083">
          <cell r="A5083" t="str">
            <v>CIVLA</v>
          </cell>
          <cell r="J5083">
            <v>0</v>
          </cell>
        </row>
        <row r="5084">
          <cell r="A5084" t="str">
            <v>CIVLA</v>
          </cell>
          <cell r="J5084">
            <v>0</v>
          </cell>
        </row>
        <row r="5085">
          <cell r="A5085" t="str">
            <v>CIVLA</v>
          </cell>
          <cell r="J5085">
            <v>0</v>
          </cell>
        </row>
        <row r="5086">
          <cell r="A5086" t="str">
            <v>CIVLA</v>
          </cell>
          <cell r="J5086">
            <v>0</v>
          </cell>
        </row>
        <row r="5087">
          <cell r="A5087" t="str">
            <v>CIVLA</v>
          </cell>
          <cell r="J5087">
            <v>0</v>
          </cell>
        </row>
        <row r="5088">
          <cell r="A5088" t="str">
            <v>CIVLA</v>
          </cell>
          <cell r="J5088">
            <v>0</v>
          </cell>
        </row>
        <row r="5089">
          <cell r="A5089" t="str">
            <v>CIVLA</v>
          </cell>
          <cell r="J5089">
            <v>0</v>
          </cell>
        </row>
        <row r="5090">
          <cell r="A5090" t="str">
            <v>CIVLA</v>
          </cell>
          <cell r="J5090">
            <v>0</v>
          </cell>
        </row>
        <row r="5091">
          <cell r="A5091" t="str">
            <v>CIVLA</v>
          </cell>
          <cell r="J5091">
            <v>0</v>
          </cell>
        </row>
        <row r="5092">
          <cell r="A5092" t="str">
            <v>CIVLA</v>
          </cell>
          <cell r="J5092">
            <v>0</v>
          </cell>
        </row>
        <row r="5093">
          <cell r="A5093" t="str">
            <v>CIVLA</v>
          </cell>
          <cell r="J5093">
            <v>0</v>
          </cell>
        </row>
        <row r="5094">
          <cell r="A5094" t="str">
            <v>CIVLA</v>
          </cell>
          <cell r="J5094">
            <v>0</v>
          </cell>
        </row>
        <row r="5095">
          <cell r="A5095" t="str">
            <v>CIVLA</v>
          </cell>
          <cell r="J5095">
            <v>0</v>
          </cell>
        </row>
        <row r="5096">
          <cell r="A5096" t="str">
            <v>CIVLA</v>
          </cell>
          <cell r="J5096">
            <v>0</v>
          </cell>
        </row>
        <row r="5097">
          <cell r="A5097" t="str">
            <v>CIVLA</v>
          </cell>
          <cell r="J5097">
            <v>0</v>
          </cell>
        </row>
        <row r="5098">
          <cell r="A5098" t="str">
            <v>CIVLA</v>
          </cell>
          <cell r="J5098">
            <v>0</v>
          </cell>
        </row>
        <row r="5099">
          <cell r="A5099" t="str">
            <v>CIVLA</v>
          </cell>
          <cell r="J5099">
            <v>0</v>
          </cell>
        </row>
        <row r="5100">
          <cell r="A5100" t="str">
            <v>CIVLA</v>
          </cell>
          <cell r="J5100">
            <v>0</v>
          </cell>
        </row>
        <row r="5101">
          <cell r="A5101" t="str">
            <v>CIVLA</v>
          </cell>
          <cell r="J5101">
            <v>0</v>
          </cell>
        </row>
        <row r="5102">
          <cell r="A5102" t="str">
            <v>CIVLA</v>
          </cell>
          <cell r="J5102">
            <v>0</v>
          </cell>
        </row>
        <row r="5103">
          <cell r="A5103" t="str">
            <v>CIVLA</v>
          </cell>
          <cell r="J5103">
            <v>0</v>
          </cell>
        </row>
        <row r="5104">
          <cell r="A5104" t="str">
            <v>CIVLA</v>
          </cell>
          <cell r="J5104">
            <v>0</v>
          </cell>
        </row>
        <row r="5105">
          <cell r="A5105" t="str">
            <v>CIVLA</v>
          </cell>
          <cell r="J5105">
            <v>0</v>
          </cell>
        </row>
        <row r="5106">
          <cell r="A5106" t="str">
            <v>CIVLA</v>
          </cell>
          <cell r="J5106">
            <v>0</v>
          </cell>
        </row>
        <row r="5107">
          <cell r="A5107" t="str">
            <v>CIVLA</v>
          </cell>
          <cell r="J5107">
            <v>0</v>
          </cell>
        </row>
        <row r="5108">
          <cell r="A5108" t="str">
            <v>CIVLA</v>
          </cell>
          <cell r="J5108">
            <v>0</v>
          </cell>
        </row>
        <row r="5109">
          <cell r="A5109" t="str">
            <v>CIVLA</v>
          </cell>
          <cell r="J5109">
            <v>0</v>
          </cell>
        </row>
        <row r="5110">
          <cell r="A5110" t="str">
            <v>CIVLA</v>
          </cell>
          <cell r="J5110">
            <v>0</v>
          </cell>
        </row>
        <row r="5111">
          <cell r="A5111" t="str">
            <v>CIVLA</v>
          </cell>
          <cell r="J5111">
            <v>0</v>
          </cell>
        </row>
        <row r="5112">
          <cell r="A5112" t="str">
            <v>CIVLA</v>
          </cell>
          <cell r="J5112">
            <v>0</v>
          </cell>
        </row>
        <row r="5113">
          <cell r="A5113" t="str">
            <v>CIVLA</v>
          </cell>
          <cell r="J5113">
            <v>0</v>
          </cell>
        </row>
        <row r="5114">
          <cell r="A5114" t="str">
            <v>CIVLA</v>
          </cell>
          <cell r="J5114">
            <v>0</v>
          </cell>
        </row>
        <row r="5115">
          <cell r="A5115" t="str">
            <v>CIVLA</v>
          </cell>
          <cell r="J5115">
            <v>0</v>
          </cell>
        </row>
        <row r="5116">
          <cell r="A5116" t="str">
            <v>CIVLA</v>
          </cell>
          <cell r="J5116">
            <v>0</v>
          </cell>
        </row>
        <row r="5117">
          <cell r="A5117" t="str">
            <v>CIVLA</v>
          </cell>
          <cell r="J5117">
            <v>0</v>
          </cell>
        </row>
        <row r="5118">
          <cell r="A5118" t="str">
            <v>CIVLA</v>
          </cell>
          <cell r="J5118">
            <v>0</v>
          </cell>
        </row>
        <row r="5119">
          <cell r="A5119" t="str">
            <v>CIVLA</v>
          </cell>
          <cell r="J5119">
            <v>0</v>
          </cell>
        </row>
        <row r="5120">
          <cell r="A5120" t="str">
            <v>CIVLA</v>
          </cell>
          <cell r="J5120">
            <v>0</v>
          </cell>
        </row>
        <row r="5121">
          <cell r="A5121" t="str">
            <v>CIVLA</v>
          </cell>
          <cell r="J5121">
            <v>0</v>
          </cell>
        </row>
        <row r="5122">
          <cell r="A5122" t="str">
            <v>CIVLA</v>
          </cell>
          <cell r="J5122">
            <v>0</v>
          </cell>
        </row>
        <row r="5123">
          <cell r="A5123" t="str">
            <v>CIVLA</v>
          </cell>
          <cell r="J5123">
            <v>0</v>
          </cell>
        </row>
        <row r="5124">
          <cell r="A5124" t="str">
            <v>CIVLA</v>
          </cell>
          <cell r="J5124">
            <v>0</v>
          </cell>
        </row>
        <row r="5125">
          <cell r="A5125" t="str">
            <v>CIVLA</v>
          </cell>
          <cell r="J5125">
            <v>0</v>
          </cell>
        </row>
        <row r="5126">
          <cell r="A5126" t="str">
            <v>CIVLA</v>
          </cell>
          <cell r="J5126">
            <v>0</v>
          </cell>
        </row>
        <row r="5127">
          <cell r="A5127" t="str">
            <v>CIVLA</v>
          </cell>
          <cell r="J5127">
            <v>0</v>
          </cell>
        </row>
        <row r="5128">
          <cell r="A5128" t="str">
            <v>CIVLA</v>
          </cell>
          <cell r="J5128">
            <v>0</v>
          </cell>
        </row>
        <row r="5129">
          <cell r="A5129" t="str">
            <v>CIVLA</v>
          </cell>
          <cell r="J5129">
            <v>0</v>
          </cell>
        </row>
        <row r="5130">
          <cell r="A5130" t="str">
            <v>CIVLA</v>
          </cell>
          <cell r="J5130">
            <v>0</v>
          </cell>
        </row>
        <row r="5131">
          <cell r="A5131" t="str">
            <v>CIVLA</v>
          </cell>
          <cell r="J5131">
            <v>0</v>
          </cell>
        </row>
        <row r="5132">
          <cell r="A5132" t="str">
            <v>CIVLA</v>
          </cell>
          <cell r="J5132">
            <v>0</v>
          </cell>
        </row>
        <row r="5133">
          <cell r="A5133" t="str">
            <v>CIVLA</v>
          </cell>
          <cell r="J5133">
            <v>0</v>
          </cell>
        </row>
        <row r="5134">
          <cell r="A5134" t="str">
            <v>CIVLA</v>
          </cell>
          <cell r="J5134">
            <v>0</v>
          </cell>
        </row>
        <row r="5135">
          <cell r="A5135" t="str">
            <v>CIVLA</v>
          </cell>
          <cell r="J5135">
            <v>0</v>
          </cell>
        </row>
        <row r="5136">
          <cell r="A5136" t="str">
            <v>CIVLA</v>
          </cell>
          <cell r="J5136">
            <v>0</v>
          </cell>
        </row>
        <row r="5137">
          <cell r="A5137" t="str">
            <v>CIVLA</v>
          </cell>
          <cell r="J5137">
            <v>0</v>
          </cell>
        </row>
        <row r="5138">
          <cell r="A5138" t="str">
            <v>CIVLA</v>
          </cell>
          <cell r="J5138">
            <v>0</v>
          </cell>
        </row>
        <row r="5139">
          <cell r="A5139" t="str">
            <v>CIVLA</v>
          </cell>
          <cell r="J5139">
            <v>0</v>
          </cell>
        </row>
        <row r="5140">
          <cell r="A5140" t="str">
            <v>CIVLA</v>
          </cell>
          <cell r="J5140">
            <v>0</v>
          </cell>
        </row>
        <row r="5141">
          <cell r="A5141" t="str">
            <v>CIVLA</v>
          </cell>
          <cell r="J5141">
            <v>0</v>
          </cell>
        </row>
        <row r="5142">
          <cell r="A5142" t="str">
            <v>CIVLA</v>
          </cell>
          <cell r="J5142">
            <v>0</v>
          </cell>
        </row>
        <row r="5143">
          <cell r="A5143" t="str">
            <v>CIVLA</v>
          </cell>
          <cell r="J5143">
            <v>0</v>
          </cell>
        </row>
        <row r="5144">
          <cell r="A5144" t="str">
            <v>CIVLA</v>
          </cell>
          <cell r="J5144">
            <v>0</v>
          </cell>
        </row>
        <row r="5145">
          <cell r="A5145" t="str">
            <v>CIVLA</v>
          </cell>
          <cell r="J5145">
            <v>0</v>
          </cell>
        </row>
        <row r="5146">
          <cell r="A5146" t="str">
            <v>CIVLA</v>
          </cell>
          <cell r="J5146">
            <v>0</v>
          </cell>
        </row>
        <row r="5147">
          <cell r="A5147" t="str">
            <v>CIVLA</v>
          </cell>
          <cell r="J5147">
            <v>0</v>
          </cell>
        </row>
        <row r="5148">
          <cell r="A5148" t="str">
            <v>CIVLA</v>
          </cell>
          <cell r="J5148">
            <v>0</v>
          </cell>
        </row>
        <row r="5149">
          <cell r="A5149" t="str">
            <v>CIVLA</v>
          </cell>
          <cell r="J5149">
            <v>0</v>
          </cell>
        </row>
        <row r="5150">
          <cell r="A5150" t="str">
            <v>CIVLA</v>
          </cell>
          <cell r="J5150">
            <v>0</v>
          </cell>
        </row>
        <row r="5151">
          <cell r="A5151" t="str">
            <v>CIVLA</v>
          </cell>
          <cell r="J5151">
            <v>0</v>
          </cell>
        </row>
        <row r="5152">
          <cell r="A5152" t="str">
            <v>CIVLA</v>
          </cell>
          <cell r="J5152">
            <v>0</v>
          </cell>
        </row>
        <row r="5153">
          <cell r="A5153" t="str">
            <v>CIVLA</v>
          </cell>
          <cell r="J5153">
            <v>0</v>
          </cell>
        </row>
        <row r="5154">
          <cell r="A5154" t="str">
            <v>CIVLA</v>
          </cell>
          <cell r="J5154">
            <v>0</v>
          </cell>
        </row>
        <row r="5155">
          <cell r="A5155" t="str">
            <v>CIVLA</v>
          </cell>
          <cell r="J5155">
            <v>0</v>
          </cell>
        </row>
        <row r="5156">
          <cell r="A5156" t="str">
            <v>CIVLA</v>
          </cell>
          <cell r="J5156">
            <v>0</v>
          </cell>
        </row>
        <row r="5157">
          <cell r="A5157" t="str">
            <v>CIVLA</v>
          </cell>
          <cell r="J5157">
            <v>0</v>
          </cell>
        </row>
        <row r="5158">
          <cell r="A5158" t="str">
            <v>CIVLA</v>
          </cell>
          <cell r="J5158">
            <v>0</v>
          </cell>
        </row>
        <row r="5159">
          <cell r="A5159" t="str">
            <v>CIVLA</v>
          </cell>
          <cell r="J5159">
            <v>0</v>
          </cell>
        </row>
        <row r="5160">
          <cell r="A5160" t="str">
            <v>CIVLA</v>
          </cell>
          <cell r="J5160">
            <v>0</v>
          </cell>
        </row>
        <row r="5161">
          <cell r="A5161" t="str">
            <v>CIVLA</v>
          </cell>
          <cell r="J5161">
            <v>0</v>
          </cell>
        </row>
        <row r="5162">
          <cell r="A5162" t="str">
            <v>CIVLA</v>
          </cell>
          <cell r="J5162">
            <v>0</v>
          </cell>
        </row>
        <row r="5163">
          <cell r="A5163" t="str">
            <v>CIVLA</v>
          </cell>
          <cell r="J5163">
            <v>0</v>
          </cell>
        </row>
        <row r="5164">
          <cell r="A5164" t="str">
            <v>CIVLA</v>
          </cell>
          <cell r="J5164">
            <v>0</v>
          </cell>
        </row>
        <row r="5165">
          <cell r="A5165" t="str">
            <v>CIVLA</v>
          </cell>
          <cell r="J5165">
            <v>0</v>
          </cell>
        </row>
        <row r="5166">
          <cell r="A5166" t="str">
            <v>CIVLA</v>
          </cell>
          <cell r="J5166">
            <v>0</v>
          </cell>
        </row>
        <row r="5167">
          <cell r="A5167" t="str">
            <v>CIVLA</v>
          </cell>
          <cell r="J5167">
            <v>0</v>
          </cell>
        </row>
        <row r="5168">
          <cell r="A5168" t="str">
            <v>CIVLA</v>
          </cell>
          <cell r="J5168">
            <v>0</v>
          </cell>
        </row>
        <row r="5169">
          <cell r="A5169" t="str">
            <v>CIVLA</v>
          </cell>
          <cell r="J5169">
            <v>0</v>
          </cell>
        </row>
        <row r="5170">
          <cell r="A5170" t="str">
            <v>CIVLA</v>
          </cell>
          <cell r="J5170">
            <v>0</v>
          </cell>
        </row>
        <row r="5171">
          <cell r="A5171" t="str">
            <v>CIVLA</v>
          </cell>
          <cell r="J5171">
            <v>0</v>
          </cell>
        </row>
        <row r="5172">
          <cell r="A5172" t="str">
            <v>CIVLA</v>
          </cell>
          <cell r="J5172">
            <v>0</v>
          </cell>
        </row>
        <row r="5173">
          <cell r="A5173" t="str">
            <v>CIVLA</v>
          </cell>
          <cell r="J5173">
            <v>0</v>
          </cell>
        </row>
        <row r="5174">
          <cell r="A5174" t="str">
            <v>CIVLA</v>
          </cell>
          <cell r="J5174">
            <v>0</v>
          </cell>
        </row>
        <row r="5175">
          <cell r="A5175" t="str">
            <v>CIVLA</v>
          </cell>
          <cell r="J5175">
            <v>0</v>
          </cell>
        </row>
        <row r="5176">
          <cell r="A5176" t="str">
            <v>CIVLA</v>
          </cell>
          <cell r="J5176">
            <v>0</v>
          </cell>
        </row>
        <row r="5177">
          <cell r="A5177" t="str">
            <v>CIVLA</v>
          </cell>
          <cell r="J5177">
            <v>0</v>
          </cell>
        </row>
        <row r="5178">
          <cell r="A5178" t="str">
            <v>CIVLA</v>
          </cell>
          <cell r="J5178">
            <v>0</v>
          </cell>
        </row>
        <row r="5179">
          <cell r="A5179" t="str">
            <v>CIVLA</v>
          </cell>
          <cell r="J5179">
            <v>0</v>
          </cell>
        </row>
        <row r="5180">
          <cell r="A5180" t="str">
            <v>CIVLA</v>
          </cell>
          <cell r="J5180">
            <v>0</v>
          </cell>
        </row>
        <row r="5181">
          <cell r="A5181" t="str">
            <v>CIVLA</v>
          </cell>
          <cell r="J5181">
            <v>0</v>
          </cell>
        </row>
        <row r="5182">
          <cell r="A5182" t="str">
            <v>CIVLA</v>
          </cell>
          <cell r="J5182">
            <v>0</v>
          </cell>
        </row>
        <row r="5183">
          <cell r="A5183" t="str">
            <v>CIVLA</v>
          </cell>
          <cell r="J5183">
            <v>0</v>
          </cell>
        </row>
        <row r="5184">
          <cell r="A5184" t="str">
            <v>CIVLA</v>
          </cell>
          <cell r="J5184">
            <v>0</v>
          </cell>
        </row>
        <row r="5185">
          <cell r="A5185" t="str">
            <v>CIVLA</v>
          </cell>
          <cell r="J5185">
            <v>0</v>
          </cell>
        </row>
        <row r="5186">
          <cell r="A5186" t="str">
            <v>CIVLA</v>
          </cell>
          <cell r="J5186">
            <v>0</v>
          </cell>
        </row>
        <row r="5187">
          <cell r="A5187" t="str">
            <v>CIVLA</v>
          </cell>
          <cell r="J5187">
            <v>0</v>
          </cell>
        </row>
        <row r="5188">
          <cell r="A5188" t="str">
            <v>CIVLA</v>
          </cell>
          <cell r="J5188">
            <v>0</v>
          </cell>
        </row>
        <row r="5189">
          <cell r="A5189" t="str">
            <v>CIVLA</v>
          </cell>
          <cell r="J5189">
            <v>0</v>
          </cell>
        </row>
        <row r="5190">
          <cell r="A5190" t="str">
            <v>CIVLA</v>
          </cell>
          <cell r="J5190">
            <v>0</v>
          </cell>
        </row>
        <row r="5191">
          <cell r="A5191" t="str">
            <v>CIVLA</v>
          </cell>
          <cell r="J5191">
            <v>0</v>
          </cell>
        </row>
        <row r="5192">
          <cell r="A5192" t="str">
            <v>CIVLA</v>
          </cell>
          <cell r="J5192">
            <v>0</v>
          </cell>
        </row>
        <row r="5193">
          <cell r="A5193" t="str">
            <v>CIVLA</v>
          </cell>
          <cell r="J5193">
            <v>0</v>
          </cell>
        </row>
        <row r="5194">
          <cell r="A5194" t="str">
            <v>CIVLA</v>
          </cell>
          <cell r="J5194">
            <v>0</v>
          </cell>
        </row>
        <row r="5195">
          <cell r="A5195" t="str">
            <v>CIVLA</v>
          </cell>
          <cell r="J5195">
            <v>0</v>
          </cell>
        </row>
        <row r="5196">
          <cell r="A5196" t="str">
            <v>CIVLA</v>
          </cell>
          <cell r="J5196">
            <v>0</v>
          </cell>
        </row>
        <row r="5197">
          <cell r="A5197" t="str">
            <v>CIVLA</v>
          </cell>
          <cell r="J5197">
            <v>0</v>
          </cell>
        </row>
        <row r="5198">
          <cell r="A5198" t="str">
            <v>CIVLA</v>
          </cell>
          <cell r="J5198">
            <v>0</v>
          </cell>
        </row>
        <row r="5199">
          <cell r="A5199" t="str">
            <v>CIVLA</v>
          </cell>
          <cell r="J5199">
            <v>0</v>
          </cell>
        </row>
        <row r="5200">
          <cell r="A5200" t="str">
            <v>CIVLA</v>
          </cell>
          <cell r="J5200">
            <v>0</v>
          </cell>
        </row>
        <row r="5201">
          <cell r="A5201" t="str">
            <v>CIVLA</v>
          </cell>
          <cell r="J5201">
            <v>0</v>
          </cell>
        </row>
        <row r="5202">
          <cell r="A5202" t="str">
            <v>CIVLA</v>
          </cell>
          <cell r="J5202">
            <v>0</v>
          </cell>
        </row>
        <row r="5203">
          <cell r="A5203" t="str">
            <v>CIVLA</v>
          </cell>
          <cell r="J5203">
            <v>0</v>
          </cell>
        </row>
        <row r="5204">
          <cell r="A5204" t="str">
            <v>CIVLA</v>
          </cell>
          <cell r="J5204">
            <v>0</v>
          </cell>
        </row>
        <row r="5205">
          <cell r="A5205" t="str">
            <v>CIVLA</v>
          </cell>
          <cell r="J5205">
            <v>0</v>
          </cell>
        </row>
        <row r="5206">
          <cell r="A5206" t="str">
            <v>CIVLA</v>
          </cell>
          <cell r="J5206">
            <v>0</v>
          </cell>
        </row>
        <row r="5207">
          <cell r="A5207" t="str">
            <v>CIVLA</v>
          </cell>
          <cell r="J5207">
            <v>0</v>
          </cell>
        </row>
        <row r="5208">
          <cell r="A5208" t="str">
            <v>CIVLA</v>
          </cell>
          <cell r="J5208">
            <v>0</v>
          </cell>
        </row>
        <row r="5209">
          <cell r="A5209" t="str">
            <v>CIVLA</v>
          </cell>
          <cell r="J5209">
            <v>0</v>
          </cell>
        </row>
        <row r="5210">
          <cell r="A5210" t="str">
            <v>CIVLA</v>
          </cell>
          <cell r="J5210">
            <v>0</v>
          </cell>
        </row>
        <row r="5211">
          <cell r="A5211" t="str">
            <v>CIVLA</v>
          </cell>
          <cell r="J5211">
            <v>0</v>
          </cell>
        </row>
        <row r="5212">
          <cell r="A5212" t="str">
            <v>CIVLA</v>
          </cell>
          <cell r="J5212">
            <v>0</v>
          </cell>
        </row>
        <row r="5213">
          <cell r="A5213" t="str">
            <v>CIVLA</v>
          </cell>
          <cell r="J5213">
            <v>0</v>
          </cell>
        </row>
        <row r="5214">
          <cell r="A5214" t="str">
            <v>CIVLA</v>
          </cell>
          <cell r="J5214">
            <v>0</v>
          </cell>
        </row>
        <row r="5215">
          <cell r="A5215" t="str">
            <v>CIVLA</v>
          </cell>
          <cell r="J5215">
            <v>0</v>
          </cell>
        </row>
        <row r="5216">
          <cell r="A5216" t="str">
            <v>CIVLA</v>
          </cell>
          <cell r="J5216">
            <v>0</v>
          </cell>
        </row>
        <row r="5217">
          <cell r="A5217" t="str">
            <v>CIVLA</v>
          </cell>
          <cell r="J5217">
            <v>0</v>
          </cell>
        </row>
        <row r="5218">
          <cell r="A5218" t="str">
            <v>CIVLA</v>
          </cell>
          <cell r="J5218">
            <v>0</v>
          </cell>
        </row>
        <row r="5219">
          <cell r="A5219" t="str">
            <v>CIVLA</v>
          </cell>
          <cell r="J5219">
            <v>0</v>
          </cell>
        </row>
        <row r="5220">
          <cell r="A5220" t="str">
            <v>CIVLA</v>
          </cell>
          <cell r="J5220">
            <v>0</v>
          </cell>
        </row>
        <row r="5221">
          <cell r="A5221" t="str">
            <v>CIVLA</v>
          </cell>
          <cell r="J5221">
            <v>0</v>
          </cell>
        </row>
        <row r="5222">
          <cell r="A5222" t="str">
            <v>CIVLA</v>
          </cell>
          <cell r="J5222">
            <v>0</v>
          </cell>
        </row>
        <row r="5223">
          <cell r="A5223" t="str">
            <v>CIVLA</v>
          </cell>
          <cell r="J5223">
            <v>0</v>
          </cell>
        </row>
        <row r="5224">
          <cell r="A5224" t="str">
            <v>CIVLA</v>
          </cell>
          <cell r="J5224">
            <v>0</v>
          </cell>
        </row>
        <row r="5225">
          <cell r="A5225" t="str">
            <v>CIVLA</v>
          </cell>
          <cell r="J5225">
            <v>0</v>
          </cell>
        </row>
        <row r="5226">
          <cell r="A5226" t="str">
            <v>CIVLA</v>
          </cell>
          <cell r="J5226">
            <v>0</v>
          </cell>
        </row>
        <row r="5227">
          <cell r="A5227" t="str">
            <v>CIVLA</v>
          </cell>
          <cell r="J5227">
            <v>0</v>
          </cell>
        </row>
        <row r="5228">
          <cell r="A5228" t="str">
            <v>CIVLA</v>
          </cell>
          <cell r="J5228">
            <v>0</v>
          </cell>
        </row>
        <row r="5229">
          <cell r="A5229" t="str">
            <v>CIVLA</v>
          </cell>
          <cell r="J5229">
            <v>0</v>
          </cell>
        </row>
        <row r="5230">
          <cell r="A5230" t="str">
            <v>CIVLA</v>
          </cell>
          <cell r="J5230">
            <v>0</v>
          </cell>
        </row>
        <row r="5231">
          <cell r="A5231" t="str">
            <v>CIVLA</v>
          </cell>
          <cell r="J5231">
            <v>0</v>
          </cell>
        </row>
        <row r="5232">
          <cell r="A5232" t="str">
            <v>CIVLA</v>
          </cell>
          <cell r="J5232">
            <v>0</v>
          </cell>
        </row>
        <row r="5233">
          <cell r="A5233" t="str">
            <v>CIVLA</v>
          </cell>
          <cell r="J5233">
            <v>0</v>
          </cell>
        </row>
        <row r="5234">
          <cell r="A5234" t="str">
            <v>CIVLA</v>
          </cell>
          <cell r="J5234">
            <v>0</v>
          </cell>
        </row>
        <row r="5235">
          <cell r="A5235" t="str">
            <v>CIVLA</v>
          </cell>
          <cell r="J5235">
            <v>0</v>
          </cell>
        </row>
        <row r="5236">
          <cell r="A5236" t="str">
            <v>CIVLA</v>
          </cell>
          <cell r="J5236">
            <v>0</v>
          </cell>
        </row>
        <row r="5237">
          <cell r="A5237" t="str">
            <v>CIVLA</v>
          </cell>
          <cell r="J5237">
            <v>0</v>
          </cell>
        </row>
        <row r="5238">
          <cell r="A5238" t="str">
            <v>CIVLA</v>
          </cell>
          <cell r="J5238">
            <v>0</v>
          </cell>
        </row>
        <row r="5239">
          <cell r="A5239" t="str">
            <v>CIVLA</v>
          </cell>
          <cell r="J5239">
            <v>0</v>
          </cell>
        </row>
        <row r="5240">
          <cell r="A5240" t="str">
            <v>CIVLA</v>
          </cell>
          <cell r="J5240">
            <v>0</v>
          </cell>
        </row>
        <row r="5241">
          <cell r="A5241" t="str">
            <v>CIVLA</v>
          </cell>
          <cell r="J5241">
            <v>0</v>
          </cell>
        </row>
        <row r="5242">
          <cell r="A5242" t="str">
            <v>CIVLA</v>
          </cell>
          <cell r="J5242">
            <v>0</v>
          </cell>
        </row>
        <row r="5243">
          <cell r="A5243" t="str">
            <v>CIVLA</v>
          </cell>
          <cell r="J5243">
            <v>0</v>
          </cell>
        </row>
        <row r="5244">
          <cell r="A5244" t="str">
            <v>CIVLA</v>
          </cell>
          <cell r="J5244">
            <v>0</v>
          </cell>
        </row>
        <row r="5245">
          <cell r="A5245" t="str">
            <v>CIVLA</v>
          </cell>
          <cell r="J5245">
            <v>0</v>
          </cell>
        </row>
        <row r="5246">
          <cell r="A5246" t="str">
            <v>CIVLA</v>
          </cell>
          <cell r="J5246">
            <v>0</v>
          </cell>
        </row>
        <row r="5247">
          <cell r="A5247" t="str">
            <v>CIVLA</v>
          </cell>
          <cell r="J5247">
            <v>0</v>
          </cell>
        </row>
        <row r="5248">
          <cell r="A5248" t="str">
            <v>CIVLA</v>
          </cell>
          <cell r="J5248">
            <v>0</v>
          </cell>
        </row>
        <row r="5249">
          <cell r="A5249" t="str">
            <v>CIVLA</v>
          </cell>
          <cell r="J5249">
            <v>0</v>
          </cell>
        </row>
        <row r="5250">
          <cell r="A5250" t="str">
            <v>CIVLA</v>
          </cell>
          <cell r="J5250">
            <v>0</v>
          </cell>
        </row>
        <row r="5251">
          <cell r="A5251" t="str">
            <v>CIVLA</v>
          </cell>
          <cell r="J5251">
            <v>0</v>
          </cell>
        </row>
        <row r="5252">
          <cell r="A5252" t="str">
            <v>CIVLA</v>
          </cell>
          <cell r="J5252">
            <v>0</v>
          </cell>
        </row>
        <row r="5253">
          <cell r="A5253" t="str">
            <v>CIVLA</v>
          </cell>
          <cell r="J5253">
            <v>0</v>
          </cell>
        </row>
        <row r="5254">
          <cell r="A5254" t="str">
            <v>CIVLA</v>
          </cell>
          <cell r="J5254">
            <v>0</v>
          </cell>
        </row>
        <row r="5255">
          <cell r="A5255" t="str">
            <v>CIVLA</v>
          </cell>
          <cell r="J5255">
            <v>0</v>
          </cell>
        </row>
        <row r="5256">
          <cell r="A5256" t="str">
            <v>CIVLA</v>
          </cell>
          <cell r="J5256">
            <v>0</v>
          </cell>
        </row>
        <row r="5257">
          <cell r="A5257" t="str">
            <v>CIVLA</v>
          </cell>
          <cell r="J5257">
            <v>0</v>
          </cell>
        </row>
        <row r="5258">
          <cell r="A5258" t="str">
            <v>CIVLA</v>
          </cell>
          <cell r="J5258">
            <v>0</v>
          </cell>
        </row>
        <row r="5259">
          <cell r="A5259" t="str">
            <v>CIVLA</v>
          </cell>
          <cell r="J5259">
            <v>0</v>
          </cell>
        </row>
        <row r="5260">
          <cell r="A5260" t="str">
            <v>CIVLA</v>
          </cell>
          <cell r="J5260">
            <v>0</v>
          </cell>
        </row>
        <row r="5261">
          <cell r="A5261" t="str">
            <v>CIVLA</v>
          </cell>
          <cell r="J5261">
            <v>0</v>
          </cell>
        </row>
        <row r="5262">
          <cell r="A5262" t="str">
            <v>CIVLA</v>
          </cell>
          <cell r="J5262">
            <v>0</v>
          </cell>
        </row>
        <row r="5263">
          <cell r="A5263" t="str">
            <v>CIVLA</v>
          </cell>
          <cell r="J5263">
            <v>0</v>
          </cell>
        </row>
        <row r="5264">
          <cell r="A5264" t="str">
            <v>CIVLA</v>
          </cell>
          <cell r="J5264">
            <v>0</v>
          </cell>
        </row>
        <row r="5265">
          <cell r="A5265" t="str">
            <v>CIVLA</v>
          </cell>
          <cell r="J5265">
            <v>0</v>
          </cell>
        </row>
        <row r="5266">
          <cell r="A5266" t="str">
            <v>CIVLA</v>
          </cell>
          <cell r="J5266">
            <v>0</v>
          </cell>
        </row>
        <row r="5267">
          <cell r="A5267" t="str">
            <v>CIVLA</v>
          </cell>
          <cell r="J5267">
            <v>0</v>
          </cell>
        </row>
        <row r="5268">
          <cell r="A5268" t="str">
            <v>CIVLA</v>
          </cell>
          <cell r="J5268">
            <v>0</v>
          </cell>
        </row>
        <row r="5269">
          <cell r="A5269" t="str">
            <v>CIVLA</v>
          </cell>
          <cell r="J5269">
            <v>0</v>
          </cell>
        </row>
        <row r="5270">
          <cell r="A5270" t="str">
            <v>CIVLA</v>
          </cell>
          <cell r="J5270">
            <v>0</v>
          </cell>
        </row>
        <row r="5271">
          <cell r="A5271" t="str">
            <v>CIVLA</v>
          </cell>
          <cell r="J5271">
            <v>0</v>
          </cell>
        </row>
        <row r="5272">
          <cell r="A5272" t="str">
            <v>CIVLA</v>
          </cell>
          <cell r="J5272">
            <v>0</v>
          </cell>
        </row>
        <row r="5273">
          <cell r="A5273" t="str">
            <v>CIVLA</v>
          </cell>
          <cell r="J5273">
            <v>0</v>
          </cell>
        </row>
        <row r="5274">
          <cell r="A5274" t="str">
            <v>CIVLA</v>
          </cell>
          <cell r="J5274">
            <v>0</v>
          </cell>
        </row>
        <row r="5275">
          <cell r="A5275" t="str">
            <v>CIVLA</v>
          </cell>
          <cell r="J5275">
            <v>0</v>
          </cell>
        </row>
        <row r="5276">
          <cell r="A5276" t="str">
            <v>CIVLA</v>
          </cell>
          <cell r="J5276">
            <v>0</v>
          </cell>
        </row>
        <row r="5277">
          <cell r="A5277" t="str">
            <v>CIVLA</v>
          </cell>
          <cell r="J5277">
            <v>0</v>
          </cell>
        </row>
        <row r="5278">
          <cell r="A5278" t="str">
            <v>CIVLA</v>
          </cell>
          <cell r="J5278">
            <v>0</v>
          </cell>
        </row>
        <row r="5279">
          <cell r="A5279" t="str">
            <v>CIVLA</v>
          </cell>
          <cell r="J5279">
            <v>0</v>
          </cell>
        </row>
        <row r="5280">
          <cell r="A5280" t="str">
            <v>CIVLA</v>
          </cell>
          <cell r="J5280">
            <v>0</v>
          </cell>
        </row>
        <row r="5281">
          <cell r="A5281" t="str">
            <v>CIVLA</v>
          </cell>
          <cell r="J5281">
            <v>0</v>
          </cell>
        </row>
        <row r="5282">
          <cell r="A5282" t="str">
            <v>CIVLA</v>
          </cell>
          <cell r="J5282">
            <v>0</v>
          </cell>
        </row>
        <row r="5283">
          <cell r="A5283" t="str">
            <v>CIVLA</v>
          </cell>
          <cell r="J5283">
            <v>0</v>
          </cell>
        </row>
        <row r="5284">
          <cell r="A5284" t="str">
            <v>CIVLA</v>
          </cell>
          <cell r="J5284">
            <v>0</v>
          </cell>
        </row>
        <row r="5285">
          <cell r="A5285" t="str">
            <v>CIVLA</v>
          </cell>
          <cell r="J5285">
            <v>0</v>
          </cell>
        </row>
        <row r="5286">
          <cell r="A5286" t="str">
            <v>CIVLA</v>
          </cell>
          <cell r="J5286">
            <v>0</v>
          </cell>
        </row>
        <row r="5287">
          <cell r="A5287" t="str">
            <v>CIVLA</v>
          </cell>
          <cell r="J5287">
            <v>0</v>
          </cell>
        </row>
        <row r="5288">
          <cell r="A5288" t="str">
            <v>CIVLA</v>
          </cell>
          <cell r="J5288">
            <v>0</v>
          </cell>
        </row>
        <row r="5289">
          <cell r="A5289" t="str">
            <v>CIVLA</v>
          </cell>
          <cell r="J5289">
            <v>0</v>
          </cell>
        </row>
        <row r="5290">
          <cell r="A5290" t="str">
            <v>CIVLA</v>
          </cell>
          <cell r="J5290">
            <v>0</v>
          </cell>
        </row>
        <row r="5291">
          <cell r="A5291" t="str">
            <v>CIVLA</v>
          </cell>
          <cell r="J5291">
            <v>0</v>
          </cell>
        </row>
        <row r="5292">
          <cell r="A5292" t="str">
            <v>CIVLA</v>
          </cell>
          <cell r="J5292">
            <v>0</v>
          </cell>
        </row>
        <row r="5293">
          <cell r="A5293" t="str">
            <v>CIVLA</v>
          </cell>
          <cell r="J5293">
            <v>0</v>
          </cell>
        </row>
        <row r="5294">
          <cell r="A5294" t="str">
            <v>CIVLA</v>
          </cell>
          <cell r="J5294">
            <v>0</v>
          </cell>
        </row>
        <row r="5295">
          <cell r="A5295" t="str">
            <v>CIVLA</v>
          </cell>
          <cell r="J5295">
            <v>0</v>
          </cell>
        </row>
        <row r="5296">
          <cell r="A5296" t="str">
            <v>CIVLA</v>
          </cell>
          <cell r="J5296">
            <v>0</v>
          </cell>
        </row>
        <row r="5297">
          <cell r="A5297" t="str">
            <v>CIVLA</v>
          </cell>
          <cell r="J5297">
            <v>0</v>
          </cell>
        </row>
        <row r="5298">
          <cell r="A5298" t="str">
            <v>CIVLA</v>
          </cell>
          <cell r="J5298">
            <v>0</v>
          </cell>
        </row>
        <row r="5299">
          <cell r="A5299" t="str">
            <v>CIVLA</v>
          </cell>
          <cell r="J5299">
            <v>0</v>
          </cell>
        </row>
        <row r="5300">
          <cell r="A5300" t="str">
            <v>CIVLA</v>
          </cell>
          <cell r="J5300">
            <v>0</v>
          </cell>
        </row>
        <row r="5301">
          <cell r="A5301" t="str">
            <v>CIVLA</v>
          </cell>
          <cell r="J5301">
            <v>0</v>
          </cell>
        </row>
        <row r="5302">
          <cell r="A5302" t="str">
            <v>CIVLA</v>
          </cell>
          <cell r="J5302">
            <v>0</v>
          </cell>
        </row>
        <row r="5303">
          <cell r="A5303" t="str">
            <v>CIVLA</v>
          </cell>
          <cell r="J5303">
            <v>0</v>
          </cell>
        </row>
        <row r="5304">
          <cell r="A5304" t="str">
            <v>CIVLA</v>
          </cell>
          <cell r="J5304">
            <v>0</v>
          </cell>
        </row>
        <row r="5305">
          <cell r="A5305" t="str">
            <v>CIVLA</v>
          </cell>
          <cell r="J5305">
            <v>0</v>
          </cell>
        </row>
        <row r="5306">
          <cell r="A5306" t="str">
            <v>CIVLA</v>
          </cell>
          <cell r="J5306">
            <v>0</v>
          </cell>
        </row>
        <row r="5307">
          <cell r="A5307" t="str">
            <v>CIVLA</v>
          </cell>
          <cell r="J5307">
            <v>0</v>
          </cell>
        </row>
        <row r="5308">
          <cell r="A5308" t="str">
            <v>CIVLA</v>
          </cell>
          <cell r="J5308">
            <v>0</v>
          </cell>
        </row>
        <row r="5309">
          <cell r="A5309" t="str">
            <v>CIVLA</v>
          </cell>
          <cell r="J5309">
            <v>0</v>
          </cell>
        </row>
        <row r="5310">
          <cell r="A5310" t="str">
            <v>CIVLA</v>
          </cell>
          <cell r="J5310">
            <v>0</v>
          </cell>
        </row>
        <row r="5311">
          <cell r="A5311" t="str">
            <v>CIVLA</v>
          </cell>
          <cell r="J5311">
            <v>0</v>
          </cell>
        </row>
        <row r="5312">
          <cell r="A5312" t="str">
            <v>CIVLA</v>
          </cell>
          <cell r="J5312">
            <v>0</v>
          </cell>
        </row>
        <row r="5313">
          <cell r="A5313" t="str">
            <v>CIVLA</v>
          </cell>
          <cell r="J5313">
            <v>0</v>
          </cell>
        </row>
        <row r="5314">
          <cell r="A5314" t="str">
            <v>CIVLA</v>
          </cell>
          <cell r="J5314">
            <v>0</v>
          </cell>
        </row>
        <row r="5315">
          <cell r="A5315" t="str">
            <v>CIVLA</v>
          </cell>
          <cell r="J5315">
            <v>0</v>
          </cell>
        </row>
        <row r="5316">
          <cell r="A5316" t="str">
            <v>CIVLA</v>
          </cell>
          <cell r="J5316">
            <v>0</v>
          </cell>
        </row>
        <row r="5317">
          <cell r="A5317" t="str">
            <v>CIVLA</v>
          </cell>
          <cell r="J5317">
            <v>0</v>
          </cell>
        </row>
        <row r="5318">
          <cell r="A5318" t="str">
            <v>CIVLA</v>
          </cell>
          <cell r="J5318">
            <v>0</v>
          </cell>
        </row>
        <row r="5319">
          <cell r="A5319" t="str">
            <v>CIVLA</v>
          </cell>
          <cell r="J5319">
            <v>0</v>
          </cell>
        </row>
        <row r="5320">
          <cell r="A5320" t="str">
            <v>CIVLA</v>
          </cell>
          <cell r="J5320">
            <v>0</v>
          </cell>
        </row>
        <row r="5321">
          <cell r="A5321" t="str">
            <v>CIVLA</v>
          </cell>
          <cell r="J5321">
            <v>0</v>
          </cell>
        </row>
        <row r="5322">
          <cell r="A5322" t="str">
            <v>CIVLA</v>
          </cell>
          <cell r="J5322">
            <v>0</v>
          </cell>
        </row>
        <row r="5323">
          <cell r="A5323" t="str">
            <v>CIVLA</v>
          </cell>
          <cell r="J5323">
            <v>0</v>
          </cell>
        </row>
        <row r="5324">
          <cell r="A5324" t="str">
            <v>CIVLA</v>
          </cell>
          <cell r="J5324">
            <v>0</v>
          </cell>
        </row>
        <row r="5325">
          <cell r="A5325" t="str">
            <v>CIVLA</v>
          </cell>
          <cell r="J5325">
            <v>0</v>
          </cell>
        </row>
        <row r="5326">
          <cell r="A5326" t="str">
            <v>CIVLA</v>
          </cell>
          <cell r="J5326">
            <v>0</v>
          </cell>
        </row>
        <row r="5327">
          <cell r="A5327" t="str">
            <v>CIVLA</v>
          </cell>
          <cell r="J5327">
            <v>0</v>
          </cell>
        </row>
        <row r="5328">
          <cell r="A5328" t="str">
            <v>CIVLA</v>
          </cell>
          <cell r="J5328">
            <v>0</v>
          </cell>
        </row>
        <row r="5329">
          <cell r="A5329" t="str">
            <v>CIVLA</v>
          </cell>
          <cell r="J5329">
            <v>0</v>
          </cell>
        </row>
        <row r="5330">
          <cell r="A5330" t="str">
            <v>CIVLA</v>
          </cell>
          <cell r="J5330">
            <v>0</v>
          </cell>
        </row>
        <row r="5331">
          <cell r="A5331" t="str">
            <v>CIVLA</v>
          </cell>
          <cell r="J5331">
            <v>0</v>
          </cell>
        </row>
        <row r="5332">
          <cell r="A5332" t="str">
            <v>CIVLA</v>
          </cell>
          <cell r="J5332">
            <v>0</v>
          </cell>
        </row>
        <row r="5333">
          <cell r="A5333" t="str">
            <v>CIVLA</v>
          </cell>
          <cell r="J5333">
            <v>0</v>
          </cell>
        </row>
        <row r="5334">
          <cell r="A5334" t="str">
            <v>CIVLA</v>
          </cell>
          <cell r="J5334">
            <v>0</v>
          </cell>
        </row>
        <row r="5335">
          <cell r="A5335" t="str">
            <v>CIVLA</v>
          </cell>
          <cell r="J5335">
            <v>0</v>
          </cell>
        </row>
        <row r="5336">
          <cell r="A5336" t="str">
            <v>CIVLA</v>
          </cell>
          <cell r="J5336">
            <v>0</v>
          </cell>
        </row>
        <row r="5337">
          <cell r="A5337" t="str">
            <v>CIVLA</v>
          </cell>
          <cell r="J5337">
            <v>0</v>
          </cell>
        </row>
        <row r="5338">
          <cell r="A5338" t="str">
            <v>CIVLA</v>
          </cell>
          <cell r="J5338">
            <v>0</v>
          </cell>
        </row>
        <row r="5339">
          <cell r="A5339" t="str">
            <v>CIVLA</v>
          </cell>
          <cell r="J5339">
            <v>0</v>
          </cell>
        </row>
        <row r="5340">
          <cell r="A5340" t="str">
            <v>CIVLA</v>
          </cell>
          <cell r="J5340">
            <v>0</v>
          </cell>
        </row>
        <row r="5341">
          <cell r="A5341" t="str">
            <v>CIVLA</v>
          </cell>
          <cell r="J5341">
            <v>0</v>
          </cell>
        </row>
        <row r="5342">
          <cell r="A5342" t="str">
            <v>CIVLA</v>
          </cell>
          <cell r="J5342">
            <v>0</v>
          </cell>
        </row>
        <row r="5343">
          <cell r="A5343" t="str">
            <v>CIVLA</v>
          </cell>
          <cell r="J5343">
            <v>0</v>
          </cell>
        </row>
        <row r="5344">
          <cell r="A5344" t="str">
            <v>CIVLA</v>
          </cell>
          <cell r="J5344">
            <v>0</v>
          </cell>
        </row>
        <row r="5345">
          <cell r="A5345" t="str">
            <v>CIVLA</v>
          </cell>
          <cell r="J5345">
            <v>0</v>
          </cell>
        </row>
        <row r="5346">
          <cell r="A5346" t="str">
            <v>CIVLA</v>
          </cell>
          <cell r="J5346">
            <v>0</v>
          </cell>
        </row>
        <row r="5347">
          <cell r="A5347" t="str">
            <v>CIVLA</v>
          </cell>
          <cell r="J5347">
            <v>0</v>
          </cell>
        </row>
        <row r="5348">
          <cell r="A5348" t="str">
            <v>CIVLA</v>
          </cell>
          <cell r="J5348">
            <v>0</v>
          </cell>
        </row>
        <row r="5349">
          <cell r="A5349" t="str">
            <v>CIVLA</v>
          </cell>
          <cell r="J5349">
            <v>0</v>
          </cell>
        </row>
        <row r="5350">
          <cell r="A5350" t="str">
            <v>CIVLA</v>
          </cell>
          <cell r="J5350">
            <v>0</v>
          </cell>
        </row>
        <row r="5351">
          <cell r="A5351" t="str">
            <v>CIVLA</v>
          </cell>
          <cell r="J5351">
            <v>0</v>
          </cell>
        </row>
        <row r="5352">
          <cell r="A5352" t="str">
            <v>CIVLA</v>
          </cell>
          <cell r="J5352">
            <v>0</v>
          </cell>
        </row>
        <row r="5353">
          <cell r="A5353" t="str">
            <v>CIVLA</v>
          </cell>
          <cell r="J5353">
            <v>0</v>
          </cell>
        </row>
        <row r="5354">
          <cell r="A5354" t="str">
            <v>CIVLA</v>
          </cell>
          <cell r="J5354">
            <v>0</v>
          </cell>
        </row>
        <row r="5355">
          <cell r="A5355" t="str">
            <v>CIVLA</v>
          </cell>
          <cell r="J5355">
            <v>0</v>
          </cell>
        </row>
        <row r="5356">
          <cell r="A5356" t="str">
            <v>CIVLA</v>
          </cell>
          <cell r="J5356">
            <v>0</v>
          </cell>
        </row>
        <row r="5357">
          <cell r="A5357" t="str">
            <v>CIVLA</v>
          </cell>
          <cell r="J5357">
            <v>0</v>
          </cell>
        </row>
        <row r="5358">
          <cell r="A5358" t="str">
            <v>CIVLA</v>
          </cell>
          <cell r="J5358">
            <v>0</v>
          </cell>
        </row>
        <row r="5359">
          <cell r="A5359" t="str">
            <v>CIVLA</v>
          </cell>
          <cell r="J5359">
            <v>0</v>
          </cell>
        </row>
        <row r="5360">
          <cell r="A5360" t="str">
            <v>CIVLA</v>
          </cell>
          <cell r="J5360">
            <v>0</v>
          </cell>
        </row>
        <row r="5361">
          <cell r="A5361" t="str">
            <v>CIVLA</v>
          </cell>
          <cell r="J5361">
            <v>0</v>
          </cell>
        </row>
        <row r="5362">
          <cell r="A5362" t="str">
            <v>CIVLA</v>
          </cell>
          <cell r="J5362">
            <v>0</v>
          </cell>
        </row>
        <row r="5363">
          <cell r="A5363" t="str">
            <v>CIVLA</v>
          </cell>
          <cell r="J5363">
            <v>0</v>
          </cell>
        </row>
        <row r="5364">
          <cell r="A5364" t="str">
            <v>CIVLA</v>
          </cell>
          <cell r="J5364">
            <v>0</v>
          </cell>
        </row>
        <row r="5365">
          <cell r="A5365" t="str">
            <v>CIVLA</v>
          </cell>
          <cell r="J5365">
            <v>0</v>
          </cell>
        </row>
        <row r="5366">
          <cell r="A5366" t="str">
            <v>CIVLA</v>
          </cell>
          <cell r="J5366">
            <v>0</v>
          </cell>
        </row>
        <row r="5367">
          <cell r="A5367" t="str">
            <v>CIVLA</v>
          </cell>
          <cell r="J5367">
            <v>0</v>
          </cell>
        </row>
        <row r="5368">
          <cell r="A5368" t="str">
            <v>CIVLA</v>
          </cell>
          <cell r="J5368">
            <v>0</v>
          </cell>
        </row>
        <row r="5369">
          <cell r="A5369" t="str">
            <v>CIVLA</v>
          </cell>
          <cell r="J5369">
            <v>0</v>
          </cell>
        </row>
        <row r="5370">
          <cell r="A5370" t="str">
            <v>CIVLA</v>
          </cell>
          <cell r="J5370">
            <v>0</v>
          </cell>
        </row>
        <row r="5371">
          <cell r="A5371" t="str">
            <v>CIVLA</v>
          </cell>
          <cell r="J5371">
            <v>0</v>
          </cell>
        </row>
        <row r="5372">
          <cell r="A5372" t="str">
            <v>CIVLA</v>
          </cell>
          <cell r="J5372">
            <v>0</v>
          </cell>
        </row>
        <row r="5373">
          <cell r="A5373" t="str">
            <v>CIVLA</v>
          </cell>
          <cell r="J5373">
            <v>0</v>
          </cell>
        </row>
        <row r="5374">
          <cell r="A5374" t="str">
            <v>CIVLA</v>
          </cell>
          <cell r="J5374">
            <v>0</v>
          </cell>
        </row>
        <row r="5375">
          <cell r="A5375" t="str">
            <v>CIVLA</v>
          </cell>
          <cell r="J5375">
            <v>0</v>
          </cell>
        </row>
        <row r="5376">
          <cell r="A5376" t="str">
            <v>CIVLA</v>
          </cell>
          <cell r="J5376">
            <v>0</v>
          </cell>
        </row>
        <row r="5377">
          <cell r="A5377" t="str">
            <v>CIVLA</v>
          </cell>
          <cell r="J5377">
            <v>0</v>
          </cell>
        </row>
        <row r="5378">
          <cell r="A5378" t="str">
            <v>CIVLA</v>
          </cell>
          <cell r="J5378">
            <v>0</v>
          </cell>
        </row>
        <row r="5379">
          <cell r="A5379" t="str">
            <v>CIVLA</v>
          </cell>
          <cell r="J5379">
            <v>0</v>
          </cell>
        </row>
        <row r="5380">
          <cell r="A5380" t="str">
            <v>CIVLA</v>
          </cell>
          <cell r="J5380">
            <v>0</v>
          </cell>
        </row>
        <row r="5381">
          <cell r="A5381" t="str">
            <v>CIVLA</v>
          </cell>
          <cell r="J5381">
            <v>0</v>
          </cell>
        </row>
        <row r="5382">
          <cell r="A5382" t="str">
            <v>CIVLA</v>
          </cell>
          <cell r="J5382">
            <v>0</v>
          </cell>
        </row>
        <row r="5383">
          <cell r="A5383" t="str">
            <v>CIVLA</v>
          </cell>
          <cell r="J5383">
            <v>0</v>
          </cell>
        </row>
        <row r="5384">
          <cell r="A5384" t="str">
            <v>CIVLA</v>
          </cell>
          <cell r="J5384">
            <v>0</v>
          </cell>
        </row>
        <row r="5385">
          <cell r="A5385" t="str">
            <v>CIVLA</v>
          </cell>
          <cell r="J5385">
            <v>0</v>
          </cell>
        </row>
        <row r="5386">
          <cell r="A5386" t="str">
            <v>CIVLA</v>
          </cell>
          <cell r="J5386">
            <v>0</v>
          </cell>
        </row>
        <row r="5387">
          <cell r="A5387" t="str">
            <v>CIVLA</v>
          </cell>
          <cell r="J5387">
            <v>0</v>
          </cell>
        </row>
        <row r="5388">
          <cell r="A5388" t="str">
            <v>CIVLA</v>
          </cell>
          <cell r="J5388">
            <v>0</v>
          </cell>
        </row>
        <row r="5389">
          <cell r="A5389" t="str">
            <v>CIVLA</v>
          </cell>
          <cell r="J5389">
            <v>0</v>
          </cell>
        </row>
        <row r="5390">
          <cell r="A5390" t="str">
            <v>CIVLA</v>
          </cell>
          <cell r="J5390">
            <v>0</v>
          </cell>
        </row>
        <row r="5391">
          <cell r="A5391" t="str">
            <v>CIVLA</v>
          </cell>
          <cell r="J5391">
            <v>0</v>
          </cell>
        </row>
        <row r="5392">
          <cell r="A5392" t="str">
            <v>CIVLA</v>
          </cell>
          <cell r="J5392">
            <v>0</v>
          </cell>
        </row>
        <row r="5393">
          <cell r="A5393" t="str">
            <v>CIVLA</v>
          </cell>
          <cell r="J5393">
            <v>0</v>
          </cell>
        </row>
        <row r="5394">
          <cell r="A5394" t="str">
            <v>CIVLA</v>
          </cell>
          <cell r="J5394">
            <v>0</v>
          </cell>
        </row>
        <row r="5395">
          <cell r="A5395" t="str">
            <v>CIVLA</v>
          </cell>
          <cell r="J5395">
            <v>0</v>
          </cell>
        </row>
        <row r="5396">
          <cell r="A5396" t="str">
            <v>CIVLA</v>
          </cell>
          <cell r="J5396">
            <v>0</v>
          </cell>
        </row>
        <row r="5397">
          <cell r="A5397" t="str">
            <v>CIVLA</v>
          </cell>
          <cell r="J5397">
            <v>0</v>
          </cell>
        </row>
        <row r="5398">
          <cell r="A5398" t="str">
            <v>CIVLA</v>
          </cell>
          <cell r="J5398">
            <v>0</v>
          </cell>
        </row>
        <row r="5399">
          <cell r="A5399" t="str">
            <v>CIVLA</v>
          </cell>
          <cell r="J5399">
            <v>0</v>
          </cell>
        </row>
        <row r="5400">
          <cell r="A5400" t="str">
            <v>CIVLA</v>
          </cell>
          <cell r="J5400">
            <v>0</v>
          </cell>
        </row>
        <row r="5401">
          <cell r="A5401" t="str">
            <v>CIVLA</v>
          </cell>
          <cell r="J5401">
            <v>0</v>
          </cell>
        </row>
        <row r="5402">
          <cell r="A5402" t="str">
            <v>CIVLA</v>
          </cell>
          <cell r="J5402">
            <v>0</v>
          </cell>
        </row>
        <row r="5403">
          <cell r="A5403" t="str">
            <v>CIVLA</v>
          </cell>
          <cell r="J5403">
            <v>0</v>
          </cell>
        </row>
        <row r="5404">
          <cell r="A5404" t="str">
            <v>CIVLA</v>
          </cell>
          <cell r="J5404">
            <v>0</v>
          </cell>
        </row>
        <row r="5405">
          <cell r="A5405" t="str">
            <v>CIVLA</v>
          </cell>
          <cell r="J5405">
            <v>0</v>
          </cell>
        </row>
        <row r="5406">
          <cell r="A5406" t="str">
            <v>CIVLA</v>
          </cell>
          <cell r="J5406">
            <v>0</v>
          </cell>
        </row>
        <row r="5407">
          <cell r="A5407" t="str">
            <v>CIVLA</v>
          </cell>
          <cell r="J5407">
            <v>0</v>
          </cell>
        </row>
        <row r="5408">
          <cell r="A5408" t="str">
            <v>CIVLA</v>
          </cell>
          <cell r="J5408">
            <v>0</v>
          </cell>
        </row>
        <row r="5409">
          <cell r="A5409" t="str">
            <v>CIVLA</v>
          </cell>
          <cell r="J5409">
            <v>0</v>
          </cell>
        </row>
        <row r="5410">
          <cell r="A5410" t="str">
            <v>CIVLA</v>
          </cell>
          <cell r="J5410">
            <v>0</v>
          </cell>
        </row>
        <row r="5411">
          <cell r="A5411" t="str">
            <v>CIVLA</v>
          </cell>
          <cell r="J5411">
            <v>0</v>
          </cell>
        </row>
        <row r="5412">
          <cell r="A5412" t="str">
            <v>CIVLA</v>
          </cell>
          <cell r="J5412">
            <v>0</v>
          </cell>
        </row>
        <row r="5413">
          <cell r="A5413" t="str">
            <v>CIVLA</v>
          </cell>
          <cell r="J5413">
            <v>0</v>
          </cell>
        </row>
        <row r="5414">
          <cell r="A5414" t="str">
            <v>CIVLA</v>
          </cell>
          <cell r="J5414">
            <v>0</v>
          </cell>
        </row>
        <row r="5415">
          <cell r="A5415" t="str">
            <v>CIVLA</v>
          </cell>
          <cell r="J5415">
            <v>0</v>
          </cell>
        </row>
        <row r="5416">
          <cell r="A5416" t="str">
            <v>CIVLA</v>
          </cell>
          <cell r="J5416">
            <v>0</v>
          </cell>
        </row>
        <row r="5417">
          <cell r="A5417" t="str">
            <v>CIVLA</v>
          </cell>
          <cell r="J5417">
            <v>0</v>
          </cell>
        </row>
        <row r="5418">
          <cell r="A5418" t="str">
            <v>CIVLA</v>
          </cell>
          <cell r="J5418">
            <v>0</v>
          </cell>
        </row>
        <row r="5419">
          <cell r="A5419" t="str">
            <v>CIVLA</v>
          </cell>
          <cell r="J5419">
            <v>0</v>
          </cell>
        </row>
        <row r="5420">
          <cell r="A5420" t="str">
            <v>CIVLA</v>
          </cell>
          <cell r="J5420">
            <v>0</v>
          </cell>
        </row>
        <row r="5421">
          <cell r="A5421" t="str">
            <v>CIVLA</v>
          </cell>
          <cell r="J5421">
            <v>0</v>
          </cell>
        </row>
        <row r="5422">
          <cell r="A5422" t="str">
            <v>CIVLA</v>
          </cell>
          <cell r="J5422">
            <v>0</v>
          </cell>
        </row>
        <row r="5423">
          <cell r="A5423" t="str">
            <v>CIVLA</v>
          </cell>
          <cell r="J5423">
            <v>0</v>
          </cell>
        </row>
        <row r="5424">
          <cell r="A5424" t="str">
            <v>CIVLA</v>
          </cell>
          <cell r="J5424">
            <v>0</v>
          </cell>
        </row>
        <row r="5425">
          <cell r="A5425" t="str">
            <v>CIVLA</v>
          </cell>
          <cell r="J5425">
            <v>0</v>
          </cell>
        </row>
        <row r="5426">
          <cell r="A5426" t="str">
            <v>CIVLA</v>
          </cell>
          <cell r="J5426">
            <v>0</v>
          </cell>
        </row>
        <row r="5427">
          <cell r="A5427" t="str">
            <v>CIVLA</v>
          </cell>
          <cell r="J5427">
            <v>0</v>
          </cell>
        </row>
        <row r="5428">
          <cell r="A5428" t="str">
            <v>CIVLA</v>
          </cell>
          <cell r="J5428">
            <v>0</v>
          </cell>
        </row>
        <row r="5429">
          <cell r="A5429" t="str">
            <v>CIVLA</v>
          </cell>
          <cell r="J5429">
            <v>0</v>
          </cell>
        </row>
        <row r="5430">
          <cell r="A5430" t="str">
            <v>CIVLA</v>
          </cell>
          <cell r="J5430">
            <v>0</v>
          </cell>
        </row>
        <row r="5431">
          <cell r="A5431" t="str">
            <v>CIVLA</v>
          </cell>
          <cell r="J5431">
            <v>0</v>
          </cell>
        </row>
        <row r="5432">
          <cell r="A5432" t="str">
            <v>CIVLA</v>
          </cell>
          <cell r="J5432">
            <v>0</v>
          </cell>
        </row>
        <row r="5433">
          <cell r="A5433" t="str">
            <v>CIVLA</v>
          </cell>
          <cell r="J5433">
            <v>0</v>
          </cell>
        </row>
        <row r="5434">
          <cell r="A5434" t="str">
            <v>CIVLA</v>
          </cell>
          <cell r="J5434">
            <v>0</v>
          </cell>
        </row>
        <row r="5435">
          <cell r="A5435" t="str">
            <v>CIVLA</v>
          </cell>
          <cell r="J5435">
            <v>0</v>
          </cell>
        </row>
        <row r="5436">
          <cell r="A5436" t="str">
            <v>CIVLA</v>
          </cell>
          <cell r="J5436">
            <v>0</v>
          </cell>
        </row>
        <row r="5437">
          <cell r="A5437" t="str">
            <v>CIVLA</v>
          </cell>
          <cell r="J5437">
            <v>0</v>
          </cell>
        </row>
        <row r="5438">
          <cell r="A5438" t="str">
            <v>CIVLA</v>
          </cell>
          <cell r="J5438">
            <v>0</v>
          </cell>
        </row>
        <row r="5439">
          <cell r="A5439" t="str">
            <v>CIVLA</v>
          </cell>
          <cell r="J5439">
            <v>0</v>
          </cell>
        </row>
        <row r="5440">
          <cell r="A5440" t="str">
            <v>CIVLA</v>
          </cell>
          <cell r="J5440">
            <v>0</v>
          </cell>
        </row>
        <row r="5441">
          <cell r="A5441" t="str">
            <v>CIVLA</v>
          </cell>
          <cell r="J5441">
            <v>0</v>
          </cell>
        </row>
        <row r="5442">
          <cell r="A5442" t="str">
            <v>CIVLA</v>
          </cell>
          <cell r="J5442">
            <v>0</v>
          </cell>
        </row>
        <row r="5443">
          <cell r="A5443" t="str">
            <v>CIVLA</v>
          </cell>
          <cell r="J5443">
            <v>0</v>
          </cell>
        </row>
        <row r="5444">
          <cell r="A5444" t="str">
            <v>CIVLA</v>
          </cell>
          <cell r="J5444">
            <v>0</v>
          </cell>
        </row>
        <row r="5445">
          <cell r="A5445" t="str">
            <v>CIVLA</v>
          </cell>
          <cell r="J5445">
            <v>0</v>
          </cell>
        </row>
        <row r="5446">
          <cell r="A5446" t="str">
            <v>CIVLA</v>
          </cell>
          <cell r="J5446">
            <v>0</v>
          </cell>
        </row>
        <row r="5447">
          <cell r="A5447" t="str">
            <v>CIVLA</v>
          </cell>
          <cell r="J5447">
            <v>0</v>
          </cell>
        </row>
        <row r="5448">
          <cell r="A5448" t="str">
            <v>CIVLA</v>
          </cell>
          <cell r="J5448">
            <v>0</v>
          </cell>
        </row>
        <row r="5449">
          <cell r="A5449" t="str">
            <v>CIVLA</v>
          </cell>
          <cell r="J5449">
            <v>0</v>
          </cell>
        </row>
        <row r="5450">
          <cell r="A5450" t="str">
            <v>CIVLA</v>
          </cell>
          <cell r="J5450">
            <v>0</v>
          </cell>
        </row>
        <row r="5451">
          <cell r="A5451" t="str">
            <v>CIVLA</v>
          </cell>
          <cell r="J5451">
            <v>0</v>
          </cell>
        </row>
        <row r="5452">
          <cell r="A5452" t="str">
            <v>CIVLA</v>
          </cell>
          <cell r="J5452">
            <v>0</v>
          </cell>
        </row>
        <row r="5453">
          <cell r="A5453" t="str">
            <v>CIVLA</v>
          </cell>
          <cell r="J5453">
            <v>0</v>
          </cell>
        </row>
        <row r="5454">
          <cell r="A5454" t="str">
            <v>CIVLA</v>
          </cell>
          <cell r="J5454">
            <v>0</v>
          </cell>
        </row>
        <row r="5455">
          <cell r="A5455" t="str">
            <v>CIVLA</v>
          </cell>
          <cell r="J5455">
            <v>0</v>
          </cell>
        </row>
        <row r="5456">
          <cell r="A5456" t="str">
            <v>CIVLA</v>
          </cell>
          <cell r="J5456">
            <v>0</v>
          </cell>
        </row>
        <row r="5457">
          <cell r="A5457" t="str">
            <v>CIVLA</v>
          </cell>
          <cell r="J5457">
            <v>0</v>
          </cell>
        </row>
        <row r="5458">
          <cell r="A5458" t="str">
            <v>CIVLA</v>
          </cell>
          <cell r="J5458">
            <v>0</v>
          </cell>
        </row>
        <row r="5459">
          <cell r="A5459" t="str">
            <v>CIVLA</v>
          </cell>
          <cell r="J5459">
            <v>0</v>
          </cell>
        </row>
        <row r="5460">
          <cell r="A5460" t="str">
            <v>CIVLA</v>
          </cell>
          <cell r="J5460">
            <v>0</v>
          </cell>
        </row>
        <row r="5461">
          <cell r="A5461" t="str">
            <v>CIVLA</v>
          </cell>
          <cell r="J5461">
            <v>0</v>
          </cell>
        </row>
        <row r="5462">
          <cell r="A5462" t="str">
            <v>CIVLA</v>
          </cell>
          <cell r="J5462">
            <v>0</v>
          </cell>
        </row>
        <row r="5463">
          <cell r="A5463" t="str">
            <v>CIVLA</v>
          </cell>
          <cell r="J5463">
            <v>0</v>
          </cell>
        </row>
        <row r="5464">
          <cell r="A5464" t="str">
            <v>CIVLA</v>
          </cell>
          <cell r="J5464">
            <v>0</v>
          </cell>
        </row>
        <row r="5465">
          <cell r="A5465" t="str">
            <v>CIVLA</v>
          </cell>
          <cell r="J5465">
            <v>0</v>
          </cell>
        </row>
        <row r="5466">
          <cell r="A5466" t="str">
            <v>CIVLA</v>
          </cell>
          <cell r="J5466">
            <v>0</v>
          </cell>
        </row>
        <row r="5467">
          <cell r="A5467" t="str">
            <v>CIVLA</v>
          </cell>
          <cell r="J5467">
            <v>0</v>
          </cell>
        </row>
        <row r="5468">
          <cell r="A5468" t="str">
            <v>CIVLA</v>
          </cell>
          <cell r="J5468">
            <v>0</v>
          </cell>
        </row>
        <row r="5469">
          <cell r="A5469" t="str">
            <v>CIVLA</v>
          </cell>
          <cell r="J5469">
            <v>0</v>
          </cell>
        </row>
        <row r="5470">
          <cell r="A5470" t="str">
            <v>CIVLA</v>
          </cell>
          <cell r="J5470">
            <v>0</v>
          </cell>
        </row>
        <row r="5471">
          <cell r="A5471" t="str">
            <v>CIVLA</v>
          </cell>
          <cell r="J5471">
            <v>0</v>
          </cell>
        </row>
        <row r="5472">
          <cell r="A5472" t="str">
            <v>CIVLA</v>
          </cell>
          <cell r="J5472">
            <v>0</v>
          </cell>
        </row>
        <row r="5473">
          <cell r="A5473" t="str">
            <v>CIVLA</v>
          </cell>
          <cell r="J5473">
            <v>0</v>
          </cell>
        </row>
        <row r="5474">
          <cell r="A5474" t="str">
            <v>CIVLA</v>
          </cell>
          <cell r="J5474">
            <v>0</v>
          </cell>
        </row>
        <row r="5475">
          <cell r="A5475" t="str">
            <v>CIVLA</v>
          </cell>
          <cell r="J5475">
            <v>0</v>
          </cell>
        </row>
        <row r="5476">
          <cell r="A5476" t="str">
            <v>CIVLA</v>
          </cell>
          <cell r="J5476">
            <v>0</v>
          </cell>
        </row>
        <row r="5477">
          <cell r="A5477" t="str">
            <v>CIVLA</v>
          </cell>
          <cell r="J5477">
            <v>0</v>
          </cell>
        </row>
        <row r="5478">
          <cell r="A5478" t="str">
            <v>CIVLA</v>
          </cell>
          <cell r="J5478">
            <v>0</v>
          </cell>
        </row>
        <row r="5479">
          <cell r="A5479" t="str">
            <v>CIVLA</v>
          </cell>
          <cell r="J5479">
            <v>0</v>
          </cell>
        </row>
        <row r="5480">
          <cell r="A5480" t="str">
            <v>CIVLA</v>
          </cell>
          <cell r="J5480">
            <v>0</v>
          </cell>
        </row>
        <row r="5481">
          <cell r="A5481" t="str">
            <v>CIVLA</v>
          </cell>
          <cell r="J5481">
            <v>0</v>
          </cell>
        </row>
        <row r="5482">
          <cell r="A5482" t="str">
            <v>CIVLA</v>
          </cell>
          <cell r="J5482">
            <v>0</v>
          </cell>
        </row>
        <row r="5483">
          <cell r="A5483" t="str">
            <v>CIVLA</v>
          </cell>
          <cell r="J5483">
            <v>0</v>
          </cell>
        </row>
        <row r="5484">
          <cell r="A5484" t="str">
            <v>CIVLA</v>
          </cell>
          <cell r="J5484">
            <v>0</v>
          </cell>
        </row>
        <row r="5485">
          <cell r="A5485" t="str">
            <v>CIVLA</v>
          </cell>
          <cell r="J5485">
            <v>0</v>
          </cell>
        </row>
        <row r="5486">
          <cell r="A5486" t="str">
            <v>CIVLA</v>
          </cell>
          <cell r="J5486">
            <v>0</v>
          </cell>
        </row>
        <row r="5487">
          <cell r="A5487" t="str">
            <v>CIVLA</v>
          </cell>
          <cell r="J5487">
            <v>0</v>
          </cell>
        </row>
        <row r="5488">
          <cell r="A5488" t="str">
            <v>CIVLA</v>
          </cell>
          <cell r="J5488">
            <v>0</v>
          </cell>
        </row>
        <row r="5489">
          <cell r="A5489" t="str">
            <v>CIVLA</v>
          </cell>
          <cell r="J5489">
            <v>0</v>
          </cell>
        </row>
        <row r="5490">
          <cell r="A5490" t="str">
            <v>CIVLA</v>
          </cell>
          <cell r="J5490">
            <v>0</v>
          </cell>
        </row>
        <row r="5491">
          <cell r="A5491" t="str">
            <v>CIVLA</v>
          </cell>
          <cell r="J5491">
            <v>0</v>
          </cell>
        </row>
        <row r="5492">
          <cell r="A5492" t="str">
            <v>CIVLA</v>
          </cell>
          <cell r="J5492">
            <v>0</v>
          </cell>
        </row>
        <row r="5493">
          <cell r="A5493" t="str">
            <v>CIVLA</v>
          </cell>
          <cell r="J5493">
            <v>0</v>
          </cell>
        </row>
        <row r="5494">
          <cell r="A5494" t="str">
            <v>CIVLA</v>
          </cell>
          <cell r="J5494">
            <v>0</v>
          </cell>
        </row>
        <row r="5495">
          <cell r="A5495" t="str">
            <v>CIVLA</v>
          </cell>
          <cell r="J5495">
            <v>0</v>
          </cell>
        </row>
        <row r="5496">
          <cell r="A5496" t="str">
            <v>CIVLA</v>
          </cell>
          <cell r="J5496">
            <v>0</v>
          </cell>
        </row>
        <row r="5497">
          <cell r="A5497" t="str">
            <v>CIVLA</v>
          </cell>
          <cell r="J5497">
            <v>0</v>
          </cell>
        </row>
        <row r="5498">
          <cell r="A5498" t="str">
            <v>CIVLA</v>
          </cell>
          <cell r="J5498">
            <v>0</v>
          </cell>
        </row>
        <row r="5499">
          <cell r="A5499" t="str">
            <v>CIVLA</v>
          </cell>
          <cell r="J5499">
            <v>0</v>
          </cell>
        </row>
        <row r="5500">
          <cell r="A5500" t="str">
            <v>CIVLA</v>
          </cell>
          <cell r="J5500">
            <v>0</v>
          </cell>
        </row>
        <row r="5501">
          <cell r="A5501" t="str">
            <v>CIVLA</v>
          </cell>
          <cell r="J5501">
            <v>0</v>
          </cell>
        </row>
        <row r="5502">
          <cell r="A5502" t="str">
            <v>CIVLA</v>
          </cell>
          <cell r="J5502">
            <v>0</v>
          </cell>
        </row>
        <row r="5503">
          <cell r="A5503" t="str">
            <v>CIVLA</v>
          </cell>
          <cell r="J5503">
            <v>0</v>
          </cell>
        </row>
        <row r="5504">
          <cell r="A5504" t="str">
            <v>CIVLA</v>
          </cell>
          <cell r="J5504">
            <v>0</v>
          </cell>
        </row>
        <row r="5505">
          <cell r="A5505" t="str">
            <v>CIVLA</v>
          </cell>
          <cell r="J5505">
            <v>0</v>
          </cell>
        </row>
        <row r="5506">
          <cell r="A5506" t="str">
            <v>CIVLA</v>
          </cell>
          <cell r="J5506">
            <v>0</v>
          </cell>
        </row>
        <row r="5507">
          <cell r="A5507" t="str">
            <v>CIVLA</v>
          </cell>
          <cell r="J5507">
            <v>0</v>
          </cell>
        </row>
        <row r="5508">
          <cell r="A5508" t="str">
            <v>CIVLA</v>
          </cell>
          <cell r="J5508">
            <v>0</v>
          </cell>
        </row>
        <row r="5509">
          <cell r="A5509" t="str">
            <v>CIVLA</v>
          </cell>
          <cell r="J5509">
            <v>0</v>
          </cell>
        </row>
        <row r="5510">
          <cell r="A5510" t="str">
            <v>CIVLA</v>
          </cell>
          <cell r="J5510">
            <v>0</v>
          </cell>
        </row>
        <row r="5511">
          <cell r="A5511" t="str">
            <v>CIVLA</v>
          </cell>
          <cell r="J5511">
            <v>0</v>
          </cell>
        </row>
        <row r="5512">
          <cell r="A5512" t="str">
            <v>CIVLA</v>
          </cell>
          <cell r="J5512">
            <v>0</v>
          </cell>
        </row>
        <row r="5513">
          <cell r="A5513" t="str">
            <v>CIVLA</v>
          </cell>
          <cell r="J5513">
            <v>0</v>
          </cell>
        </row>
        <row r="5514">
          <cell r="A5514" t="str">
            <v>CIVLA</v>
          </cell>
          <cell r="J5514">
            <v>0</v>
          </cell>
        </row>
        <row r="5515">
          <cell r="A5515" t="str">
            <v>CIVLA</v>
          </cell>
          <cell r="J5515">
            <v>0</v>
          </cell>
        </row>
        <row r="5516">
          <cell r="A5516" t="str">
            <v>CIVLA</v>
          </cell>
          <cell r="J5516">
            <v>0</v>
          </cell>
        </row>
        <row r="5517">
          <cell r="A5517" t="str">
            <v>CIVLA</v>
          </cell>
          <cell r="J5517">
            <v>0</v>
          </cell>
        </row>
        <row r="5518">
          <cell r="A5518" t="str">
            <v>CIVLA</v>
          </cell>
          <cell r="J5518">
            <v>0</v>
          </cell>
        </row>
        <row r="5519">
          <cell r="A5519" t="str">
            <v>CIVLA</v>
          </cell>
          <cell r="J5519">
            <v>0</v>
          </cell>
        </row>
        <row r="5520">
          <cell r="A5520" t="str">
            <v>CIVLA</v>
          </cell>
          <cell r="J5520">
            <v>0</v>
          </cell>
        </row>
        <row r="5521">
          <cell r="A5521" t="str">
            <v>CIVLA</v>
          </cell>
          <cell r="J5521">
            <v>0</v>
          </cell>
        </row>
        <row r="5522">
          <cell r="A5522" t="str">
            <v>CIVLA</v>
          </cell>
          <cell r="J5522">
            <v>0</v>
          </cell>
        </row>
        <row r="5523">
          <cell r="A5523" t="str">
            <v>CIVLA</v>
          </cell>
          <cell r="J5523">
            <v>0</v>
          </cell>
        </row>
        <row r="5524">
          <cell r="A5524" t="str">
            <v>CIVLA</v>
          </cell>
          <cell r="J5524">
            <v>0</v>
          </cell>
        </row>
        <row r="5525">
          <cell r="A5525" t="str">
            <v>CIVLA</v>
          </cell>
          <cell r="J5525">
            <v>0</v>
          </cell>
        </row>
        <row r="5526">
          <cell r="A5526" t="str">
            <v>CIVLA</v>
          </cell>
          <cell r="J5526">
            <v>0</v>
          </cell>
        </row>
        <row r="5527">
          <cell r="A5527" t="str">
            <v>CIVLA</v>
          </cell>
          <cell r="J5527">
            <v>0</v>
          </cell>
        </row>
        <row r="5528">
          <cell r="A5528" t="str">
            <v>CIVLA</v>
          </cell>
          <cell r="J5528">
            <v>0</v>
          </cell>
        </row>
        <row r="5529">
          <cell r="A5529" t="str">
            <v>CIVLA</v>
          </cell>
          <cell r="J5529">
            <v>0</v>
          </cell>
        </row>
        <row r="5530">
          <cell r="A5530" t="str">
            <v>CIVLA</v>
          </cell>
          <cell r="J5530">
            <v>0</v>
          </cell>
        </row>
        <row r="5531">
          <cell r="A5531" t="str">
            <v>CIVLA</v>
          </cell>
          <cell r="J5531">
            <v>0</v>
          </cell>
        </row>
        <row r="5532">
          <cell r="A5532" t="str">
            <v>CIVLA</v>
          </cell>
          <cell r="J5532">
            <v>0</v>
          </cell>
        </row>
        <row r="5533">
          <cell r="A5533" t="str">
            <v>CIVLA</v>
          </cell>
          <cell r="J5533">
            <v>0</v>
          </cell>
        </row>
        <row r="5534">
          <cell r="A5534" t="str">
            <v>CIVLA</v>
          </cell>
          <cell r="J5534">
            <v>0</v>
          </cell>
        </row>
        <row r="5535">
          <cell r="A5535" t="str">
            <v>CIVLA</v>
          </cell>
          <cell r="J5535">
            <v>0</v>
          </cell>
        </row>
        <row r="5536">
          <cell r="A5536" t="str">
            <v>CIVLA</v>
          </cell>
          <cell r="J5536">
            <v>0</v>
          </cell>
        </row>
        <row r="5537">
          <cell r="A5537" t="str">
            <v>CIVLA</v>
          </cell>
          <cell r="J5537">
            <v>0</v>
          </cell>
        </row>
        <row r="5538">
          <cell r="A5538" t="str">
            <v>CIVLA</v>
          </cell>
          <cell r="J5538">
            <v>0</v>
          </cell>
        </row>
        <row r="5539">
          <cell r="A5539" t="str">
            <v>CIVLA</v>
          </cell>
          <cell r="J5539">
            <v>0</v>
          </cell>
        </row>
        <row r="5540">
          <cell r="A5540" t="str">
            <v>CIVLA</v>
          </cell>
          <cell r="J5540">
            <v>0</v>
          </cell>
        </row>
        <row r="5541">
          <cell r="A5541" t="str">
            <v>CIVLA</v>
          </cell>
          <cell r="J5541">
            <v>0</v>
          </cell>
        </row>
        <row r="5542">
          <cell r="A5542" t="str">
            <v>CIVLA</v>
          </cell>
          <cell r="J5542">
            <v>0</v>
          </cell>
        </row>
        <row r="5543">
          <cell r="A5543" t="str">
            <v>CIVLA</v>
          </cell>
          <cell r="J5543">
            <v>0</v>
          </cell>
        </row>
        <row r="5544">
          <cell r="A5544" t="str">
            <v>CIVLA</v>
          </cell>
          <cell r="J5544">
            <v>0</v>
          </cell>
        </row>
        <row r="5545">
          <cell r="A5545" t="str">
            <v>CIVLA</v>
          </cell>
          <cell r="J5545">
            <v>0</v>
          </cell>
        </row>
        <row r="5546">
          <cell r="A5546" t="str">
            <v>CIVLA</v>
          </cell>
          <cell r="J5546">
            <v>0</v>
          </cell>
        </row>
        <row r="5547">
          <cell r="A5547" t="str">
            <v>CIVLA</v>
          </cell>
          <cell r="J5547">
            <v>0</v>
          </cell>
        </row>
        <row r="5548">
          <cell r="A5548" t="str">
            <v>CIVLA</v>
          </cell>
          <cell r="J5548">
            <v>0</v>
          </cell>
        </row>
        <row r="5549">
          <cell r="A5549" t="str">
            <v>CIVLA</v>
          </cell>
          <cell r="J5549">
            <v>0</v>
          </cell>
        </row>
        <row r="5550">
          <cell r="A5550" t="str">
            <v>CIVLA</v>
          </cell>
          <cell r="J5550">
            <v>0</v>
          </cell>
        </row>
        <row r="5551">
          <cell r="A5551" t="str">
            <v>CIVLA</v>
          </cell>
          <cell r="J5551">
            <v>0</v>
          </cell>
        </row>
        <row r="5552">
          <cell r="A5552" t="str">
            <v>CIVLA</v>
          </cell>
          <cell r="J5552">
            <v>0</v>
          </cell>
        </row>
        <row r="5553">
          <cell r="A5553" t="str">
            <v>CIVLA</v>
          </cell>
          <cell r="J5553">
            <v>0</v>
          </cell>
        </row>
        <row r="5554">
          <cell r="A5554" t="str">
            <v>CIVLA</v>
          </cell>
          <cell r="J5554">
            <v>0</v>
          </cell>
        </row>
        <row r="5555">
          <cell r="A5555" t="str">
            <v>CIVLA</v>
          </cell>
          <cell r="J5555">
            <v>0</v>
          </cell>
        </row>
        <row r="5556">
          <cell r="A5556" t="str">
            <v>CIVLA</v>
          </cell>
          <cell r="J5556">
            <v>0</v>
          </cell>
        </row>
        <row r="5557">
          <cell r="A5557" t="str">
            <v>CIVLA</v>
          </cell>
          <cell r="J5557">
            <v>0</v>
          </cell>
        </row>
        <row r="5558">
          <cell r="A5558" t="str">
            <v>CIVLA</v>
          </cell>
          <cell r="J5558">
            <v>0</v>
          </cell>
        </row>
        <row r="5559">
          <cell r="A5559" t="str">
            <v>CIVLA</v>
          </cell>
          <cell r="J5559">
            <v>0</v>
          </cell>
        </row>
        <row r="5560">
          <cell r="A5560" t="str">
            <v>CIVLA</v>
          </cell>
          <cell r="J5560">
            <v>0</v>
          </cell>
        </row>
        <row r="5561">
          <cell r="A5561" t="str">
            <v>CIVLA</v>
          </cell>
          <cell r="J5561">
            <v>0</v>
          </cell>
        </row>
        <row r="5562">
          <cell r="A5562" t="str">
            <v>CIVLA</v>
          </cell>
          <cell r="J5562">
            <v>0</v>
          </cell>
        </row>
        <row r="5563">
          <cell r="A5563" t="str">
            <v>CIVLA</v>
          </cell>
          <cell r="J5563">
            <v>0</v>
          </cell>
        </row>
        <row r="5564">
          <cell r="A5564" t="str">
            <v>CIVLA</v>
          </cell>
          <cell r="J5564">
            <v>0</v>
          </cell>
        </row>
        <row r="5565">
          <cell r="A5565" t="str">
            <v>CIVLA</v>
          </cell>
          <cell r="J5565">
            <v>0</v>
          </cell>
        </row>
        <row r="5566">
          <cell r="A5566" t="str">
            <v>CIVLA</v>
          </cell>
          <cell r="J5566">
            <v>0</v>
          </cell>
        </row>
        <row r="5567">
          <cell r="A5567" t="str">
            <v>CIVLA</v>
          </cell>
          <cell r="J5567">
            <v>0</v>
          </cell>
        </row>
        <row r="5568">
          <cell r="A5568" t="str">
            <v>CIVLA</v>
          </cell>
          <cell r="J5568">
            <v>0</v>
          </cell>
        </row>
        <row r="5569">
          <cell r="A5569" t="str">
            <v>CIVLA</v>
          </cell>
          <cell r="J5569">
            <v>0</v>
          </cell>
        </row>
        <row r="5570">
          <cell r="A5570" t="str">
            <v>CIVLA</v>
          </cell>
          <cell r="J5570">
            <v>0</v>
          </cell>
        </row>
        <row r="5571">
          <cell r="A5571" t="str">
            <v>CIVLA</v>
          </cell>
          <cell r="J5571">
            <v>0</v>
          </cell>
        </row>
        <row r="5572">
          <cell r="A5572" t="str">
            <v>CIVLA</v>
          </cell>
          <cell r="J5572">
            <v>0</v>
          </cell>
        </row>
        <row r="5573">
          <cell r="A5573" t="str">
            <v>CIVLA</v>
          </cell>
          <cell r="J5573">
            <v>0</v>
          </cell>
        </row>
        <row r="5574">
          <cell r="A5574" t="str">
            <v>CIVLA</v>
          </cell>
          <cell r="J5574">
            <v>0</v>
          </cell>
        </row>
        <row r="5575">
          <cell r="A5575" t="str">
            <v>CIVLA</v>
          </cell>
          <cell r="J5575">
            <v>0</v>
          </cell>
        </row>
        <row r="5576">
          <cell r="A5576" t="str">
            <v>CIVLA</v>
          </cell>
          <cell r="J5576">
            <v>0</v>
          </cell>
        </row>
        <row r="5577">
          <cell r="A5577" t="str">
            <v>CIVLA</v>
          </cell>
          <cell r="J5577">
            <v>0</v>
          </cell>
        </row>
        <row r="5578">
          <cell r="A5578" t="str">
            <v>CIVLA</v>
          </cell>
          <cell r="J5578">
            <v>0</v>
          </cell>
        </row>
        <row r="5579">
          <cell r="A5579" t="str">
            <v>CIVLA</v>
          </cell>
          <cell r="J5579">
            <v>0</v>
          </cell>
        </row>
        <row r="5580">
          <cell r="A5580" t="str">
            <v>CIVLA</v>
          </cell>
          <cell r="J5580">
            <v>0</v>
          </cell>
        </row>
        <row r="5581">
          <cell r="A5581" t="str">
            <v>CIVLA</v>
          </cell>
          <cell r="J5581">
            <v>0</v>
          </cell>
        </row>
        <row r="5582">
          <cell r="A5582" t="str">
            <v>CIVLA</v>
          </cell>
          <cell r="J5582">
            <v>0</v>
          </cell>
        </row>
        <row r="5583">
          <cell r="A5583" t="str">
            <v>CIVLA</v>
          </cell>
          <cell r="J5583">
            <v>0</v>
          </cell>
        </row>
        <row r="5584">
          <cell r="A5584" t="str">
            <v>CIVLA</v>
          </cell>
          <cell r="J5584">
            <v>0</v>
          </cell>
        </row>
        <row r="5585">
          <cell r="A5585" t="str">
            <v>CIVLA</v>
          </cell>
          <cell r="J5585">
            <v>0</v>
          </cell>
        </row>
        <row r="5586">
          <cell r="A5586" t="str">
            <v>CIVLA</v>
          </cell>
          <cell r="J5586">
            <v>0</v>
          </cell>
        </row>
        <row r="5587">
          <cell r="A5587" t="str">
            <v>CIVLA</v>
          </cell>
          <cell r="J5587">
            <v>0</v>
          </cell>
        </row>
        <row r="5588">
          <cell r="A5588" t="str">
            <v>CIVLA</v>
          </cell>
          <cell r="J5588">
            <v>0</v>
          </cell>
        </row>
        <row r="5589">
          <cell r="A5589" t="str">
            <v>CIVLA</v>
          </cell>
          <cell r="J5589">
            <v>0</v>
          </cell>
        </row>
        <row r="5590">
          <cell r="A5590" t="str">
            <v>CIVLA</v>
          </cell>
          <cell r="J5590">
            <v>0</v>
          </cell>
        </row>
        <row r="5591">
          <cell r="A5591" t="str">
            <v>CIVLA</v>
          </cell>
          <cell r="J5591">
            <v>0</v>
          </cell>
        </row>
        <row r="5592">
          <cell r="A5592" t="str">
            <v>CIVLA</v>
          </cell>
          <cell r="J5592">
            <v>0</v>
          </cell>
        </row>
        <row r="5593">
          <cell r="A5593" t="str">
            <v>CIVLA</v>
          </cell>
          <cell r="J5593">
            <v>0</v>
          </cell>
        </row>
        <row r="5594">
          <cell r="A5594" t="str">
            <v>CIVLA</v>
          </cell>
          <cell r="J5594">
            <v>0</v>
          </cell>
        </row>
        <row r="5595">
          <cell r="A5595" t="str">
            <v>CIVLA</v>
          </cell>
          <cell r="J5595">
            <v>0</v>
          </cell>
        </row>
        <row r="5596">
          <cell r="A5596" t="str">
            <v>CIVLA</v>
          </cell>
          <cell r="J5596">
            <v>0</v>
          </cell>
        </row>
        <row r="5597">
          <cell r="A5597" t="str">
            <v>CIVLA</v>
          </cell>
          <cell r="J5597">
            <v>0</v>
          </cell>
        </row>
        <row r="5598">
          <cell r="A5598" t="str">
            <v>CIVLA</v>
          </cell>
          <cell r="J5598">
            <v>0</v>
          </cell>
        </row>
        <row r="5599">
          <cell r="A5599" t="str">
            <v>CIVLA</v>
          </cell>
          <cell r="J5599">
            <v>0</v>
          </cell>
        </row>
        <row r="5600">
          <cell r="A5600" t="str">
            <v>CIVLA</v>
          </cell>
          <cell r="J5600">
            <v>0</v>
          </cell>
        </row>
        <row r="5601">
          <cell r="A5601" t="str">
            <v>CIVLA</v>
          </cell>
          <cell r="J5601">
            <v>0</v>
          </cell>
        </row>
        <row r="5602">
          <cell r="A5602" t="str">
            <v>CIVLA</v>
          </cell>
          <cell r="J5602">
            <v>0</v>
          </cell>
        </row>
        <row r="5603">
          <cell r="A5603" t="str">
            <v>CIVLA</v>
          </cell>
          <cell r="J5603">
            <v>0</v>
          </cell>
        </row>
        <row r="5604">
          <cell r="A5604" t="str">
            <v>CIVLA</v>
          </cell>
          <cell r="J5604">
            <v>0</v>
          </cell>
        </row>
        <row r="5605">
          <cell r="A5605" t="str">
            <v>CIVLA</v>
          </cell>
          <cell r="J5605">
            <v>0</v>
          </cell>
        </row>
        <row r="5606">
          <cell r="A5606" t="str">
            <v>CIVLA</v>
          </cell>
          <cell r="J5606">
            <v>0</v>
          </cell>
        </row>
        <row r="5607">
          <cell r="A5607" t="str">
            <v>CIVLA</v>
          </cell>
          <cell r="J5607">
            <v>0</v>
          </cell>
        </row>
        <row r="5608">
          <cell r="A5608" t="str">
            <v>CIVLA</v>
          </cell>
          <cell r="J5608">
            <v>0</v>
          </cell>
        </row>
        <row r="5609">
          <cell r="A5609" t="str">
            <v>CIVLA</v>
          </cell>
          <cell r="J5609">
            <v>0</v>
          </cell>
        </row>
        <row r="5610">
          <cell r="A5610" t="str">
            <v>CIVLA</v>
          </cell>
          <cell r="J5610">
            <v>0</v>
          </cell>
        </row>
        <row r="5611">
          <cell r="A5611" t="str">
            <v>CIVLA</v>
          </cell>
          <cell r="J5611">
            <v>0</v>
          </cell>
        </row>
        <row r="5612">
          <cell r="A5612" t="str">
            <v>CIVLA</v>
          </cell>
          <cell r="J5612">
            <v>0</v>
          </cell>
        </row>
        <row r="5613">
          <cell r="A5613" t="str">
            <v>CIVLA</v>
          </cell>
          <cell r="J5613">
            <v>0</v>
          </cell>
        </row>
        <row r="5614">
          <cell r="A5614" t="str">
            <v>CIVLA</v>
          </cell>
          <cell r="J5614">
            <v>0</v>
          </cell>
        </row>
        <row r="5615">
          <cell r="A5615" t="str">
            <v>CIVLA</v>
          </cell>
          <cell r="J5615">
            <v>0</v>
          </cell>
        </row>
        <row r="5616">
          <cell r="A5616" t="str">
            <v>CIVLA</v>
          </cell>
          <cell r="J5616">
            <v>0</v>
          </cell>
        </row>
        <row r="5617">
          <cell r="A5617" t="str">
            <v>CIVLA</v>
          </cell>
          <cell r="J5617">
            <v>0</v>
          </cell>
        </row>
        <row r="5618">
          <cell r="A5618" t="str">
            <v>CIVLA</v>
          </cell>
          <cell r="J5618">
            <v>0</v>
          </cell>
        </row>
        <row r="5619">
          <cell r="A5619" t="str">
            <v>CIVLA</v>
          </cell>
          <cell r="J5619">
            <v>0</v>
          </cell>
        </row>
        <row r="5620">
          <cell r="A5620" t="str">
            <v>CIVLA</v>
          </cell>
          <cell r="J5620">
            <v>0</v>
          </cell>
        </row>
        <row r="5621">
          <cell r="A5621" t="str">
            <v>CIVLA</v>
          </cell>
          <cell r="J5621">
            <v>0</v>
          </cell>
        </row>
        <row r="5622">
          <cell r="A5622" t="str">
            <v>CIVLA</v>
          </cell>
          <cell r="J5622">
            <v>0</v>
          </cell>
        </row>
        <row r="5623">
          <cell r="A5623" t="str">
            <v>CIVLA</v>
          </cell>
          <cell r="J5623">
            <v>0</v>
          </cell>
        </row>
        <row r="5624">
          <cell r="A5624" t="str">
            <v>CIVLA</v>
          </cell>
          <cell r="J5624">
            <v>0</v>
          </cell>
        </row>
        <row r="5625">
          <cell r="A5625" t="str">
            <v>CIVLA</v>
          </cell>
          <cell r="J5625">
            <v>0</v>
          </cell>
        </row>
        <row r="5626">
          <cell r="A5626" t="str">
            <v>CIVLA</v>
          </cell>
          <cell r="J5626">
            <v>0</v>
          </cell>
        </row>
        <row r="5627">
          <cell r="A5627" t="str">
            <v>CIVLA</v>
          </cell>
          <cell r="J5627">
            <v>0</v>
          </cell>
        </row>
        <row r="5628">
          <cell r="A5628" t="str">
            <v>CIVLA</v>
          </cell>
          <cell r="J5628">
            <v>0</v>
          </cell>
        </row>
        <row r="5629">
          <cell r="A5629" t="str">
            <v>CIVLA</v>
          </cell>
          <cell r="J5629">
            <v>0</v>
          </cell>
        </row>
        <row r="5630">
          <cell r="A5630" t="str">
            <v>CIVLA</v>
          </cell>
          <cell r="J5630">
            <v>0</v>
          </cell>
        </row>
        <row r="5631">
          <cell r="A5631" t="str">
            <v>CIVLA</v>
          </cell>
          <cell r="J5631">
            <v>0</v>
          </cell>
        </row>
        <row r="5632">
          <cell r="A5632" t="str">
            <v>CIVLA</v>
          </cell>
          <cell r="J5632">
            <v>0</v>
          </cell>
        </row>
        <row r="5633">
          <cell r="A5633" t="str">
            <v>CIVLA</v>
          </cell>
          <cell r="J5633">
            <v>0</v>
          </cell>
        </row>
        <row r="5634">
          <cell r="A5634" t="str">
            <v>CIVLA</v>
          </cell>
          <cell r="J5634">
            <v>0</v>
          </cell>
        </row>
        <row r="5635">
          <cell r="A5635" t="str">
            <v>CIVLA</v>
          </cell>
          <cell r="J5635">
            <v>0</v>
          </cell>
        </row>
        <row r="5636">
          <cell r="A5636" t="str">
            <v>CIVLA</v>
          </cell>
          <cell r="J5636">
            <v>0</v>
          </cell>
        </row>
        <row r="5637">
          <cell r="A5637" t="str">
            <v>CIVLA</v>
          </cell>
          <cell r="J5637">
            <v>0</v>
          </cell>
        </row>
        <row r="5638">
          <cell r="A5638" t="str">
            <v>CIVLA</v>
          </cell>
          <cell r="J5638">
            <v>0</v>
          </cell>
        </row>
        <row r="5639">
          <cell r="A5639" t="str">
            <v>CIVLA</v>
          </cell>
          <cell r="J5639">
            <v>0</v>
          </cell>
        </row>
        <row r="5640">
          <cell r="A5640" t="str">
            <v>CIVLA</v>
          </cell>
          <cell r="J5640">
            <v>0</v>
          </cell>
        </row>
        <row r="5641">
          <cell r="A5641" t="str">
            <v>CIVLA</v>
          </cell>
          <cell r="J5641">
            <v>0</v>
          </cell>
        </row>
        <row r="5642">
          <cell r="A5642" t="str">
            <v>CIVLA</v>
          </cell>
          <cell r="J5642">
            <v>0</v>
          </cell>
        </row>
        <row r="5643">
          <cell r="A5643" t="str">
            <v>CIVLA</v>
          </cell>
          <cell r="J5643">
            <v>0</v>
          </cell>
        </row>
        <row r="5644">
          <cell r="A5644" t="str">
            <v>CIVLA</v>
          </cell>
          <cell r="J5644">
            <v>0</v>
          </cell>
        </row>
        <row r="5645">
          <cell r="A5645" t="str">
            <v>CIVLA</v>
          </cell>
          <cell r="J5645">
            <v>0</v>
          </cell>
        </row>
        <row r="5646">
          <cell r="A5646" t="str">
            <v>CIVLA</v>
          </cell>
          <cell r="J5646">
            <v>0</v>
          </cell>
        </row>
        <row r="5647">
          <cell r="A5647" t="str">
            <v>CIVLA</v>
          </cell>
          <cell r="J5647">
            <v>0</v>
          </cell>
        </row>
        <row r="5648">
          <cell r="A5648" t="str">
            <v>CIVLA</v>
          </cell>
          <cell r="J5648">
            <v>0</v>
          </cell>
        </row>
        <row r="5649">
          <cell r="A5649" t="str">
            <v>CIVLA</v>
          </cell>
          <cell r="J5649">
            <v>0</v>
          </cell>
        </row>
        <row r="5650">
          <cell r="A5650" t="str">
            <v>CIVLA</v>
          </cell>
          <cell r="J5650">
            <v>0</v>
          </cell>
        </row>
        <row r="5651">
          <cell r="A5651" t="str">
            <v>CIVLA</v>
          </cell>
          <cell r="J5651">
            <v>0</v>
          </cell>
        </row>
        <row r="5652">
          <cell r="A5652" t="str">
            <v>CIVLA</v>
          </cell>
          <cell r="J5652">
            <v>0</v>
          </cell>
        </row>
        <row r="5653">
          <cell r="A5653" t="str">
            <v>CIVLA</v>
          </cell>
          <cell r="J5653">
            <v>0</v>
          </cell>
        </row>
        <row r="5654">
          <cell r="A5654" t="str">
            <v>CIVLA</v>
          </cell>
          <cell r="J5654">
            <v>0</v>
          </cell>
        </row>
        <row r="5655">
          <cell r="A5655" t="str">
            <v>CIVLA</v>
          </cell>
          <cell r="J5655">
            <v>0</v>
          </cell>
        </row>
        <row r="5656">
          <cell r="A5656" t="str">
            <v>CIVLA</v>
          </cell>
          <cell r="J5656">
            <v>0</v>
          </cell>
        </row>
        <row r="5657">
          <cell r="A5657" t="str">
            <v>CIVLA</v>
          </cell>
          <cell r="J5657">
            <v>0</v>
          </cell>
        </row>
        <row r="5658">
          <cell r="A5658" t="str">
            <v>CIVLA</v>
          </cell>
          <cell r="J5658">
            <v>0</v>
          </cell>
        </row>
        <row r="5659">
          <cell r="A5659" t="str">
            <v>CIVLA</v>
          </cell>
          <cell r="J5659">
            <v>0</v>
          </cell>
        </row>
        <row r="5660">
          <cell r="A5660" t="str">
            <v>CIVLA</v>
          </cell>
          <cell r="J5660">
            <v>0</v>
          </cell>
        </row>
        <row r="5661">
          <cell r="A5661" t="str">
            <v>CIVLA</v>
          </cell>
          <cell r="J5661">
            <v>0</v>
          </cell>
        </row>
        <row r="5662">
          <cell r="A5662" t="str">
            <v>CIVLA</v>
          </cell>
          <cell r="J5662">
            <v>0</v>
          </cell>
        </row>
        <row r="5663">
          <cell r="A5663" t="str">
            <v>CIVLA</v>
          </cell>
          <cell r="J5663">
            <v>0</v>
          </cell>
        </row>
        <row r="5664">
          <cell r="A5664" t="str">
            <v>CIVLA</v>
          </cell>
          <cell r="J5664">
            <v>0</v>
          </cell>
        </row>
        <row r="5665">
          <cell r="A5665" t="str">
            <v>CIVLA</v>
          </cell>
          <cell r="J5665">
            <v>0</v>
          </cell>
        </row>
        <row r="5666">
          <cell r="A5666" t="str">
            <v>CIVLA</v>
          </cell>
          <cell r="J5666">
            <v>0</v>
          </cell>
        </row>
        <row r="5667">
          <cell r="A5667" t="str">
            <v>CIVLA</v>
          </cell>
          <cell r="J5667">
            <v>0</v>
          </cell>
        </row>
        <row r="5668">
          <cell r="A5668" t="str">
            <v>CIVLA</v>
          </cell>
          <cell r="J5668">
            <v>0</v>
          </cell>
        </row>
        <row r="5669">
          <cell r="A5669" t="str">
            <v>CIVLA</v>
          </cell>
          <cell r="J5669">
            <v>0</v>
          </cell>
        </row>
        <row r="5670">
          <cell r="A5670" t="str">
            <v>CIVLA</v>
          </cell>
          <cell r="J5670">
            <v>0</v>
          </cell>
        </row>
        <row r="5671">
          <cell r="A5671" t="str">
            <v>CIVLA</v>
          </cell>
          <cell r="J5671">
            <v>0</v>
          </cell>
        </row>
        <row r="5672">
          <cell r="A5672" t="str">
            <v>CIVLA</v>
          </cell>
          <cell r="J5672">
            <v>0</v>
          </cell>
        </row>
        <row r="5673">
          <cell r="A5673" t="str">
            <v>CIVLA</v>
          </cell>
          <cell r="J5673">
            <v>0</v>
          </cell>
        </row>
        <row r="5674">
          <cell r="A5674" t="str">
            <v>CIVLA</v>
          </cell>
          <cell r="J5674">
            <v>0</v>
          </cell>
        </row>
        <row r="5675">
          <cell r="A5675" t="str">
            <v>CIVLA</v>
          </cell>
          <cell r="J5675">
            <v>0</v>
          </cell>
        </row>
        <row r="5676">
          <cell r="A5676" t="str">
            <v>CIVLA</v>
          </cell>
          <cell r="J5676">
            <v>0</v>
          </cell>
        </row>
        <row r="5677">
          <cell r="A5677" t="str">
            <v>CIVLA</v>
          </cell>
          <cell r="J5677">
            <v>0</v>
          </cell>
        </row>
        <row r="5678">
          <cell r="A5678" t="str">
            <v>CIVLA</v>
          </cell>
          <cell r="J5678">
            <v>0</v>
          </cell>
        </row>
        <row r="5679">
          <cell r="A5679" t="str">
            <v>CIVLA</v>
          </cell>
          <cell r="J5679">
            <v>0</v>
          </cell>
        </row>
        <row r="5680">
          <cell r="A5680" t="str">
            <v>CIVLA</v>
          </cell>
          <cell r="J5680">
            <v>0</v>
          </cell>
        </row>
        <row r="5681">
          <cell r="A5681" t="str">
            <v>CIVLA</v>
          </cell>
          <cell r="J5681">
            <v>0</v>
          </cell>
        </row>
        <row r="5682">
          <cell r="A5682" t="str">
            <v>CIVLA</v>
          </cell>
          <cell r="J5682">
            <v>0</v>
          </cell>
        </row>
        <row r="5683">
          <cell r="A5683" t="str">
            <v>CIVLA</v>
          </cell>
          <cell r="J5683">
            <v>0</v>
          </cell>
        </row>
        <row r="5684">
          <cell r="A5684" t="str">
            <v>CIVLA</v>
          </cell>
          <cell r="J5684">
            <v>0</v>
          </cell>
        </row>
        <row r="5685">
          <cell r="A5685" t="str">
            <v>CIVLA</v>
          </cell>
          <cell r="J5685">
            <v>0</v>
          </cell>
        </row>
        <row r="5686">
          <cell r="A5686" t="str">
            <v>CIVLA</v>
          </cell>
          <cell r="J5686">
            <v>0</v>
          </cell>
        </row>
        <row r="5687">
          <cell r="A5687" t="str">
            <v>CIVLA</v>
          </cell>
          <cell r="J5687">
            <v>0</v>
          </cell>
        </row>
        <row r="5688">
          <cell r="A5688" t="str">
            <v>CIVLA</v>
          </cell>
          <cell r="J5688">
            <v>0</v>
          </cell>
        </row>
        <row r="5689">
          <cell r="A5689" t="str">
            <v>CIVLA</v>
          </cell>
          <cell r="J5689">
            <v>0</v>
          </cell>
        </row>
        <row r="5690">
          <cell r="A5690" t="str">
            <v>CIVLA</v>
          </cell>
          <cell r="J5690">
            <v>0</v>
          </cell>
        </row>
        <row r="5691">
          <cell r="A5691" t="str">
            <v>CIVLA</v>
          </cell>
          <cell r="J5691">
            <v>0</v>
          </cell>
        </row>
        <row r="5692">
          <cell r="A5692" t="str">
            <v>CIVLA</v>
          </cell>
          <cell r="J5692">
            <v>0</v>
          </cell>
        </row>
        <row r="5693">
          <cell r="A5693" t="str">
            <v>CIVLA</v>
          </cell>
          <cell r="J5693">
            <v>0</v>
          </cell>
        </row>
        <row r="5694">
          <cell r="A5694" t="str">
            <v>CIVLA</v>
          </cell>
          <cell r="J5694">
            <v>0</v>
          </cell>
        </row>
        <row r="5695">
          <cell r="A5695" t="str">
            <v>CIVLA</v>
          </cell>
          <cell r="J5695">
            <v>0</v>
          </cell>
        </row>
        <row r="5696">
          <cell r="A5696" t="str">
            <v>CIVLA</v>
          </cell>
          <cell r="J5696">
            <v>0</v>
          </cell>
        </row>
        <row r="5697">
          <cell r="A5697" t="str">
            <v>CIVLA</v>
          </cell>
          <cell r="J5697">
            <v>0</v>
          </cell>
        </row>
        <row r="5698">
          <cell r="A5698" t="str">
            <v>CIVLA</v>
          </cell>
          <cell r="J5698">
            <v>0</v>
          </cell>
        </row>
        <row r="5699">
          <cell r="A5699" t="str">
            <v>CIVLA</v>
          </cell>
          <cell r="J5699">
            <v>0</v>
          </cell>
        </row>
        <row r="5700">
          <cell r="A5700" t="str">
            <v>CIVLA</v>
          </cell>
          <cell r="J5700">
            <v>0</v>
          </cell>
        </row>
        <row r="5701">
          <cell r="A5701" t="str">
            <v>CIVLA</v>
          </cell>
          <cell r="J5701">
            <v>0</v>
          </cell>
        </row>
        <row r="5702">
          <cell r="A5702" t="str">
            <v>CIVLA</v>
          </cell>
          <cell r="J5702">
            <v>0</v>
          </cell>
        </row>
        <row r="5703">
          <cell r="A5703" t="str">
            <v>CIVLA</v>
          </cell>
          <cell r="J5703">
            <v>0</v>
          </cell>
        </row>
        <row r="5704">
          <cell r="A5704" t="str">
            <v>CIVLA</v>
          </cell>
          <cell r="J5704">
            <v>0</v>
          </cell>
        </row>
        <row r="5705">
          <cell r="A5705" t="str">
            <v>CIVLA</v>
          </cell>
          <cell r="J5705">
            <v>0</v>
          </cell>
        </row>
        <row r="5706">
          <cell r="A5706" t="str">
            <v>CIVLA</v>
          </cell>
          <cell r="J5706">
            <v>0</v>
          </cell>
        </row>
        <row r="5707">
          <cell r="A5707" t="str">
            <v>CIVLA</v>
          </cell>
          <cell r="J5707">
            <v>0</v>
          </cell>
        </row>
        <row r="5708">
          <cell r="A5708" t="str">
            <v>CIVLA</v>
          </cell>
          <cell r="J5708">
            <v>0</v>
          </cell>
        </row>
        <row r="5709">
          <cell r="A5709" t="str">
            <v>CIVLA</v>
          </cell>
          <cell r="J5709">
            <v>0</v>
          </cell>
        </row>
        <row r="5710">
          <cell r="A5710" t="str">
            <v>CIVLA</v>
          </cell>
          <cell r="J5710">
            <v>0</v>
          </cell>
        </row>
        <row r="5711">
          <cell r="A5711" t="str">
            <v>CIVLA</v>
          </cell>
          <cell r="J5711">
            <v>0</v>
          </cell>
        </row>
        <row r="5712">
          <cell r="A5712" t="str">
            <v>CIVLA</v>
          </cell>
          <cell r="J5712">
            <v>0</v>
          </cell>
        </row>
        <row r="5713">
          <cell r="A5713" t="str">
            <v>CIVLA</v>
          </cell>
          <cell r="J5713">
            <v>0</v>
          </cell>
        </row>
        <row r="5714">
          <cell r="A5714" t="str">
            <v>CIVLA</v>
          </cell>
          <cell r="J5714">
            <v>0</v>
          </cell>
        </row>
        <row r="5715">
          <cell r="A5715" t="str">
            <v>CIVLA</v>
          </cell>
          <cell r="J5715">
            <v>0</v>
          </cell>
        </row>
        <row r="5716">
          <cell r="A5716" t="str">
            <v>CIVLA</v>
          </cell>
          <cell r="J5716">
            <v>0</v>
          </cell>
        </row>
        <row r="5717">
          <cell r="A5717" t="str">
            <v>CIVLA</v>
          </cell>
          <cell r="J5717">
            <v>0</v>
          </cell>
        </row>
        <row r="5718">
          <cell r="A5718" t="str">
            <v>CIVLA</v>
          </cell>
          <cell r="J5718">
            <v>0</v>
          </cell>
        </row>
        <row r="5719">
          <cell r="A5719" t="str">
            <v>CIVLA</v>
          </cell>
          <cell r="J5719">
            <v>0</v>
          </cell>
        </row>
        <row r="5720">
          <cell r="A5720" t="str">
            <v>CIVLA</v>
          </cell>
          <cell r="J5720">
            <v>0</v>
          </cell>
        </row>
        <row r="5721">
          <cell r="A5721" t="str">
            <v>CIVLA</v>
          </cell>
          <cell r="J5721">
            <v>0</v>
          </cell>
        </row>
        <row r="5722">
          <cell r="A5722" t="str">
            <v>CIVLA</v>
          </cell>
          <cell r="J5722">
            <v>0</v>
          </cell>
        </row>
        <row r="5723">
          <cell r="A5723" t="str">
            <v>CIVLA</v>
          </cell>
          <cell r="J5723">
            <v>0</v>
          </cell>
        </row>
        <row r="5724">
          <cell r="A5724" t="str">
            <v>CIVLA</v>
          </cell>
          <cell r="J5724">
            <v>0</v>
          </cell>
        </row>
        <row r="5725">
          <cell r="A5725" t="str">
            <v>CIVLA</v>
          </cell>
          <cell r="J5725">
            <v>0</v>
          </cell>
        </row>
        <row r="5726">
          <cell r="A5726" t="str">
            <v>CIVLA</v>
          </cell>
          <cell r="J5726">
            <v>0</v>
          </cell>
        </row>
        <row r="5727">
          <cell r="A5727" t="str">
            <v>CIVLA</v>
          </cell>
          <cell r="J5727">
            <v>0</v>
          </cell>
        </row>
        <row r="5728">
          <cell r="A5728" t="str">
            <v>CIVLA</v>
          </cell>
          <cell r="J5728">
            <v>0</v>
          </cell>
        </row>
        <row r="5729">
          <cell r="A5729" t="str">
            <v>CIVLA</v>
          </cell>
          <cell r="J5729">
            <v>0</v>
          </cell>
        </row>
        <row r="5730">
          <cell r="A5730" t="str">
            <v>CIVLA</v>
          </cell>
          <cell r="J5730">
            <v>0</v>
          </cell>
        </row>
        <row r="5731">
          <cell r="A5731" t="str">
            <v>CIVLA</v>
          </cell>
          <cell r="J5731">
            <v>0</v>
          </cell>
        </row>
        <row r="5732">
          <cell r="A5732" t="str">
            <v>CIVLA</v>
          </cell>
          <cell r="J5732">
            <v>0</v>
          </cell>
        </row>
        <row r="5733">
          <cell r="A5733" t="str">
            <v>CIVLA</v>
          </cell>
          <cell r="J5733">
            <v>0</v>
          </cell>
        </row>
        <row r="5734">
          <cell r="A5734" t="str">
            <v>CIVLA</v>
          </cell>
          <cell r="J5734">
            <v>0</v>
          </cell>
        </row>
        <row r="5735">
          <cell r="A5735" t="str">
            <v>CIVLA</v>
          </cell>
          <cell r="J5735">
            <v>0</v>
          </cell>
        </row>
        <row r="5736">
          <cell r="A5736" t="str">
            <v>CIVLA</v>
          </cell>
          <cell r="J5736">
            <v>0</v>
          </cell>
        </row>
        <row r="5737">
          <cell r="A5737" t="str">
            <v>CIVLA</v>
          </cell>
          <cell r="J5737">
            <v>0</v>
          </cell>
        </row>
        <row r="5738">
          <cell r="A5738" t="str">
            <v>CIVLA</v>
          </cell>
          <cell r="J5738">
            <v>0</v>
          </cell>
        </row>
        <row r="5739">
          <cell r="A5739" t="str">
            <v>CIVLA</v>
          </cell>
          <cell r="J5739">
            <v>0</v>
          </cell>
        </row>
        <row r="5740">
          <cell r="A5740" t="str">
            <v>CIVLA</v>
          </cell>
          <cell r="J5740">
            <v>0</v>
          </cell>
        </row>
        <row r="5741">
          <cell r="A5741" t="str">
            <v>CIVLA</v>
          </cell>
          <cell r="J5741">
            <v>0</v>
          </cell>
        </row>
        <row r="5742">
          <cell r="A5742" t="str">
            <v>CIVLA</v>
          </cell>
          <cell r="J5742">
            <v>0</v>
          </cell>
        </row>
        <row r="5743">
          <cell r="A5743" t="str">
            <v>CIVLA</v>
          </cell>
          <cell r="J5743">
            <v>0</v>
          </cell>
        </row>
        <row r="5744">
          <cell r="A5744" t="str">
            <v>CIVLA</v>
          </cell>
          <cell r="J5744">
            <v>0</v>
          </cell>
        </row>
        <row r="5745">
          <cell r="A5745" t="str">
            <v>CIVLA</v>
          </cell>
          <cell r="J5745">
            <v>0</v>
          </cell>
        </row>
        <row r="5746">
          <cell r="A5746" t="str">
            <v>CIVLA</v>
          </cell>
          <cell r="J5746">
            <v>0</v>
          </cell>
        </row>
        <row r="5747">
          <cell r="A5747" t="str">
            <v>CIVLA</v>
          </cell>
          <cell r="J5747">
            <v>0</v>
          </cell>
        </row>
        <row r="5748">
          <cell r="A5748" t="str">
            <v>CIVLA</v>
          </cell>
          <cell r="J5748">
            <v>0</v>
          </cell>
        </row>
        <row r="5749">
          <cell r="A5749" t="str">
            <v>CIVLA</v>
          </cell>
          <cell r="J5749">
            <v>0</v>
          </cell>
        </row>
        <row r="5750">
          <cell r="A5750" t="str">
            <v>CIVLA</v>
          </cell>
          <cell r="J5750">
            <v>0</v>
          </cell>
        </row>
        <row r="5751">
          <cell r="A5751" t="str">
            <v>CIVLA</v>
          </cell>
          <cell r="J5751">
            <v>0</v>
          </cell>
        </row>
        <row r="5752">
          <cell r="A5752" t="str">
            <v>CIVLA</v>
          </cell>
          <cell r="J5752">
            <v>0</v>
          </cell>
        </row>
        <row r="5753">
          <cell r="A5753" t="str">
            <v>CIVLA</v>
          </cell>
          <cell r="J5753">
            <v>0</v>
          </cell>
        </row>
        <row r="5754">
          <cell r="A5754" t="str">
            <v>CIVLA</v>
          </cell>
          <cell r="J5754">
            <v>0</v>
          </cell>
        </row>
        <row r="5755">
          <cell r="A5755" t="str">
            <v>CIVLA</v>
          </cell>
          <cell r="J5755">
            <v>0</v>
          </cell>
        </row>
        <row r="5756">
          <cell r="A5756" t="str">
            <v>CIVLA</v>
          </cell>
          <cell r="J5756">
            <v>0</v>
          </cell>
        </row>
        <row r="5757">
          <cell r="A5757" t="str">
            <v>CIVLA</v>
          </cell>
          <cell r="J5757">
            <v>0</v>
          </cell>
        </row>
        <row r="5758">
          <cell r="A5758" t="str">
            <v>CIVLA</v>
          </cell>
          <cell r="J5758">
            <v>0</v>
          </cell>
        </row>
        <row r="5759">
          <cell r="A5759" t="str">
            <v>CIVLA</v>
          </cell>
          <cell r="J5759">
            <v>0</v>
          </cell>
        </row>
        <row r="5760">
          <cell r="A5760" t="str">
            <v>CIVLA</v>
          </cell>
          <cell r="J5760">
            <v>0</v>
          </cell>
        </row>
        <row r="5761">
          <cell r="A5761" t="str">
            <v>CIVLA</v>
          </cell>
          <cell r="J5761">
            <v>0</v>
          </cell>
        </row>
        <row r="5762">
          <cell r="A5762" t="str">
            <v>CIVLA</v>
          </cell>
          <cell r="J5762">
            <v>0</v>
          </cell>
        </row>
        <row r="5763">
          <cell r="A5763" t="str">
            <v>CIVLA</v>
          </cell>
          <cell r="J5763">
            <v>0</v>
          </cell>
        </row>
        <row r="5764">
          <cell r="A5764" t="str">
            <v>CIVLA</v>
          </cell>
          <cell r="J5764">
            <v>0</v>
          </cell>
        </row>
        <row r="5765">
          <cell r="A5765" t="str">
            <v>CIVLA</v>
          </cell>
          <cell r="J5765">
            <v>0</v>
          </cell>
        </row>
        <row r="5766">
          <cell r="A5766" t="str">
            <v>CIVLA</v>
          </cell>
          <cell r="J5766">
            <v>0</v>
          </cell>
        </row>
        <row r="5767">
          <cell r="A5767" t="str">
            <v>CIVLA</v>
          </cell>
          <cell r="J5767">
            <v>0</v>
          </cell>
        </row>
        <row r="5768">
          <cell r="A5768" t="str">
            <v>CIVLA</v>
          </cell>
          <cell r="J5768">
            <v>0</v>
          </cell>
        </row>
        <row r="5769">
          <cell r="A5769" t="str">
            <v>CIVLA</v>
          </cell>
          <cell r="J5769">
            <v>0</v>
          </cell>
        </row>
        <row r="5770">
          <cell r="A5770" t="str">
            <v>CIVLA</v>
          </cell>
          <cell r="J5770">
            <v>0</v>
          </cell>
        </row>
        <row r="5771">
          <cell r="A5771" t="str">
            <v>CIVLA</v>
          </cell>
          <cell r="J5771">
            <v>0</v>
          </cell>
        </row>
        <row r="5772">
          <cell r="A5772" t="str">
            <v>CIVLA</v>
          </cell>
          <cell r="J5772">
            <v>0</v>
          </cell>
        </row>
        <row r="5773">
          <cell r="A5773" t="str">
            <v>CIVLA</v>
          </cell>
          <cell r="J5773">
            <v>0</v>
          </cell>
        </row>
        <row r="5774">
          <cell r="A5774" t="str">
            <v>CIVLA</v>
          </cell>
          <cell r="J5774">
            <v>0</v>
          </cell>
        </row>
        <row r="5775">
          <cell r="A5775" t="str">
            <v>CIVLA</v>
          </cell>
          <cell r="J5775">
            <v>0</v>
          </cell>
        </row>
        <row r="5776">
          <cell r="A5776" t="str">
            <v>CIVLA</v>
          </cell>
          <cell r="J5776">
            <v>0</v>
          </cell>
        </row>
        <row r="5777">
          <cell r="A5777" t="str">
            <v>CIVLA</v>
          </cell>
          <cell r="J5777">
            <v>0</v>
          </cell>
        </row>
        <row r="5778">
          <cell r="A5778" t="str">
            <v>CIVLA</v>
          </cell>
          <cell r="J5778">
            <v>0</v>
          </cell>
        </row>
        <row r="5779">
          <cell r="A5779" t="str">
            <v>CIVLA</v>
          </cell>
          <cell r="J5779">
            <v>0</v>
          </cell>
        </row>
        <row r="5780">
          <cell r="A5780" t="str">
            <v>CIVLA</v>
          </cell>
          <cell r="J5780">
            <v>0</v>
          </cell>
        </row>
        <row r="5781">
          <cell r="A5781" t="str">
            <v>CIVLA</v>
          </cell>
          <cell r="J5781">
            <v>0</v>
          </cell>
        </row>
        <row r="5782">
          <cell r="A5782" t="str">
            <v>CIVLA</v>
          </cell>
          <cell r="J5782">
            <v>0</v>
          </cell>
        </row>
        <row r="5783">
          <cell r="A5783" t="str">
            <v>CIVLA</v>
          </cell>
          <cell r="J5783">
            <v>0</v>
          </cell>
        </row>
        <row r="5784">
          <cell r="A5784" t="str">
            <v>CIVLA</v>
          </cell>
          <cell r="J5784">
            <v>0</v>
          </cell>
        </row>
        <row r="5785">
          <cell r="A5785" t="str">
            <v>CIVLA</v>
          </cell>
          <cell r="J5785">
            <v>0</v>
          </cell>
        </row>
        <row r="5786">
          <cell r="A5786" t="str">
            <v>CIVLA</v>
          </cell>
          <cell r="J5786">
            <v>0</v>
          </cell>
        </row>
        <row r="5787">
          <cell r="A5787" t="str">
            <v>CIVLA</v>
          </cell>
          <cell r="J5787">
            <v>0</v>
          </cell>
        </row>
        <row r="5788">
          <cell r="A5788" t="str">
            <v>CIVLA</v>
          </cell>
          <cell r="J5788">
            <v>0</v>
          </cell>
        </row>
        <row r="5789">
          <cell r="A5789" t="str">
            <v>CIVLA</v>
          </cell>
          <cell r="J5789">
            <v>0</v>
          </cell>
        </row>
        <row r="5790">
          <cell r="A5790" t="str">
            <v>CIVLA</v>
          </cell>
          <cell r="J5790">
            <v>0</v>
          </cell>
        </row>
        <row r="5791">
          <cell r="A5791" t="str">
            <v>CIVLA</v>
          </cell>
          <cell r="J5791">
            <v>0</v>
          </cell>
        </row>
        <row r="5792">
          <cell r="A5792" t="str">
            <v>CIVLA</v>
          </cell>
          <cell r="J5792">
            <v>0</v>
          </cell>
        </row>
        <row r="5793">
          <cell r="A5793" t="str">
            <v>CIVLA</v>
          </cell>
          <cell r="J5793">
            <v>0</v>
          </cell>
        </row>
        <row r="5794">
          <cell r="A5794" t="str">
            <v>CIVLA</v>
          </cell>
          <cell r="J5794">
            <v>0</v>
          </cell>
        </row>
        <row r="5795">
          <cell r="A5795" t="str">
            <v>CIVLA</v>
          </cell>
          <cell r="J5795">
            <v>0</v>
          </cell>
        </row>
        <row r="5796">
          <cell r="A5796" t="str">
            <v>CIVLA</v>
          </cell>
          <cell r="J5796">
            <v>0</v>
          </cell>
        </row>
        <row r="5797">
          <cell r="A5797" t="str">
            <v>CIVLA</v>
          </cell>
          <cell r="J5797">
            <v>0</v>
          </cell>
        </row>
        <row r="5798">
          <cell r="A5798" t="str">
            <v>CIVLA</v>
          </cell>
          <cell r="J5798">
            <v>0</v>
          </cell>
        </row>
        <row r="5799">
          <cell r="A5799" t="str">
            <v>CIVLA</v>
          </cell>
          <cell r="J5799">
            <v>0</v>
          </cell>
        </row>
        <row r="5800">
          <cell r="A5800" t="str">
            <v>CIVLA</v>
          </cell>
          <cell r="J5800">
            <v>0</v>
          </cell>
        </row>
        <row r="5801">
          <cell r="A5801" t="str">
            <v>CIVLA</v>
          </cell>
          <cell r="J5801">
            <v>0</v>
          </cell>
        </row>
        <row r="5802">
          <cell r="A5802" t="str">
            <v>CIVLA</v>
          </cell>
          <cell r="J5802">
            <v>0</v>
          </cell>
        </row>
        <row r="5803">
          <cell r="A5803" t="str">
            <v>CIVLA</v>
          </cell>
          <cell r="J5803">
            <v>0</v>
          </cell>
        </row>
        <row r="5804">
          <cell r="A5804" t="str">
            <v>CIVLA</v>
          </cell>
          <cell r="J5804">
            <v>0</v>
          </cell>
        </row>
        <row r="5805">
          <cell r="A5805" t="str">
            <v>CIVLA</v>
          </cell>
          <cell r="J5805">
            <v>0</v>
          </cell>
        </row>
        <row r="5806">
          <cell r="A5806" t="str">
            <v>CIVLA</v>
          </cell>
          <cell r="J5806">
            <v>0</v>
          </cell>
        </row>
        <row r="5807">
          <cell r="A5807" t="str">
            <v>CIVLA</v>
          </cell>
          <cell r="J5807">
            <v>0</v>
          </cell>
        </row>
        <row r="5808">
          <cell r="A5808" t="str">
            <v>CIVLA</v>
          </cell>
          <cell r="J5808">
            <v>0</v>
          </cell>
        </row>
        <row r="5809">
          <cell r="A5809" t="str">
            <v>CIVLA</v>
          </cell>
          <cell r="J5809">
            <v>0</v>
          </cell>
        </row>
        <row r="5810">
          <cell r="A5810" t="str">
            <v>CIVLA</v>
          </cell>
          <cell r="J5810">
            <v>0</v>
          </cell>
        </row>
        <row r="5811">
          <cell r="A5811" t="str">
            <v>CIVLA</v>
          </cell>
          <cell r="J5811">
            <v>0</v>
          </cell>
        </row>
        <row r="5812">
          <cell r="A5812" t="str">
            <v>CIVLA</v>
          </cell>
          <cell r="J5812">
            <v>0</v>
          </cell>
        </row>
        <row r="5813">
          <cell r="A5813" t="str">
            <v>CIVLA</v>
          </cell>
          <cell r="J5813">
            <v>0</v>
          </cell>
        </row>
        <row r="5814">
          <cell r="A5814" t="str">
            <v>CIVLA</v>
          </cell>
          <cell r="J5814">
            <v>0</v>
          </cell>
        </row>
        <row r="5815">
          <cell r="A5815" t="str">
            <v>CIVLA</v>
          </cell>
          <cell r="J5815">
            <v>0</v>
          </cell>
        </row>
        <row r="5816">
          <cell r="A5816" t="str">
            <v>CIVLA</v>
          </cell>
          <cell r="J5816">
            <v>0</v>
          </cell>
        </row>
        <row r="5817">
          <cell r="A5817" t="str">
            <v>CIVLA</v>
          </cell>
          <cell r="J5817">
            <v>0</v>
          </cell>
        </row>
        <row r="5818">
          <cell r="A5818" t="str">
            <v>CIVLA</v>
          </cell>
          <cell r="J5818">
            <v>0</v>
          </cell>
        </row>
        <row r="5819">
          <cell r="A5819" t="str">
            <v>CIVLA</v>
          </cell>
          <cell r="J5819">
            <v>0</v>
          </cell>
        </row>
        <row r="5820">
          <cell r="A5820" t="str">
            <v>CIVLA</v>
          </cell>
          <cell r="J5820">
            <v>0</v>
          </cell>
        </row>
        <row r="5821">
          <cell r="A5821" t="str">
            <v>CIVLA</v>
          </cell>
          <cell r="J5821">
            <v>0</v>
          </cell>
        </row>
        <row r="5822">
          <cell r="A5822" t="str">
            <v>CIVLA</v>
          </cell>
          <cell r="J5822">
            <v>0</v>
          </cell>
        </row>
        <row r="5823">
          <cell r="A5823" t="str">
            <v>CIVLA</v>
          </cell>
          <cell r="J5823">
            <v>0</v>
          </cell>
        </row>
        <row r="5824">
          <cell r="A5824" t="str">
            <v>CIVLA</v>
          </cell>
          <cell r="J5824">
            <v>0</v>
          </cell>
        </row>
        <row r="5825">
          <cell r="A5825" t="str">
            <v>CIVLA</v>
          </cell>
          <cell r="J5825">
            <v>0</v>
          </cell>
        </row>
        <row r="5826">
          <cell r="A5826" t="str">
            <v>CIVLA</v>
          </cell>
          <cell r="J5826">
            <v>0</v>
          </cell>
        </row>
        <row r="5827">
          <cell r="A5827" t="str">
            <v>CIVLA</v>
          </cell>
          <cell r="J5827">
            <v>0</v>
          </cell>
        </row>
        <row r="5828">
          <cell r="A5828" t="str">
            <v>CIVLA</v>
          </cell>
          <cell r="J5828">
            <v>0</v>
          </cell>
        </row>
        <row r="5829">
          <cell r="A5829" t="str">
            <v>CIVLA</v>
          </cell>
          <cell r="J5829">
            <v>0</v>
          </cell>
        </row>
        <row r="5830">
          <cell r="A5830" t="str">
            <v>CIVLA</v>
          </cell>
          <cell r="J5830">
            <v>0</v>
          </cell>
        </row>
        <row r="5831">
          <cell r="A5831" t="str">
            <v>CIVLA</v>
          </cell>
          <cell r="J5831">
            <v>0</v>
          </cell>
        </row>
        <row r="5832">
          <cell r="A5832" t="str">
            <v>CIVLA</v>
          </cell>
          <cell r="J5832">
            <v>0</v>
          </cell>
        </row>
        <row r="5833">
          <cell r="A5833" t="str">
            <v>CIVLA</v>
          </cell>
          <cell r="J5833">
            <v>0</v>
          </cell>
        </row>
        <row r="5834">
          <cell r="A5834" t="str">
            <v>CIVLA</v>
          </cell>
          <cell r="J5834">
            <v>0</v>
          </cell>
        </row>
        <row r="5835">
          <cell r="A5835" t="str">
            <v>CIVLA</v>
          </cell>
          <cell r="J5835">
            <v>0</v>
          </cell>
        </row>
        <row r="5836">
          <cell r="A5836" t="str">
            <v>CIVLA</v>
          </cell>
          <cell r="J5836">
            <v>0</v>
          </cell>
        </row>
        <row r="5837">
          <cell r="A5837" t="str">
            <v>CIVLA</v>
          </cell>
          <cell r="J5837">
            <v>0</v>
          </cell>
        </row>
        <row r="5838">
          <cell r="A5838" t="str">
            <v>CIVLA</v>
          </cell>
          <cell r="J5838">
            <v>0</v>
          </cell>
        </row>
        <row r="5839">
          <cell r="A5839" t="str">
            <v>CIVLA</v>
          </cell>
          <cell r="J5839">
            <v>0</v>
          </cell>
        </row>
        <row r="5840">
          <cell r="A5840" t="str">
            <v>CIVLA</v>
          </cell>
          <cell r="J5840">
            <v>0</v>
          </cell>
        </row>
        <row r="5841">
          <cell r="A5841" t="str">
            <v>CIVLA</v>
          </cell>
          <cell r="J5841">
            <v>0</v>
          </cell>
        </row>
        <row r="5842">
          <cell r="A5842" t="str">
            <v>CIVLA</v>
          </cell>
          <cell r="J5842">
            <v>0</v>
          </cell>
        </row>
        <row r="5843">
          <cell r="A5843" t="str">
            <v>CIVLA</v>
          </cell>
          <cell r="J5843">
            <v>0</v>
          </cell>
        </row>
        <row r="5844">
          <cell r="A5844" t="str">
            <v>CIVLA</v>
          </cell>
          <cell r="J5844">
            <v>0</v>
          </cell>
        </row>
        <row r="5845">
          <cell r="A5845" t="str">
            <v>CIVLA</v>
          </cell>
          <cell r="J5845">
            <v>0</v>
          </cell>
        </row>
        <row r="5846">
          <cell r="A5846" t="str">
            <v>CIVLA</v>
          </cell>
          <cell r="J5846">
            <v>0</v>
          </cell>
        </row>
        <row r="5847">
          <cell r="A5847" t="str">
            <v>CIVLA</v>
          </cell>
          <cell r="J5847">
            <v>0</v>
          </cell>
        </row>
        <row r="5848">
          <cell r="A5848" t="str">
            <v>CIVLA</v>
          </cell>
          <cell r="J5848">
            <v>0</v>
          </cell>
        </row>
        <row r="5849">
          <cell r="A5849" t="str">
            <v>CIVLA</v>
          </cell>
          <cell r="J5849">
            <v>0</v>
          </cell>
        </row>
        <row r="5850">
          <cell r="A5850" t="str">
            <v>CIVLA</v>
          </cell>
          <cell r="J5850">
            <v>0</v>
          </cell>
        </row>
        <row r="5851">
          <cell r="A5851" t="str">
            <v>CIVLA</v>
          </cell>
          <cell r="J5851">
            <v>0</v>
          </cell>
        </row>
        <row r="5852">
          <cell r="A5852" t="str">
            <v>CIVLA</v>
          </cell>
          <cell r="J5852">
            <v>0</v>
          </cell>
        </row>
        <row r="5853">
          <cell r="A5853" t="str">
            <v>CIVLA</v>
          </cell>
          <cell r="J5853">
            <v>0</v>
          </cell>
        </row>
        <row r="5854">
          <cell r="A5854" t="str">
            <v>CIVLA</v>
          </cell>
          <cell r="J5854">
            <v>0</v>
          </cell>
        </row>
        <row r="5855">
          <cell r="A5855" t="str">
            <v>CIVLA</v>
          </cell>
          <cell r="J5855">
            <v>0</v>
          </cell>
        </row>
        <row r="5856">
          <cell r="A5856" t="str">
            <v>CIVLA</v>
          </cell>
          <cell r="J5856">
            <v>0</v>
          </cell>
        </row>
        <row r="5857">
          <cell r="A5857" t="str">
            <v>CIVLA</v>
          </cell>
          <cell r="J5857">
            <v>0</v>
          </cell>
        </row>
        <row r="5858">
          <cell r="A5858" t="str">
            <v>CIVLA</v>
          </cell>
          <cell r="J5858">
            <v>0</v>
          </cell>
        </row>
        <row r="5859">
          <cell r="A5859" t="str">
            <v>CIVLA</v>
          </cell>
          <cell r="J5859">
            <v>0</v>
          </cell>
        </row>
        <row r="5860">
          <cell r="A5860" t="str">
            <v>CIVLA</v>
          </cell>
          <cell r="J5860">
            <v>0</v>
          </cell>
        </row>
        <row r="5861">
          <cell r="A5861" t="str">
            <v>CIVLA</v>
          </cell>
          <cell r="J5861">
            <v>0</v>
          </cell>
        </row>
        <row r="5862">
          <cell r="A5862" t="str">
            <v>CIVLA</v>
          </cell>
          <cell r="J5862">
            <v>0</v>
          </cell>
        </row>
        <row r="5863">
          <cell r="A5863" t="str">
            <v>CIVLA</v>
          </cell>
          <cell r="J5863">
            <v>0</v>
          </cell>
        </row>
        <row r="5864">
          <cell r="A5864" t="str">
            <v>CIVLA</v>
          </cell>
          <cell r="J5864">
            <v>0</v>
          </cell>
        </row>
        <row r="5865">
          <cell r="A5865" t="str">
            <v>CIVLA</v>
          </cell>
          <cell r="J5865">
            <v>0</v>
          </cell>
        </row>
        <row r="5866">
          <cell r="A5866" t="str">
            <v>CIVLA</v>
          </cell>
          <cell r="J5866">
            <v>0</v>
          </cell>
        </row>
        <row r="5867">
          <cell r="A5867" t="str">
            <v>CIVLA</v>
          </cell>
          <cell r="J5867">
            <v>0</v>
          </cell>
        </row>
        <row r="5868">
          <cell r="A5868" t="str">
            <v>CIVLA</v>
          </cell>
          <cell r="J5868">
            <v>0</v>
          </cell>
        </row>
        <row r="5869">
          <cell r="A5869" t="str">
            <v>CIVLA</v>
          </cell>
          <cell r="J5869">
            <v>0</v>
          </cell>
        </row>
        <row r="5870">
          <cell r="A5870" t="str">
            <v>CIVLA</v>
          </cell>
          <cell r="J5870">
            <v>0</v>
          </cell>
        </row>
        <row r="5871">
          <cell r="A5871" t="str">
            <v>CIVLA</v>
          </cell>
          <cell r="J5871">
            <v>0</v>
          </cell>
        </row>
        <row r="5872">
          <cell r="A5872" t="str">
            <v>CIVLA</v>
          </cell>
          <cell r="J5872">
            <v>0</v>
          </cell>
        </row>
        <row r="5873">
          <cell r="A5873" t="str">
            <v>CIVLA</v>
          </cell>
          <cell r="J5873">
            <v>0</v>
          </cell>
        </row>
        <row r="5874">
          <cell r="A5874" t="str">
            <v>CIVLA</v>
          </cell>
          <cell r="J5874">
            <v>0</v>
          </cell>
        </row>
        <row r="5875">
          <cell r="A5875" t="str">
            <v>CIVLA</v>
          </cell>
          <cell r="J5875">
            <v>0</v>
          </cell>
        </row>
        <row r="5876">
          <cell r="A5876" t="str">
            <v>CIVLA</v>
          </cell>
          <cell r="J5876">
            <v>0</v>
          </cell>
        </row>
        <row r="5877">
          <cell r="A5877" t="str">
            <v>CIVLA</v>
          </cell>
          <cell r="J5877">
            <v>0</v>
          </cell>
        </row>
        <row r="5878">
          <cell r="A5878" t="str">
            <v>CIVLA</v>
          </cell>
          <cell r="J5878">
            <v>0</v>
          </cell>
        </row>
        <row r="5879">
          <cell r="A5879" t="str">
            <v>CIVLA</v>
          </cell>
          <cell r="J5879">
            <v>0</v>
          </cell>
        </row>
        <row r="5880">
          <cell r="A5880" t="str">
            <v>CIVLA</v>
          </cell>
          <cell r="J5880">
            <v>0</v>
          </cell>
        </row>
        <row r="5881">
          <cell r="A5881" t="str">
            <v>CIVLA</v>
          </cell>
          <cell r="J5881">
            <v>0</v>
          </cell>
        </row>
        <row r="5882">
          <cell r="A5882" t="str">
            <v>CIVLA</v>
          </cell>
          <cell r="J5882">
            <v>0</v>
          </cell>
        </row>
        <row r="5883">
          <cell r="A5883" t="str">
            <v>CIVLA</v>
          </cell>
          <cell r="J5883">
            <v>0</v>
          </cell>
        </row>
        <row r="5884">
          <cell r="A5884" t="str">
            <v>CIVLA</v>
          </cell>
          <cell r="J5884">
            <v>0</v>
          </cell>
        </row>
        <row r="5885">
          <cell r="A5885" t="str">
            <v>CIVLA</v>
          </cell>
          <cell r="J5885">
            <v>0</v>
          </cell>
        </row>
        <row r="5886">
          <cell r="A5886" t="str">
            <v>CIVLA</v>
          </cell>
          <cell r="J5886">
            <v>0</v>
          </cell>
        </row>
        <row r="5887">
          <cell r="A5887" t="str">
            <v>CIVLA</v>
          </cell>
          <cell r="J5887">
            <v>0</v>
          </cell>
        </row>
        <row r="5888">
          <cell r="A5888" t="str">
            <v>CIVLA</v>
          </cell>
          <cell r="J5888">
            <v>0</v>
          </cell>
        </row>
        <row r="5889">
          <cell r="A5889" t="str">
            <v>CIVLA</v>
          </cell>
          <cell r="J5889">
            <v>0</v>
          </cell>
        </row>
        <row r="5890">
          <cell r="A5890" t="str">
            <v>CIVLA</v>
          </cell>
          <cell r="J5890">
            <v>0</v>
          </cell>
        </row>
        <row r="5891">
          <cell r="A5891" t="str">
            <v>CIVLA</v>
          </cell>
          <cell r="J5891">
            <v>0</v>
          </cell>
        </row>
        <row r="5892">
          <cell r="A5892" t="str">
            <v>CIVLA</v>
          </cell>
          <cell r="J5892">
            <v>0</v>
          </cell>
        </row>
        <row r="5893">
          <cell r="A5893" t="str">
            <v>CIVLA</v>
          </cell>
          <cell r="J5893">
            <v>0</v>
          </cell>
        </row>
        <row r="5894">
          <cell r="A5894" t="str">
            <v>CIVLA</v>
          </cell>
          <cell r="J5894">
            <v>0</v>
          </cell>
        </row>
        <row r="5895">
          <cell r="A5895" t="str">
            <v>CIVLA</v>
          </cell>
          <cell r="J5895">
            <v>0</v>
          </cell>
        </row>
        <row r="5896">
          <cell r="A5896" t="str">
            <v>CIVLA</v>
          </cell>
          <cell r="J5896">
            <v>0</v>
          </cell>
        </row>
        <row r="5897">
          <cell r="A5897" t="str">
            <v>CIVLA</v>
          </cell>
          <cell r="J5897">
            <v>0</v>
          </cell>
        </row>
        <row r="5898">
          <cell r="A5898" t="str">
            <v>CIVLA</v>
          </cell>
          <cell r="J5898">
            <v>0</v>
          </cell>
        </row>
        <row r="5899">
          <cell r="A5899" t="str">
            <v>CIVLA</v>
          </cell>
          <cell r="J5899">
            <v>0</v>
          </cell>
        </row>
        <row r="5900">
          <cell r="A5900" t="str">
            <v>CIVLA</v>
          </cell>
          <cell r="J5900">
            <v>0</v>
          </cell>
        </row>
        <row r="5901">
          <cell r="A5901" t="str">
            <v>CIVLA</v>
          </cell>
          <cell r="J5901">
            <v>0</v>
          </cell>
        </row>
        <row r="5902">
          <cell r="A5902" t="str">
            <v>CIVLA</v>
          </cell>
          <cell r="J5902">
            <v>0</v>
          </cell>
        </row>
        <row r="5903">
          <cell r="A5903" t="str">
            <v>CIVLA</v>
          </cell>
          <cell r="J5903">
            <v>0</v>
          </cell>
        </row>
        <row r="5904">
          <cell r="A5904" t="str">
            <v>CIVLA</v>
          </cell>
          <cell r="J5904">
            <v>0</v>
          </cell>
        </row>
        <row r="5905">
          <cell r="A5905" t="str">
            <v>CIVLA</v>
          </cell>
          <cell r="J5905">
            <v>0</v>
          </cell>
        </row>
        <row r="5906">
          <cell r="A5906" t="str">
            <v>CIVLA</v>
          </cell>
          <cell r="J5906">
            <v>0</v>
          </cell>
        </row>
        <row r="5907">
          <cell r="A5907" t="str">
            <v>CIVLA</v>
          </cell>
          <cell r="J5907">
            <v>0</v>
          </cell>
        </row>
        <row r="5908">
          <cell r="A5908" t="str">
            <v>CIVLA</v>
          </cell>
          <cell r="J5908">
            <v>0</v>
          </cell>
        </row>
        <row r="5909">
          <cell r="A5909" t="str">
            <v>CIVLA</v>
          </cell>
          <cell r="J5909">
            <v>0</v>
          </cell>
        </row>
        <row r="5910">
          <cell r="A5910" t="str">
            <v>CIVLA</v>
          </cell>
          <cell r="J5910">
            <v>0</v>
          </cell>
        </row>
        <row r="5911">
          <cell r="A5911" t="str">
            <v>CIVLA</v>
          </cell>
          <cell r="J5911">
            <v>0</v>
          </cell>
        </row>
        <row r="5912">
          <cell r="A5912" t="str">
            <v>CIVLA</v>
          </cell>
          <cell r="J5912">
            <v>0</v>
          </cell>
        </row>
        <row r="5913">
          <cell r="A5913" t="str">
            <v>CIVLA</v>
          </cell>
          <cell r="J5913">
            <v>0</v>
          </cell>
        </row>
        <row r="5914">
          <cell r="A5914" t="str">
            <v>CIVLA</v>
          </cell>
          <cell r="J5914">
            <v>0</v>
          </cell>
        </row>
        <row r="5915">
          <cell r="A5915" t="str">
            <v>CIVLA</v>
          </cell>
          <cell r="J5915">
            <v>0</v>
          </cell>
        </row>
        <row r="5916">
          <cell r="A5916" t="str">
            <v>CIVLA</v>
          </cell>
          <cell r="J5916">
            <v>0</v>
          </cell>
        </row>
        <row r="5917">
          <cell r="A5917" t="str">
            <v>CIVLA</v>
          </cell>
          <cell r="J5917">
            <v>0</v>
          </cell>
        </row>
        <row r="5918">
          <cell r="A5918" t="str">
            <v>CIVLA</v>
          </cell>
          <cell r="J5918">
            <v>0</v>
          </cell>
        </row>
        <row r="5919">
          <cell r="A5919" t="str">
            <v>CIVLA</v>
          </cell>
          <cell r="J5919">
            <v>0</v>
          </cell>
        </row>
        <row r="5920">
          <cell r="A5920" t="str">
            <v>CIVLA</v>
          </cell>
          <cell r="J5920">
            <v>0</v>
          </cell>
        </row>
        <row r="5921">
          <cell r="A5921" t="str">
            <v>CIVLA</v>
          </cell>
          <cell r="J5921">
            <v>0</v>
          </cell>
        </row>
        <row r="5922">
          <cell r="A5922" t="str">
            <v>CIVLA</v>
          </cell>
          <cell r="J5922">
            <v>0</v>
          </cell>
        </row>
        <row r="5923">
          <cell r="A5923" t="str">
            <v>CIVLA</v>
          </cell>
          <cell r="J5923">
            <v>0</v>
          </cell>
        </row>
        <row r="5924">
          <cell r="A5924" t="str">
            <v>CIVLA</v>
          </cell>
          <cell r="J5924">
            <v>0</v>
          </cell>
        </row>
        <row r="5925">
          <cell r="A5925" t="str">
            <v>CIVLA</v>
          </cell>
          <cell r="J5925">
            <v>0</v>
          </cell>
        </row>
        <row r="5926">
          <cell r="A5926" t="str">
            <v>CIVLA</v>
          </cell>
          <cell r="J5926">
            <v>0</v>
          </cell>
        </row>
        <row r="5927">
          <cell r="A5927" t="str">
            <v>CIVLA</v>
          </cell>
          <cell r="J5927">
            <v>0</v>
          </cell>
        </row>
        <row r="5928">
          <cell r="A5928" t="str">
            <v>CIVLA</v>
          </cell>
          <cell r="J5928">
            <v>0</v>
          </cell>
        </row>
        <row r="5929">
          <cell r="A5929" t="str">
            <v>CIVLA</v>
          </cell>
          <cell r="J5929">
            <v>0</v>
          </cell>
        </row>
        <row r="5930">
          <cell r="A5930" t="str">
            <v>CIVLA</v>
          </cell>
          <cell r="J5930">
            <v>0</v>
          </cell>
        </row>
        <row r="5931">
          <cell r="A5931" t="str">
            <v>CIVLA</v>
          </cell>
          <cell r="J5931">
            <v>0</v>
          </cell>
        </row>
        <row r="5932">
          <cell r="A5932" t="str">
            <v>CIVLA</v>
          </cell>
          <cell r="J5932">
            <v>0</v>
          </cell>
        </row>
        <row r="5933">
          <cell r="A5933" t="str">
            <v>CIVLA</v>
          </cell>
          <cell r="J5933">
            <v>0</v>
          </cell>
        </row>
        <row r="5934">
          <cell r="A5934" t="str">
            <v>CIVLA</v>
          </cell>
          <cell r="J5934">
            <v>0</v>
          </cell>
        </row>
        <row r="5935">
          <cell r="A5935" t="str">
            <v>CIVLA</v>
          </cell>
          <cell r="J5935">
            <v>0</v>
          </cell>
        </row>
        <row r="5936">
          <cell r="A5936" t="str">
            <v>CIVLA</v>
          </cell>
          <cell r="J5936">
            <v>0</v>
          </cell>
        </row>
        <row r="5937">
          <cell r="A5937" t="str">
            <v>CIVLA</v>
          </cell>
          <cell r="J5937">
            <v>0</v>
          </cell>
        </row>
        <row r="5938">
          <cell r="A5938" t="str">
            <v>CIVLA</v>
          </cell>
          <cell r="J5938">
            <v>0</v>
          </cell>
        </row>
        <row r="5939">
          <cell r="A5939" t="str">
            <v>CIVLA</v>
          </cell>
          <cell r="J5939">
            <v>0</v>
          </cell>
        </row>
        <row r="5940">
          <cell r="A5940" t="str">
            <v>CIVLA</v>
          </cell>
          <cell r="J5940">
            <v>0</v>
          </cell>
        </row>
        <row r="5941">
          <cell r="A5941" t="str">
            <v>CIVLA</v>
          </cell>
          <cell r="J5941">
            <v>0</v>
          </cell>
        </row>
        <row r="5942">
          <cell r="A5942" t="str">
            <v>CIVLA</v>
          </cell>
          <cell r="J5942">
            <v>0</v>
          </cell>
        </row>
        <row r="5943">
          <cell r="A5943" t="str">
            <v>CIVLA</v>
          </cell>
          <cell r="J5943">
            <v>0</v>
          </cell>
        </row>
        <row r="5944">
          <cell r="A5944" t="str">
            <v>CIVLA</v>
          </cell>
          <cell r="J5944">
            <v>0</v>
          </cell>
        </row>
        <row r="5945">
          <cell r="A5945" t="str">
            <v>CIVLA</v>
          </cell>
          <cell r="J5945">
            <v>0</v>
          </cell>
        </row>
        <row r="5946">
          <cell r="A5946" t="str">
            <v>CIVLA</v>
          </cell>
          <cell r="J5946">
            <v>0</v>
          </cell>
        </row>
        <row r="5947">
          <cell r="A5947" t="str">
            <v>CIVLA</v>
          </cell>
          <cell r="J5947">
            <v>0</v>
          </cell>
        </row>
        <row r="5948">
          <cell r="A5948" t="str">
            <v>CIVLA</v>
          </cell>
          <cell r="J5948">
            <v>0</v>
          </cell>
        </row>
        <row r="5949">
          <cell r="A5949" t="str">
            <v>CIVLA</v>
          </cell>
          <cell r="J5949">
            <v>0</v>
          </cell>
        </row>
        <row r="5950">
          <cell r="A5950" t="str">
            <v>CIVLA</v>
          </cell>
          <cell r="J5950">
            <v>0</v>
          </cell>
        </row>
        <row r="5951">
          <cell r="A5951" t="str">
            <v>CIVLA</v>
          </cell>
          <cell r="J5951">
            <v>0</v>
          </cell>
        </row>
        <row r="5952">
          <cell r="A5952" t="str">
            <v>CIVLA</v>
          </cell>
          <cell r="J5952">
            <v>0</v>
          </cell>
        </row>
        <row r="5953">
          <cell r="A5953" t="str">
            <v>CIVLA</v>
          </cell>
          <cell r="J5953">
            <v>0</v>
          </cell>
        </row>
        <row r="5954">
          <cell r="A5954" t="str">
            <v>CIVLA</v>
          </cell>
          <cell r="J5954">
            <v>0</v>
          </cell>
        </row>
        <row r="5955">
          <cell r="A5955" t="str">
            <v>CIVLA</v>
          </cell>
          <cell r="J5955">
            <v>0</v>
          </cell>
        </row>
        <row r="5956">
          <cell r="A5956" t="str">
            <v>CIVLA</v>
          </cell>
          <cell r="J5956">
            <v>0</v>
          </cell>
        </row>
        <row r="5957">
          <cell r="A5957" t="str">
            <v>CIVLA</v>
          </cell>
          <cell r="J5957">
            <v>0</v>
          </cell>
        </row>
        <row r="5958">
          <cell r="A5958" t="str">
            <v>CIVLA</v>
          </cell>
          <cell r="J5958">
            <v>0</v>
          </cell>
        </row>
        <row r="5959">
          <cell r="A5959" t="str">
            <v>CIVLA</v>
          </cell>
          <cell r="J5959">
            <v>0</v>
          </cell>
        </row>
        <row r="5960">
          <cell r="A5960" t="str">
            <v>CIVLA</v>
          </cell>
          <cell r="J5960">
            <v>0</v>
          </cell>
        </row>
        <row r="5961">
          <cell r="A5961" t="str">
            <v>CIVLA</v>
          </cell>
          <cell r="J5961">
            <v>0</v>
          </cell>
        </row>
        <row r="5962">
          <cell r="A5962" t="str">
            <v>CIVLA</v>
          </cell>
          <cell r="J5962">
            <v>0</v>
          </cell>
        </row>
        <row r="5963">
          <cell r="A5963" t="str">
            <v>CIVLA</v>
          </cell>
          <cell r="J5963">
            <v>0</v>
          </cell>
        </row>
        <row r="5964">
          <cell r="A5964" t="str">
            <v>CIVLA</v>
          </cell>
          <cell r="J5964">
            <v>0</v>
          </cell>
        </row>
        <row r="5965">
          <cell r="A5965" t="str">
            <v>CIVLA</v>
          </cell>
          <cell r="J5965">
            <v>0</v>
          </cell>
        </row>
        <row r="5966">
          <cell r="A5966" t="str">
            <v>CIVLA</v>
          </cell>
          <cell r="J5966">
            <v>0</v>
          </cell>
        </row>
        <row r="5967">
          <cell r="A5967" t="str">
            <v>CIVLA</v>
          </cell>
          <cell r="J5967">
            <v>0</v>
          </cell>
        </row>
        <row r="5968">
          <cell r="A5968" t="str">
            <v>CIVLA</v>
          </cell>
          <cell r="J5968">
            <v>0</v>
          </cell>
        </row>
        <row r="5969">
          <cell r="A5969" t="str">
            <v>CIVLA</v>
          </cell>
          <cell r="J5969">
            <v>0</v>
          </cell>
        </row>
        <row r="5970">
          <cell r="A5970" t="str">
            <v>CIVLA</v>
          </cell>
          <cell r="J5970">
            <v>0</v>
          </cell>
        </row>
        <row r="5971">
          <cell r="A5971" t="str">
            <v>CIVLA</v>
          </cell>
          <cell r="J5971">
            <v>0</v>
          </cell>
        </row>
        <row r="5972">
          <cell r="A5972" t="str">
            <v>CIVLA</v>
          </cell>
          <cell r="J5972">
            <v>0</v>
          </cell>
        </row>
        <row r="5973">
          <cell r="A5973" t="str">
            <v>CIVLA</v>
          </cell>
          <cell r="J5973">
            <v>0</v>
          </cell>
        </row>
        <row r="5974">
          <cell r="A5974" t="str">
            <v>CIVLA</v>
          </cell>
          <cell r="J5974">
            <v>0</v>
          </cell>
        </row>
        <row r="5975">
          <cell r="A5975" t="str">
            <v>CIVLA</v>
          </cell>
          <cell r="J5975">
            <v>0</v>
          </cell>
        </row>
        <row r="5976">
          <cell r="A5976" t="str">
            <v>CIVLA</v>
          </cell>
          <cell r="J5976">
            <v>0</v>
          </cell>
        </row>
        <row r="5977">
          <cell r="A5977" t="str">
            <v>CIVLA</v>
          </cell>
          <cell r="J5977">
            <v>0</v>
          </cell>
        </row>
        <row r="5978">
          <cell r="A5978" t="str">
            <v>CIVLA</v>
          </cell>
          <cell r="J5978">
            <v>0</v>
          </cell>
        </row>
        <row r="5979">
          <cell r="A5979" t="str">
            <v>CIVLA</v>
          </cell>
          <cell r="J5979">
            <v>0</v>
          </cell>
        </row>
        <row r="5980">
          <cell r="A5980" t="str">
            <v>CIVLA</v>
          </cell>
          <cell r="J5980">
            <v>0</v>
          </cell>
        </row>
        <row r="5981">
          <cell r="A5981" t="str">
            <v>CIVLA</v>
          </cell>
          <cell r="J5981">
            <v>0</v>
          </cell>
        </row>
        <row r="5982">
          <cell r="A5982" t="str">
            <v>CIVLA</v>
          </cell>
          <cell r="J5982">
            <v>0</v>
          </cell>
        </row>
        <row r="5983">
          <cell r="A5983" t="str">
            <v>CIVLA</v>
          </cell>
          <cell r="J5983">
            <v>0</v>
          </cell>
        </row>
        <row r="5984">
          <cell r="A5984" t="str">
            <v>CIVLA</v>
          </cell>
          <cell r="J5984">
            <v>0</v>
          </cell>
        </row>
        <row r="5985">
          <cell r="A5985" t="str">
            <v>CIVLA</v>
          </cell>
          <cell r="J5985">
            <v>0</v>
          </cell>
        </row>
        <row r="5986">
          <cell r="A5986" t="str">
            <v>CIVLA</v>
          </cell>
          <cell r="J5986">
            <v>0</v>
          </cell>
        </row>
        <row r="5987">
          <cell r="A5987" t="str">
            <v>CIVLA</v>
          </cell>
          <cell r="J5987">
            <v>0</v>
          </cell>
        </row>
        <row r="5988">
          <cell r="A5988" t="str">
            <v>CIVLA</v>
          </cell>
          <cell r="J5988">
            <v>0</v>
          </cell>
        </row>
        <row r="5989">
          <cell r="A5989" t="str">
            <v>CIVLA</v>
          </cell>
          <cell r="J5989">
            <v>0</v>
          </cell>
        </row>
        <row r="5990">
          <cell r="A5990" t="str">
            <v>CIVLA</v>
          </cell>
          <cell r="J5990">
            <v>0</v>
          </cell>
        </row>
        <row r="5991">
          <cell r="A5991" t="str">
            <v>CIVLA</v>
          </cell>
          <cell r="J5991">
            <v>0</v>
          </cell>
        </row>
        <row r="5992">
          <cell r="A5992" t="str">
            <v>CIVLA</v>
          </cell>
          <cell r="J5992">
            <v>0</v>
          </cell>
        </row>
        <row r="5993">
          <cell r="A5993" t="str">
            <v>CIVLA</v>
          </cell>
          <cell r="J5993">
            <v>0</v>
          </cell>
        </row>
        <row r="5994">
          <cell r="A5994" t="str">
            <v>CIVLA</v>
          </cell>
          <cell r="J5994">
            <v>0</v>
          </cell>
        </row>
        <row r="5995">
          <cell r="A5995" t="str">
            <v>CIVLA</v>
          </cell>
          <cell r="J5995">
            <v>0</v>
          </cell>
        </row>
        <row r="5996">
          <cell r="A5996" t="str">
            <v>CIVLA</v>
          </cell>
          <cell r="J5996">
            <v>0</v>
          </cell>
        </row>
        <row r="5997">
          <cell r="A5997" t="str">
            <v>CIVLA</v>
          </cell>
          <cell r="J5997">
            <v>0</v>
          </cell>
        </row>
        <row r="5998">
          <cell r="A5998" t="str">
            <v>CIVLA</v>
          </cell>
          <cell r="J5998">
            <v>0</v>
          </cell>
        </row>
        <row r="5999">
          <cell r="A5999" t="str">
            <v>CIVLA</v>
          </cell>
          <cell r="J5999">
            <v>0</v>
          </cell>
        </row>
        <row r="6000">
          <cell r="A6000" t="str">
            <v>CIVLA</v>
          </cell>
          <cell r="J6000">
            <v>0</v>
          </cell>
        </row>
        <row r="6001">
          <cell r="A6001" t="str">
            <v>CIVLA</v>
          </cell>
          <cell r="J6001">
            <v>0</v>
          </cell>
        </row>
        <row r="6002">
          <cell r="A6002" t="str">
            <v>CIVLA</v>
          </cell>
          <cell r="J6002">
            <v>0</v>
          </cell>
        </row>
        <row r="6003">
          <cell r="A6003" t="str">
            <v>CIVLA</v>
          </cell>
          <cell r="J6003">
            <v>0</v>
          </cell>
        </row>
        <row r="6004">
          <cell r="A6004" t="str">
            <v>CIVLA</v>
          </cell>
          <cell r="J6004">
            <v>0</v>
          </cell>
        </row>
        <row r="6005">
          <cell r="A6005" t="str">
            <v>CIVLA</v>
          </cell>
          <cell r="J6005">
            <v>0</v>
          </cell>
        </row>
        <row r="6006">
          <cell r="A6006" t="str">
            <v>CIVLA</v>
          </cell>
          <cell r="J6006">
            <v>0</v>
          </cell>
        </row>
        <row r="6007">
          <cell r="A6007" t="str">
            <v>CIVLA</v>
          </cell>
          <cell r="J6007">
            <v>0</v>
          </cell>
        </row>
        <row r="6008">
          <cell r="A6008" t="str">
            <v>CIVLA</v>
          </cell>
          <cell r="J6008">
            <v>0</v>
          </cell>
        </row>
        <row r="6009">
          <cell r="A6009" t="str">
            <v>CIVLA</v>
          </cell>
          <cell r="J6009">
            <v>0</v>
          </cell>
        </row>
        <row r="6010">
          <cell r="A6010" t="str">
            <v>CIVLA</v>
          </cell>
          <cell r="J6010">
            <v>0</v>
          </cell>
        </row>
        <row r="6011">
          <cell r="A6011" t="str">
            <v>CIVLA</v>
          </cell>
          <cell r="J6011">
            <v>0</v>
          </cell>
        </row>
        <row r="6012">
          <cell r="A6012" t="str">
            <v>CIVLA</v>
          </cell>
          <cell r="J6012">
            <v>0</v>
          </cell>
        </row>
        <row r="6013">
          <cell r="A6013" t="str">
            <v>CIVLA</v>
          </cell>
          <cell r="J6013">
            <v>0</v>
          </cell>
        </row>
        <row r="6014">
          <cell r="A6014" t="str">
            <v>CIVLA</v>
          </cell>
          <cell r="J6014">
            <v>0</v>
          </cell>
        </row>
        <row r="6015">
          <cell r="A6015" t="str">
            <v>CIVLA</v>
          </cell>
          <cell r="J6015">
            <v>0</v>
          </cell>
        </row>
        <row r="6016">
          <cell r="A6016" t="str">
            <v>CIVLA</v>
          </cell>
          <cell r="J6016">
            <v>0</v>
          </cell>
        </row>
        <row r="6017">
          <cell r="A6017" t="str">
            <v>CIVLA</v>
          </cell>
          <cell r="J6017">
            <v>0</v>
          </cell>
        </row>
        <row r="6018">
          <cell r="A6018" t="str">
            <v>CIVLA</v>
          </cell>
          <cell r="J6018">
            <v>0</v>
          </cell>
        </row>
        <row r="6019">
          <cell r="A6019" t="str">
            <v>CIVLA</v>
          </cell>
          <cell r="J6019">
            <v>0</v>
          </cell>
        </row>
        <row r="6020">
          <cell r="A6020" t="str">
            <v>CIVLA</v>
          </cell>
          <cell r="J6020">
            <v>0</v>
          </cell>
        </row>
        <row r="6021">
          <cell r="A6021" t="str">
            <v>CIVLA</v>
          </cell>
          <cell r="J6021">
            <v>0</v>
          </cell>
        </row>
        <row r="6022">
          <cell r="A6022" t="str">
            <v>CIVLA</v>
          </cell>
          <cell r="J6022">
            <v>0</v>
          </cell>
        </row>
        <row r="6023">
          <cell r="A6023" t="str">
            <v>CIVLA</v>
          </cell>
          <cell r="J6023">
            <v>0</v>
          </cell>
        </row>
        <row r="6024">
          <cell r="A6024" t="str">
            <v>CIVLA</v>
          </cell>
          <cell r="J6024">
            <v>0</v>
          </cell>
        </row>
        <row r="6025">
          <cell r="A6025" t="str">
            <v>CIVLA</v>
          </cell>
          <cell r="J6025">
            <v>0</v>
          </cell>
        </row>
        <row r="6026">
          <cell r="A6026" t="str">
            <v>CIVLA</v>
          </cell>
          <cell r="J6026">
            <v>0</v>
          </cell>
        </row>
        <row r="6027">
          <cell r="A6027" t="str">
            <v>CIVLA</v>
          </cell>
          <cell r="J6027">
            <v>0</v>
          </cell>
        </row>
        <row r="6028">
          <cell r="A6028" t="str">
            <v>CIVLA</v>
          </cell>
          <cell r="J6028">
            <v>0</v>
          </cell>
        </row>
        <row r="6029">
          <cell r="A6029" t="str">
            <v>CIVLA</v>
          </cell>
          <cell r="J6029">
            <v>0</v>
          </cell>
        </row>
        <row r="6030">
          <cell r="A6030" t="str">
            <v>CIVLA</v>
          </cell>
          <cell r="J6030">
            <v>0</v>
          </cell>
        </row>
        <row r="6031">
          <cell r="A6031" t="str">
            <v>CIVLA</v>
          </cell>
          <cell r="J6031">
            <v>0</v>
          </cell>
        </row>
        <row r="6032">
          <cell r="A6032" t="str">
            <v>CIVLA</v>
          </cell>
          <cell r="J6032">
            <v>0</v>
          </cell>
        </row>
        <row r="6033">
          <cell r="A6033" t="str">
            <v>CIVLA</v>
          </cell>
          <cell r="J6033">
            <v>0</v>
          </cell>
        </row>
        <row r="6034">
          <cell r="A6034" t="str">
            <v>CIVLA</v>
          </cell>
          <cell r="J6034">
            <v>0</v>
          </cell>
        </row>
        <row r="6035">
          <cell r="A6035" t="str">
            <v>CIVLA</v>
          </cell>
          <cell r="J6035">
            <v>0</v>
          </cell>
        </row>
        <row r="6036">
          <cell r="A6036" t="str">
            <v>CIVLA</v>
          </cell>
          <cell r="J6036">
            <v>0</v>
          </cell>
        </row>
        <row r="6037">
          <cell r="A6037" t="str">
            <v>CIVLA</v>
          </cell>
          <cell r="J6037">
            <v>0</v>
          </cell>
        </row>
        <row r="6038">
          <cell r="A6038" t="str">
            <v>CIVLA</v>
          </cell>
          <cell r="J6038">
            <v>0</v>
          </cell>
        </row>
        <row r="6039">
          <cell r="A6039" t="str">
            <v>CIVLA</v>
          </cell>
          <cell r="J6039">
            <v>0</v>
          </cell>
        </row>
        <row r="6040">
          <cell r="A6040" t="str">
            <v>CIVLA</v>
          </cell>
          <cell r="J6040">
            <v>0</v>
          </cell>
        </row>
        <row r="6041">
          <cell r="A6041" t="str">
            <v>CIVLA</v>
          </cell>
          <cell r="J6041">
            <v>0</v>
          </cell>
        </row>
        <row r="6042">
          <cell r="A6042" t="str">
            <v>CIVLA</v>
          </cell>
          <cell r="J6042">
            <v>0</v>
          </cell>
        </row>
        <row r="6043">
          <cell r="A6043" t="str">
            <v>CIVLA</v>
          </cell>
          <cell r="J6043">
            <v>0</v>
          </cell>
        </row>
        <row r="6044">
          <cell r="A6044" t="str">
            <v>CIVLA</v>
          </cell>
          <cell r="J6044">
            <v>0</v>
          </cell>
        </row>
        <row r="6045">
          <cell r="A6045" t="str">
            <v>CIVLA</v>
          </cell>
          <cell r="J6045">
            <v>0</v>
          </cell>
        </row>
        <row r="6046">
          <cell r="A6046" t="str">
            <v>CIVLA</v>
          </cell>
          <cell r="J6046">
            <v>0</v>
          </cell>
        </row>
        <row r="6047">
          <cell r="A6047" t="str">
            <v>CIVLA</v>
          </cell>
          <cell r="J6047">
            <v>0</v>
          </cell>
        </row>
        <row r="6048">
          <cell r="A6048" t="str">
            <v>CIVLA</v>
          </cell>
          <cell r="J6048">
            <v>0</v>
          </cell>
        </row>
        <row r="6049">
          <cell r="A6049" t="str">
            <v>CIVLA</v>
          </cell>
          <cell r="J6049">
            <v>0</v>
          </cell>
        </row>
        <row r="6050">
          <cell r="A6050" t="str">
            <v>CIVLA</v>
          </cell>
          <cell r="J6050">
            <v>0</v>
          </cell>
        </row>
        <row r="6051">
          <cell r="A6051" t="str">
            <v>CIVLA</v>
          </cell>
          <cell r="J6051">
            <v>0</v>
          </cell>
        </row>
        <row r="6052">
          <cell r="A6052" t="str">
            <v>CIVLA</v>
          </cell>
          <cell r="J6052">
            <v>0</v>
          </cell>
        </row>
        <row r="6053">
          <cell r="A6053" t="str">
            <v>CIVLA</v>
          </cell>
          <cell r="J6053">
            <v>0</v>
          </cell>
        </row>
        <row r="6054">
          <cell r="A6054" t="str">
            <v>CIVLA</v>
          </cell>
          <cell r="J6054">
            <v>0</v>
          </cell>
        </row>
        <row r="6055">
          <cell r="A6055" t="str">
            <v>CIVLA</v>
          </cell>
          <cell r="J6055">
            <v>0</v>
          </cell>
        </row>
        <row r="6056">
          <cell r="A6056" t="str">
            <v>CIVLA</v>
          </cell>
          <cell r="J6056">
            <v>0</v>
          </cell>
        </row>
        <row r="6057">
          <cell r="A6057" t="str">
            <v>CIVLA</v>
          </cell>
          <cell r="J6057">
            <v>0</v>
          </cell>
        </row>
        <row r="6058">
          <cell r="A6058" t="str">
            <v>CIVLA</v>
          </cell>
          <cell r="J6058">
            <v>0</v>
          </cell>
        </row>
        <row r="6059">
          <cell r="A6059" t="str">
            <v>CIVLA</v>
          </cell>
          <cell r="J6059">
            <v>0</v>
          </cell>
        </row>
        <row r="6060">
          <cell r="A6060" t="str">
            <v>CIVLA</v>
          </cell>
          <cell r="J6060">
            <v>0</v>
          </cell>
        </row>
        <row r="6061">
          <cell r="A6061" t="str">
            <v>CIVLA</v>
          </cell>
          <cell r="J6061">
            <v>0</v>
          </cell>
        </row>
        <row r="6062">
          <cell r="A6062" t="str">
            <v>CIVLA</v>
          </cell>
          <cell r="J6062">
            <v>0</v>
          </cell>
        </row>
        <row r="6063">
          <cell r="A6063" t="str">
            <v>CIVLA</v>
          </cell>
          <cell r="J6063">
            <v>0</v>
          </cell>
        </row>
        <row r="6064">
          <cell r="A6064" t="str">
            <v>CIVLA</v>
          </cell>
          <cell r="J6064">
            <v>0</v>
          </cell>
        </row>
        <row r="6065">
          <cell r="A6065" t="str">
            <v>CIVLA</v>
          </cell>
          <cell r="J6065">
            <v>0</v>
          </cell>
        </row>
        <row r="6066">
          <cell r="A6066" t="str">
            <v>CIVLA</v>
          </cell>
          <cell r="J6066">
            <v>0</v>
          </cell>
        </row>
        <row r="6067">
          <cell r="A6067" t="str">
            <v>CIVLA</v>
          </cell>
          <cell r="J6067">
            <v>0</v>
          </cell>
        </row>
        <row r="6068">
          <cell r="A6068" t="str">
            <v>CIVLA</v>
          </cell>
          <cell r="J6068">
            <v>0</v>
          </cell>
        </row>
        <row r="6069">
          <cell r="A6069" t="str">
            <v>CIVLA</v>
          </cell>
          <cell r="J6069">
            <v>0</v>
          </cell>
        </row>
        <row r="6070">
          <cell r="A6070" t="str">
            <v>CIVLA</v>
          </cell>
          <cell r="J6070">
            <v>0</v>
          </cell>
        </row>
        <row r="6071">
          <cell r="A6071" t="str">
            <v>CIVLA</v>
          </cell>
          <cell r="J6071">
            <v>0</v>
          </cell>
        </row>
        <row r="6072">
          <cell r="A6072" t="str">
            <v>CIVLA</v>
          </cell>
          <cell r="J6072">
            <v>0</v>
          </cell>
        </row>
        <row r="6073">
          <cell r="A6073" t="str">
            <v>CIVLA</v>
          </cell>
          <cell r="J6073">
            <v>0</v>
          </cell>
        </row>
        <row r="6074">
          <cell r="A6074" t="str">
            <v>CIVLA</v>
          </cell>
          <cell r="J6074">
            <v>0</v>
          </cell>
        </row>
        <row r="6075">
          <cell r="A6075" t="str">
            <v>CIVLA</v>
          </cell>
          <cell r="J6075">
            <v>0</v>
          </cell>
        </row>
        <row r="6076">
          <cell r="A6076" t="str">
            <v>CIVLA</v>
          </cell>
          <cell r="J6076">
            <v>0</v>
          </cell>
        </row>
        <row r="6077">
          <cell r="A6077" t="str">
            <v>CIVLA</v>
          </cell>
          <cell r="J6077">
            <v>0</v>
          </cell>
        </row>
        <row r="6078">
          <cell r="A6078" t="str">
            <v>CIVLA</v>
          </cell>
          <cell r="J6078">
            <v>0</v>
          </cell>
        </row>
        <row r="6079">
          <cell r="A6079" t="str">
            <v>CIVLA</v>
          </cell>
          <cell r="J6079">
            <v>0</v>
          </cell>
        </row>
        <row r="6080">
          <cell r="A6080" t="str">
            <v>CIVLA</v>
          </cell>
          <cell r="J6080">
            <v>0</v>
          </cell>
        </row>
        <row r="6081">
          <cell r="A6081" t="str">
            <v>CIVLA</v>
          </cell>
          <cell r="J6081">
            <v>0</v>
          </cell>
        </row>
        <row r="6082">
          <cell r="A6082" t="str">
            <v>CIVLA</v>
          </cell>
          <cell r="J6082">
            <v>0</v>
          </cell>
        </row>
        <row r="6083">
          <cell r="A6083" t="str">
            <v>CIVLA</v>
          </cell>
          <cell r="J6083">
            <v>0</v>
          </cell>
        </row>
        <row r="6084">
          <cell r="A6084" t="str">
            <v>CIVLA</v>
          </cell>
          <cell r="J6084">
            <v>0</v>
          </cell>
        </row>
        <row r="6085">
          <cell r="A6085" t="str">
            <v>CIVLA</v>
          </cell>
          <cell r="J6085">
            <v>0</v>
          </cell>
        </row>
        <row r="6086">
          <cell r="A6086" t="str">
            <v>CIVLA</v>
          </cell>
          <cell r="J6086">
            <v>0</v>
          </cell>
        </row>
        <row r="6087">
          <cell r="A6087" t="str">
            <v>CIVLA</v>
          </cell>
          <cell r="J6087">
            <v>0</v>
          </cell>
        </row>
        <row r="6088">
          <cell r="A6088" t="str">
            <v>CIVLA</v>
          </cell>
          <cell r="J6088">
            <v>0</v>
          </cell>
        </row>
        <row r="6089">
          <cell r="A6089" t="str">
            <v>CIVLA</v>
          </cell>
          <cell r="J6089">
            <v>0</v>
          </cell>
        </row>
        <row r="6090">
          <cell r="A6090" t="str">
            <v>CIVLA</v>
          </cell>
          <cell r="J6090">
            <v>0</v>
          </cell>
        </row>
        <row r="6091">
          <cell r="A6091" t="str">
            <v>CIVLA</v>
          </cell>
          <cell r="J6091">
            <v>0</v>
          </cell>
        </row>
        <row r="6092">
          <cell r="A6092" t="str">
            <v>CIVLA</v>
          </cell>
          <cell r="J6092">
            <v>0</v>
          </cell>
        </row>
        <row r="6093">
          <cell r="A6093" t="str">
            <v>CIVLA</v>
          </cell>
          <cell r="J6093">
            <v>0</v>
          </cell>
        </row>
        <row r="6094">
          <cell r="A6094" t="str">
            <v>CIVLA</v>
          </cell>
          <cell r="J6094">
            <v>0</v>
          </cell>
        </row>
        <row r="6095">
          <cell r="A6095" t="str">
            <v>CIVLA</v>
          </cell>
          <cell r="J6095">
            <v>0</v>
          </cell>
        </row>
        <row r="6096">
          <cell r="A6096" t="str">
            <v>CIVLA</v>
          </cell>
          <cell r="J6096">
            <v>0</v>
          </cell>
        </row>
        <row r="6097">
          <cell r="A6097" t="str">
            <v>CIVLA</v>
          </cell>
          <cell r="J6097">
            <v>0</v>
          </cell>
        </row>
        <row r="6098">
          <cell r="A6098" t="str">
            <v>CIVLA</v>
          </cell>
          <cell r="J6098">
            <v>0</v>
          </cell>
        </row>
        <row r="6099">
          <cell r="A6099" t="str">
            <v>CIVLA</v>
          </cell>
          <cell r="J6099">
            <v>0</v>
          </cell>
        </row>
        <row r="6100">
          <cell r="A6100" t="str">
            <v>CIVLA</v>
          </cell>
          <cell r="J6100">
            <v>0</v>
          </cell>
        </row>
        <row r="6101">
          <cell r="A6101" t="str">
            <v>CIVLA</v>
          </cell>
          <cell r="J6101">
            <v>0</v>
          </cell>
        </row>
        <row r="6102">
          <cell r="A6102" t="str">
            <v>CIVLA</v>
          </cell>
          <cell r="J6102">
            <v>0</v>
          </cell>
        </row>
        <row r="6103">
          <cell r="A6103" t="str">
            <v>CIVLA</v>
          </cell>
          <cell r="J6103">
            <v>0</v>
          </cell>
        </row>
        <row r="6104">
          <cell r="A6104" t="str">
            <v>CIVLA</v>
          </cell>
          <cell r="J6104">
            <v>0</v>
          </cell>
        </row>
        <row r="6105">
          <cell r="A6105" t="str">
            <v>CIVLA</v>
          </cell>
          <cell r="J6105">
            <v>0</v>
          </cell>
        </row>
        <row r="6106">
          <cell r="A6106" t="str">
            <v>CIVLA</v>
          </cell>
          <cell r="J6106">
            <v>0</v>
          </cell>
        </row>
        <row r="6107">
          <cell r="A6107" t="str">
            <v>CIVLA</v>
          </cell>
          <cell r="J6107">
            <v>0</v>
          </cell>
        </row>
        <row r="6108">
          <cell r="A6108" t="str">
            <v>CIVLA</v>
          </cell>
          <cell r="J6108">
            <v>0</v>
          </cell>
        </row>
        <row r="6109">
          <cell r="A6109" t="str">
            <v>CIVLA</v>
          </cell>
          <cell r="J6109">
            <v>0</v>
          </cell>
        </row>
        <row r="6110">
          <cell r="A6110" t="str">
            <v>CIVLA</v>
          </cell>
          <cell r="J6110">
            <v>0</v>
          </cell>
        </row>
        <row r="6111">
          <cell r="A6111" t="str">
            <v>CIVLA</v>
          </cell>
          <cell r="J6111">
            <v>0</v>
          </cell>
        </row>
        <row r="6112">
          <cell r="A6112" t="str">
            <v>CIVLA</v>
          </cell>
          <cell r="J6112">
            <v>0</v>
          </cell>
        </row>
        <row r="6113">
          <cell r="A6113" t="str">
            <v>CIVLA</v>
          </cell>
          <cell r="J6113">
            <v>0</v>
          </cell>
        </row>
        <row r="6114">
          <cell r="A6114" t="str">
            <v>CIVLA</v>
          </cell>
          <cell r="J6114">
            <v>0</v>
          </cell>
        </row>
        <row r="6115">
          <cell r="A6115" t="str">
            <v>CIVLA</v>
          </cell>
          <cell r="J6115">
            <v>0</v>
          </cell>
        </row>
        <row r="6116">
          <cell r="A6116" t="str">
            <v>CIVLA</v>
          </cell>
          <cell r="J6116">
            <v>0</v>
          </cell>
        </row>
        <row r="6117">
          <cell r="A6117" t="str">
            <v>CIVLA</v>
          </cell>
          <cell r="J6117">
            <v>0</v>
          </cell>
        </row>
        <row r="6118">
          <cell r="A6118" t="str">
            <v>CIVLA</v>
          </cell>
          <cell r="J6118">
            <v>0</v>
          </cell>
        </row>
        <row r="6119">
          <cell r="A6119" t="str">
            <v>CIVLA</v>
          </cell>
          <cell r="J6119">
            <v>0</v>
          </cell>
        </row>
        <row r="6120">
          <cell r="A6120" t="str">
            <v>CIVLA</v>
          </cell>
          <cell r="J6120">
            <v>0</v>
          </cell>
        </row>
        <row r="6121">
          <cell r="A6121" t="str">
            <v>CIVLA</v>
          </cell>
          <cell r="J6121">
            <v>0</v>
          </cell>
        </row>
        <row r="6122">
          <cell r="A6122" t="str">
            <v>CIVLA</v>
          </cell>
          <cell r="J6122">
            <v>0</v>
          </cell>
        </row>
        <row r="6123">
          <cell r="A6123" t="str">
            <v>CIVLA</v>
          </cell>
          <cell r="J6123">
            <v>0</v>
          </cell>
        </row>
        <row r="6124">
          <cell r="A6124" t="str">
            <v>CIVLA</v>
          </cell>
          <cell r="J6124">
            <v>0</v>
          </cell>
        </row>
        <row r="6125">
          <cell r="A6125" t="str">
            <v>CIVLA</v>
          </cell>
          <cell r="J6125">
            <v>0</v>
          </cell>
        </row>
        <row r="6126">
          <cell r="A6126" t="str">
            <v>CIVLA</v>
          </cell>
          <cell r="J6126">
            <v>0</v>
          </cell>
        </row>
        <row r="6127">
          <cell r="A6127" t="str">
            <v>CIVLA</v>
          </cell>
          <cell r="J6127">
            <v>0</v>
          </cell>
        </row>
        <row r="6128">
          <cell r="A6128" t="str">
            <v>CIVLA</v>
          </cell>
          <cell r="J6128">
            <v>0</v>
          </cell>
        </row>
        <row r="6129">
          <cell r="A6129" t="str">
            <v>CIVLA</v>
          </cell>
          <cell r="J6129">
            <v>0</v>
          </cell>
        </row>
        <row r="6130">
          <cell r="A6130" t="str">
            <v>CIVLA</v>
          </cell>
          <cell r="J6130">
            <v>0</v>
          </cell>
        </row>
        <row r="6131">
          <cell r="A6131" t="str">
            <v>CIVLA</v>
          </cell>
          <cell r="J6131">
            <v>0</v>
          </cell>
        </row>
        <row r="6132">
          <cell r="A6132" t="str">
            <v>CIVLA</v>
          </cell>
          <cell r="J6132">
            <v>0</v>
          </cell>
        </row>
        <row r="6133">
          <cell r="A6133" t="str">
            <v>CIVLA</v>
          </cell>
          <cell r="J6133">
            <v>0</v>
          </cell>
        </row>
        <row r="6134">
          <cell r="A6134" t="str">
            <v>CIVLA</v>
          </cell>
          <cell r="J6134">
            <v>0</v>
          </cell>
        </row>
        <row r="6135">
          <cell r="A6135" t="str">
            <v>CIVLA</v>
          </cell>
          <cell r="J6135">
            <v>0</v>
          </cell>
        </row>
        <row r="6136">
          <cell r="A6136" t="str">
            <v>CIVLA</v>
          </cell>
          <cell r="J6136">
            <v>0</v>
          </cell>
        </row>
        <row r="6137">
          <cell r="A6137" t="str">
            <v>CIVLA</v>
          </cell>
          <cell r="J6137">
            <v>0</v>
          </cell>
        </row>
        <row r="6138">
          <cell r="A6138" t="str">
            <v>CIVLA</v>
          </cell>
          <cell r="J6138">
            <v>0</v>
          </cell>
        </row>
        <row r="6139">
          <cell r="A6139" t="str">
            <v>CIVLA</v>
          </cell>
          <cell r="J6139">
            <v>0</v>
          </cell>
        </row>
        <row r="6140">
          <cell r="A6140" t="str">
            <v>CIVLA</v>
          </cell>
          <cell r="J6140">
            <v>0</v>
          </cell>
        </row>
        <row r="6141">
          <cell r="A6141" t="str">
            <v>CIVLA</v>
          </cell>
          <cell r="J6141">
            <v>0</v>
          </cell>
        </row>
        <row r="6142">
          <cell r="A6142" t="str">
            <v>CIVLA</v>
          </cell>
          <cell r="J6142">
            <v>0</v>
          </cell>
        </row>
        <row r="6143">
          <cell r="A6143" t="str">
            <v>CIVLA</v>
          </cell>
          <cell r="J6143">
            <v>0</v>
          </cell>
        </row>
        <row r="6144">
          <cell r="A6144" t="str">
            <v>CIVLA</v>
          </cell>
          <cell r="J6144">
            <v>0</v>
          </cell>
        </row>
        <row r="6145">
          <cell r="A6145" t="str">
            <v>CIVLA</v>
          </cell>
          <cell r="J6145">
            <v>0</v>
          </cell>
        </row>
        <row r="6146">
          <cell r="A6146" t="str">
            <v>CIVLA</v>
          </cell>
          <cell r="J6146">
            <v>0</v>
          </cell>
        </row>
        <row r="6147">
          <cell r="A6147" t="str">
            <v>CIVLA</v>
          </cell>
          <cell r="J6147">
            <v>0</v>
          </cell>
        </row>
        <row r="6148">
          <cell r="A6148" t="str">
            <v>CIVLA</v>
          </cell>
          <cell r="J6148">
            <v>0</v>
          </cell>
        </row>
        <row r="6149">
          <cell r="A6149" t="str">
            <v>CIVLA</v>
          </cell>
          <cell r="J6149">
            <v>0</v>
          </cell>
        </row>
        <row r="6150">
          <cell r="A6150" t="str">
            <v>CIVLA</v>
          </cell>
          <cell r="J6150">
            <v>0</v>
          </cell>
        </row>
        <row r="6151">
          <cell r="A6151" t="str">
            <v>CIVLA</v>
          </cell>
          <cell r="J6151">
            <v>0</v>
          </cell>
        </row>
        <row r="6152">
          <cell r="A6152" t="str">
            <v>CIVLA</v>
          </cell>
          <cell r="J6152">
            <v>0</v>
          </cell>
        </row>
        <row r="6153">
          <cell r="A6153" t="str">
            <v>CIVLA</v>
          </cell>
          <cell r="J6153">
            <v>0</v>
          </cell>
        </row>
        <row r="6154">
          <cell r="A6154" t="str">
            <v>CIVLA</v>
          </cell>
          <cell r="J6154">
            <v>0</v>
          </cell>
        </row>
        <row r="6155">
          <cell r="A6155" t="str">
            <v>CIVLA</v>
          </cell>
          <cell r="J6155">
            <v>0</v>
          </cell>
        </row>
        <row r="6156">
          <cell r="A6156" t="str">
            <v>CIVLA</v>
          </cell>
          <cell r="J6156">
            <v>0</v>
          </cell>
        </row>
        <row r="6157">
          <cell r="A6157" t="str">
            <v>CIVLA</v>
          </cell>
          <cell r="J6157">
            <v>0</v>
          </cell>
        </row>
        <row r="6158">
          <cell r="A6158" t="str">
            <v>CIVLA</v>
          </cell>
          <cell r="J6158">
            <v>0</v>
          </cell>
        </row>
        <row r="6159">
          <cell r="A6159" t="str">
            <v>CIVLA</v>
          </cell>
          <cell r="J6159">
            <v>0</v>
          </cell>
        </row>
        <row r="6160">
          <cell r="A6160" t="str">
            <v>CIVLA</v>
          </cell>
          <cell r="J6160">
            <v>0</v>
          </cell>
        </row>
        <row r="6161">
          <cell r="A6161" t="str">
            <v>CIVLA</v>
          </cell>
          <cell r="J6161">
            <v>0</v>
          </cell>
        </row>
        <row r="6162">
          <cell r="A6162" t="str">
            <v>CIVLA</v>
          </cell>
          <cell r="J6162">
            <v>0</v>
          </cell>
        </row>
        <row r="6163">
          <cell r="A6163" t="str">
            <v>CIVLA</v>
          </cell>
          <cell r="J6163">
            <v>0</v>
          </cell>
        </row>
        <row r="6164">
          <cell r="A6164" t="str">
            <v>CIVLA</v>
          </cell>
          <cell r="J6164">
            <v>0</v>
          </cell>
        </row>
        <row r="6165">
          <cell r="A6165" t="str">
            <v>CIVLA</v>
          </cell>
          <cell r="J6165">
            <v>0</v>
          </cell>
        </row>
        <row r="6166">
          <cell r="A6166" t="str">
            <v>CIVLA</v>
          </cell>
          <cell r="J6166">
            <v>0</v>
          </cell>
        </row>
        <row r="6167">
          <cell r="A6167" t="str">
            <v>CIVLA</v>
          </cell>
          <cell r="J6167">
            <v>0</v>
          </cell>
        </row>
        <row r="6168">
          <cell r="A6168" t="str">
            <v>CIVLA</v>
          </cell>
          <cell r="J6168">
            <v>0</v>
          </cell>
        </row>
        <row r="6169">
          <cell r="A6169" t="str">
            <v>CIVLA</v>
          </cell>
          <cell r="J6169">
            <v>0</v>
          </cell>
        </row>
        <row r="6170">
          <cell r="A6170" t="str">
            <v>CIVLA</v>
          </cell>
          <cell r="J6170">
            <v>0</v>
          </cell>
        </row>
        <row r="6171">
          <cell r="A6171" t="str">
            <v>CIVLA</v>
          </cell>
          <cell r="J6171">
            <v>0</v>
          </cell>
        </row>
        <row r="6172">
          <cell r="A6172" t="str">
            <v>CIVLA</v>
          </cell>
          <cell r="J6172">
            <v>0</v>
          </cell>
        </row>
        <row r="6173">
          <cell r="A6173" t="str">
            <v>CIVLA</v>
          </cell>
          <cell r="J6173">
            <v>0</v>
          </cell>
        </row>
        <row r="6174">
          <cell r="A6174" t="str">
            <v>CIVLA</v>
          </cell>
          <cell r="J6174">
            <v>0</v>
          </cell>
        </row>
        <row r="6175">
          <cell r="A6175" t="str">
            <v>CIVLA</v>
          </cell>
          <cell r="J6175">
            <v>0</v>
          </cell>
        </row>
        <row r="6176">
          <cell r="A6176" t="str">
            <v>CIVLA</v>
          </cell>
          <cell r="J6176">
            <v>0</v>
          </cell>
        </row>
        <row r="6177">
          <cell r="A6177" t="str">
            <v>CIVLA</v>
          </cell>
          <cell r="J6177">
            <v>0</v>
          </cell>
        </row>
        <row r="6178">
          <cell r="A6178" t="str">
            <v>CIVLA</v>
          </cell>
          <cell r="J6178">
            <v>0</v>
          </cell>
        </row>
        <row r="6179">
          <cell r="A6179" t="str">
            <v>CIVLA</v>
          </cell>
          <cell r="J6179">
            <v>0</v>
          </cell>
        </row>
        <row r="6180">
          <cell r="A6180" t="str">
            <v>CIVLA</v>
          </cell>
          <cell r="J6180">
            <v>0</v>
          </cell>
        </row>
        <row r="6181">
          <cell r="A6181" t="str">
            <v>CIVLA</v>
          </cell>
          <cell r="J6181">
            <v>0</v>
          </cell>
        </row>
        <row r="6182">
          <cell r="A6182" t="str">
            <v>CIVLA</v>
          </cell>
          <cell r="J6182">
            <v>0</v>
          </cell>
        </row>
        <row r="6183">
          <cell r="A6183" t="str">
            <v>CIVLA</v>
          </cell>
          <cell r="J6183">
            <v>0</v>
          </cell>
        </row>
        <row r="6184">
          <cell r="A6184" t="str">
            <v>CIVLA</v>
          </cell>
          <cell r="J6184">
            <v>0</v>
          </cell>
        </row>
        <row r="6185">
          <cell r="A6185" t="str">
            <v>CIVLA</v>
          </cell>
          <cell r="J6185">
            <v>0</v>
          </cell>
        </row>
        <row r="6186">
          <cell r="A6186" t="str">
            <v>CIVLA</v>
          </cell>
          <cell r="J6186">
            <v>0</v>
          </cell>
        </row>
        <row r="6187">
          <cell r="A6187" t="str">
            <v>CIVLA</v>
          </cell>
          <cell r="J6187">
            <v>0</v>
          </cell>
        </row>
        <row r="6188">
          <cell r="A6188" t="str">
            <v>CIVLA</v>
          </cell>
          <cell r="J6188">
            <v>0</v>
          </cell>
        </row>
        <row r="6189">
          <cell r="A6189" t="str">
            <v>CIVLA</v>
          </cell>
          <cell r="J6189">
            <v>0</v>
          </cell>
        </row>
        <row r="6190">
          <cell r="A6190" t="str">
            <v>CIVLA</v>
          </cell>
          <cell r="J6190">
            <v>0</v>
          </cell>
        </row>
        <row r="6191">
          <cell r="A6191" t="str">
            <v>CIVLA</v>
          </cell>
          <cell r="J6191">
            <v>0</v>
          </cell>
        </row>
        <row r="6192">
          <cell r="A6192" t="str">
            <v>CIVLA</v>
          </cell>
          <cell r="J6192">
            <v>0</v>
          </cell>
        </row>
        <row r="6193">
          <cell r="A6193" t="str">
            <v>CIVLA</v>
          </cell>
          <cell r="J6193">
            <v>0</v>
          </cell>
        </row>
        <row r="6194">
          <cell r="A6194" t="str">
            <v>CIVLA</v>
          </cell>
          <cell r="J6194">
            <v>0</v>
          </cell>
        </row>
        <row r="6195">
          <cell r="A6195" t="str">
            <v>CIVLA</v>
          </cell>
          <cell r="J6195">
            <v>0</v>
          </cell>
        </row>
        <row r="6196">
          <cell r="A6196" t="str">
            <v>CIVLA</v>
          </cell>
          <cell r="J6196">
            <v>0</v>
          </cell>
        </row>
        <row r="6197">
          <cell r="A6197" t="str">
            <v>CIVLA</v>
          </cell>
          <cell r="J6197">
            <v>0</v>
          </cell>
        </row>
        <row r="6198">
          <cell r="A6198" t="str">
            <v>CIVLA</v>
          </cell>
          <cell r="J6198">
            <v>0</v>
          </cell>
        </row>
        <row r="6199">
          <cell r="A6199" t="str">
            <v>CIVLA</v>
          </cell>
          <cell r="J6199">
            <v>0</v>
          </cell>
        </row>
        <row r="6200">
          <cell r="A6200" t="str">
            <v>CIVLA</v>
          </cell>
          <cell r="J6200">
            <v>0</v>
          </cell>
        </row>
        <row r="6201">
          <cell r="A6201" t="str">
            <v>CIVLA</v>
          </cell>
          <cell r="J6201">
            <v>0</v>
          </cell>
        </row>
        <row r="6202">
          <cell r="A6202" t="str">
            <v>CIVLA</v>
          </cell>
          <cell r="J6202">
            <v>0</v>
          </cell>
        </row>
        <row r="6203">
          <cell r="A6203" t="str">
            <v>CIVLA</v>
          </cell>
          <cell r="J6203">
            <v>0</v>
          </cell>
        </row>
        <row r="6204">
          <cell r="A6204" t="str">
            <v>CIVLA</v>
          </cell>
          <cell r="J6204">
            <v>0</v>
          </cell>
        </row>
        <row r="6205">
          <cell r="A6205" t="str">
            <v>CIVLA</v>
          </cell>
          <cell r="J6205">
            <v>0</v>
          </cell>
        </row>
        <row r="6206">
          <cell r="A6206" t="str">
            <v>CIVLA</v>
          </cell>
          <cell r="J6206">
            <v>0</v>
          </cell>
        </row>
        <row r="6207">
          <cell r="A6207" t="str">
            <v>CIVLA</v>
          </cell>
          <cell r="J6207">
            <v>0</v>
          </cell>
        </row>
        <row r="6208">
          <cell r="A6208" t="str">
            <v>CIVLA</v>
          </cell>
          <cell r="J6208">
            <v>0</v>
          </cell>
        </row>
        <row r="6209">
          <cell r="A6209" t="str">
            <v>CIVLA</v>
          </cell>
          <cell r="J6209">
            <v>0</v>
          </cell>
        </row>
        <row r="6210">
          <cell r="A6210" t="str">
            <v>CIVLA</v>
          </cell>
          <cell r="J6210">
            <v>0</v>
          </cell>
        </row>
        <row r="6211">
          <cell r="A6211" t="str">
            <v>CIVLA</v>
          </cell>
          <cell r="J6211">
            <v>0</v>
          </cell>
        </row>
        <row r="6212">
          <cell r="A6212" t="str">
            <v>CIVLA</v>
          </cell>
          <cell r="J6212">
            <v>0</v>
          </cell>
        </row>
        <row r="6213">
          <cell r="A6213" t="str">
            <v>CIVLA</v>
          </cell>
          <cell r="J6213">
            <v>0</v>
          </cell>
        </row>
        <row r="6214">
          <cell r="A6214" t="str">
            <v>CIVLA</v>
          </cell>
          <cell r="J6214">
            <v>0</v>
          </cell>
        </row>
        <row r="6215">
          <cell r="A6215" t="str">
            <v>CIVLA</v>
          </cell>
          <cell r="J6215">
            <v>0</v>
          </cell>
        </row>
        <row r="6216">
          <cell r="A6216" t="str">
            <v>CIVLA</v>
          </cell>
          <cell r="J6216">
            <v>0</v>
          </cell>
        </row>
        <row r="6217">
          <cell r="A6217" t="str">
            <v>CIVLA</v>
          </cell>
          <cell r="J6217">
            <v>0</v>
          </cell>
        </row>
        <row r="6218">
          <cell r="A6218" t="str">
            <v>CIVLA</v>
          </cell>
          <cell r="J6218">
            <v>0</v>
          </cell>
        </row>
        <row r="6219">
          <cell r="A6219" t="str">
            <v>CIVLA</v>
          </cell>
          <cell r="J6219">
            <v>0</v>
          </cell>
        </row>
        <row r="6220">
          <cell r="A6220" t="str">
            <v>CIVLA</v>
          </cell>
          <cell r="J6220">
            <v>0</v>
          </cell>
        </row>
        <row r="6221">
          <cell r="A6221" t="str">
            <v>CIVLA</v>
          </cell>
          <cell r="J6221">
            <v>0</v>
          </cell>
        </row>
        <row r="6222">
          <cell r="A6222" t="str">
            <v>CIVLA</v>
          </cell>
          <cell r="J6222">
            <v>0</v>
          </cell>
        </row>
        <row r="6223">
          <cell r="A6223" t="str">
            <v>CIVLA</v>
          </cell>
          <cell r="J6223">
            <v>0</v>
          </cell>
        </row>
        <row r="6224">
          <cell r="A6224" t="str">
            <v>CIVLA</v>
          </cell>
          <cell r="J6224">
            <v>0</v>
          </cell>
        </row>
        <row r="6225">
          <cell r="A6225" t="str">
            <v>CIVLA</v>
          </cell>
          <cell r="J6225">
            <v>0</v>
          </cell>
        </row>
        <row r="6226">
          <cell r="A6226" t="str">
            <v>CIVLA</v>
          </cell>
          <cell r="J6226">
            <v>0</v>
          </cell>
        </row>
        <row r="6227">
          <cell r="A6227" t="str">
            <v>CIVLA</v>
          </cell>
          <cell r="J6227">
            <v>0</v>
          </cell>
        </row>
        <row r="6228">
          <cell r="A6228" t="str">
            <v>CIVLA</v>
          </cell>
          <cell r="J6228">
            <v>0</v>
          </cell>
        </row>
        <row r="6229">
          <cell r="A6229" t="str">
            <v>CIVLA</v>
          </cell>
          <cell r="J6229">
            <v>0</v>
          </cell>
        </row>
        <row r="6230">
          <cell r="A6230" t="str">
            <v>CIVLA</v>
          </cell>
          <cell r="J6230">
            <v>0</v>
          </cell>
        </row>
        <row r="6231">
          <cell r="A6231" t="str">
            <v>CIVLA</v>
          </cell>
          <cell r="J6231">
            <v>0</v>
          </cell>
        </row>
        <row r="6232">
          <cell r="A6232" t="str">
            <v>CIVLA</v>
          </cell>
          <cell r="J6232">
            <v>0</v>
          </cell>
        </row>
        <row r="6233">
          <cell r="A6233" t="str">
            <v>CIVLA</v>
          </cell>
          <cell r="J6233">
            <v>0</v>
          </cell>
        </row>
        <row r="6234">
          <cell r="A6234" t="str">
            <v>CIVLA</v>
          </cell>
          <cell r="J6234">
            <v>0</v>
          </cell>
        </row>
        <row r="6235">
          <cell r="A6235" t="str">
            <v>CIVLA</v>
          </cell>
          <cell r="J6235">
            <v>0</v>
          </cell>
        </row>
        <row r="6236">
          <cell r="A6236" t="str">
            <v>CIVLA</v>
          </cell>
          <cell r="J6236">
            <v>0</v>
          </cell>
        </row>
        <row r="6237">
          <cell r="A6237" t="str">
            <v>CIVLA</v>
          </cell>
          <cell r="J6237">
            <v>0</v>
          </cell>
        </row>
        <row r="6238">
          <cell r="A6238" t="str">
            <v>CIVLA</v>
          </cell>
          <cell r="J6238">
            <v>0</v>
          </cell>
        </row>
        <row r="6239">
          <cell r="A6239" t="str">
            <v>CIVLA</v>
          </cell>
          <cell r="J6239">
            <v>0</v>
          </cell>
        </row>
        <row r="6240">
          <cell r="A6240" t="str">
            <v>CIVLA</v>
          </cell>
          <cell r="J6240">
            <v>0</v>
          </cell>
        </row>
        <row r="6241">
          <cell r="A6241" t="str">
            <v>CIVLA</v>
          </cell>
          <cell r="J6241">
            <v>0</v>
          </cell>
        </row>
        <row r="6242">
          <cell r="A6242" t="str">
            <v>CIVLA</v>
          </cell>
          <cell r="J6242">
            <v>0</v>
          </cell>
        </row>
        <row r="6243">
          <cell r="A6243" t="str">
            <v>CIVLA</v>
          </cell>
          <cell r="J6243">
            <v>0</v>
          </cell>
        </row>
        <row r="6244">
          <cell r="A6244" t="str">
            <v>CIVLA</v>
          </cell>
          <cell r="J6244">
            <v>0</v>
          </cell>
        </row>
        <row r="6245">
          <cell r="A6245" t="str">
            <v>CIVLA</v>
          </cell>
          <cell r="J6245">
            <v>0</v>
          </cell>
        </row>
        <row r="6246">
          <cell r="A6246" t="str">
            <v>CIVLA</v>
          </cell>
          <cell r="J6246">
            <v>0</v>
          </cell>
        </row>
        <row r="6247">
          <cell r="A6247" t="str">
            <v>CIVLA</v>
          </cell>
          <cell r="J6247">
            <v>0</v>
          </cell>
        </row>
        <row r="6248">
          <cell r="A6248" t="str">
            <v>CIVLA</v>
          </cell>
          <cell r="J6248">
            <v>0</v>
          </cell>
        </row>
        <row r="6249">
          <cell r="A6249" t="str">
            <v>CIVLA</v>
          </cell>
          <cell r="J6249">
            <v>0</v>
          </cell>
        </row>
        <row r="6250">
          <cell r="A6250" t="str">
            <v>CIVLA</v>
          </cell>
          <cell r="J6250">
            <v>0</v>
          </cell>
        </row>
        <row r="6251">
          <cell r="A6251" t="str">
            <v>CIVLA</v>
          </cell>
          <cell r="J6251">
            <v>0</v>
          </cell>
        </row>
        <row r="6252">
          <cell r="A6252" t="str">
            <v>CIVLA</v>
          </cell>
          <cell r="J6252">
            <v>0</v>
          </cell>
        </row>
        <row r="6253">
          <cell r="A6253" t="str">
            <v>CIVLA</v>
          </cell>
          <cell r="J6253">
            <v>0</v>
          </cell>
        </row>
        <row r="6254">
          <cell r="A6254" t="str">
            <v>CIVLA</v>
          </cell>
          <cell r="J6254">
            <v>0</v>
          </cell>
        </row>
        <row r="6255">
          <cell r="A6255" t="str">
            <v>CIVLA</v>
          </cell>
          <cell r="J6255">
            <v>0</v>
          </cell>
        </row>
        <row r="6256">
          <cell r="A6256" t="str">
            <v>CIVLA</v>
          </cell>
          <cell r="J6256">
            <v>0</v>
          </cell>
        </row>
        <row r="6257">
          <cell r="A6257" t="str">
            <v>CIVLA</v>
          </cell>
          <cell r="J6257">
            <v>0</v>
          </cell>
        </row>
        <row r="6258">
          <cell r="A6258" t="str">
            <v>CIVLA</v>
          </cell>
          <cell r="J6258">
            <v>0</v>
          </cell>
        </row>
        <row r="6259">
          <cell r="A6259" t="str">
            <v>CIVLA</v>
          </cell>
          <cell r="J6259">
            <v>0</v>
          </cell>
        </row>
        <row r="6260">
          <cell r="A6260" t="str">
            <v>CIVLA</v>
          </cell>
          <cell r="J6260">
            <v>0</v>
          </cell>
        </row>
        <row r="6261">
          <cell r="A6261" t="str">
            <v>CIVLA</v>
          </cell>
          <cell r="J6261">
            <v>0</v>
          </cell>
        </row>
        <row r="6262">
          <cell r="A6262" t="str">
            <v>CIVLA</v>
          </cell>
          <cell r="J6262">
            <v>0</v>
          </cell>
        </row>
        <row r="6263">
          <cell r="A6263" t="str">
            <v>CIVLA</v>
          </cell>
          <cell r="J6263">
            <v>0</v>
          </cell>
        </row>
        <row r="6264">
          <cell r="A6264" t="str">
            <v>CIVLA</v>
          </cell>
          <cell r="J6264">
            <v>0</v>
          </cell>
        </row>
        <row r="6265">
          <cell r="A6265" t="str">
            <v>CIVLA</v>
          </cell>
          <cell r="J6265">
            <v>0</v>
          </cell>
        </row>
        <row r="6266">
          <cell r="A6266" t="str">
            <v>CIVLA</v>
          </cell>
          <cell r="J6266">
            <v>0</v>
          </cell>
        </row>
        <row r="6267">
          <cell r="A6267" t="str">
            <v>CIVLA</v>
          </cell>
          <cell r="J6267">
            <v>0</v>
          </cell>
        </row>
        <row r="6268">
          <cell r="A6268" t="str">
            <v>CIVLA</v>
          </cell>
          <cell r="J6268">
            <v>0</v>
          </cell>
        </row>
        <row r="6269">
          <cell r="A6269" t="str">
            <v>CIVLA</v>
          </cell>
          <cell r="J6269">
            <v>0</v>
          </cell>
        </row>
        <row r="6270">
          <cell r="A6270" t="str">
            <v>CIVLA</v>
          </cell>
          <cell r="J6270">
            <v>0</v>
          </cell>
        </row>
        <row r="6271">
          <cell r="A6271" t="str">
            <v>CIVLA</v>
          </cell>
          <cell r="J6271">
            <v>0</v>
          </cell>
        </row>
        <row r="6272">
          <cell r="A6272" t="str">
            <v>CIVLA</v>
          </cell>
          <cell r="J6272">
            <v>0</v>
          </cell>
        </row>
        <row r="6273">
          <cell r="A6273" t="str">
            <v>CIVLA</v>
          </cell>
          <cell r="J6273">
            <v>0</v>
          </cell>
        </row>
        <row r="6274">
          <cell r="A6274" t="str">
            <v>CIVLA</v>
          </cell>
          <cell r="J6274">
            <v>0</v>
          </cell>
        </row>
        <row r="6275">
          <cell r="A6275" t="str">
            <v>CIVLA</v>
          </cell>
          <cell r="J6275">
            <v>0</v>
          </cell>
        </row>
        <row r="6276">
          <cell r="A6276" t="str">
            <v>CIVLA</v>
          </cell>
          <cell r="J6276">
            <v>0</v>
          </cell>
        </row>
        <row r="6277">
          <cell r="A6277" t="str">
            <v>CIVLA</v>
          </cell>
          <cell r="J6277">
            <v>0</v>
          </cell>
        </row>
        <row r="6278">
          <cell r="A6278" t="str">
            <v>CIVLA</v>
          </cell>
          <cell r="J6278">
            <v>0</v>
          </cell>
        </row>
        <row r="6279">
          <cell r="A6279" t="str">
            <v>CIVLA</v>
          </cell>
          <cell r="J6279">
            <v>0</v>
          </cell>
        </row>
        <row r="6280">
          <cell r="A6280" t="str">
            <v>CIVLA</v>
          </cell>
          <cell r="J6280">
            <v>0</v>
          </cell>
        </row>
        <row r="6281">
          <cell r="A6281" t="str">
            <v>CIVLA</v>
          </cell>
          <cell r="J6281">
            <v>0</v>
          </cell>
        </row>
        <row r="6282">
          <cell r="A6282" t="str">
            <v>CIVLA</v>
          </cell>
          <cell r="J6282">
            <v>0</v>
          </cell>
        </row>
        <row r="6283">
          <cell r="A6283" t="str">
            <v>CIVLA</v>
          </cell>
          <cell r="J6283">
            <v>0</v>
          </cell>
        </row>
        <row r="6284">
          <cell r="A6284" t="str">
            <v>CIVLA</v>
          </cell>
          <cell r="J6284">
            <v>0</v>
          </cell>
        </row>
        <row r="6285">
          <cell r="A6285" t="str">
            <v>CIVLA</v>
          </cell>
          <cell r="J6285">
            <v>0</v>
          </cell>
        </row>
        <row r="6286">
          <cell r="A6286" t="str">
            <v>CIVLA</v>
          </cell>
          <cell r="J6286">
            <v>0</v>
          </cell>
        </row>
        <row r="6287">
          <cell r="A6287" t="str">
            <v>CIVLA</v>
          </cell>
          <cell r="J6287">
            <v>0</v>
          </cell>
        </row>
        <row r="6288">
          <cell r="A6288" t="str">
            <v>CIVLA</v>
          </cell>
          <cell r="J6288">
            <v>0</v>
          </cell>
        </row>
        <row r="6289">
          <cell r="A6289" t="str">
            <v>CIVLA</v>
          </cell>
          <cell r="J6289">
            <v>0</v>
          </cell>
        </row>
        <row r="6290">
          <cell r="A6290" t="str">
            <v>CIVLA</v>
          </cell>
          <cell r="J6290">
            <v>0</v>
          </cell>
        </row>
        <row r="6291">
          <cell r="A6291" t="str">
            <v>CIVLA</v>
          </cell>
          <cell r="J6291">
            <v>0</v>
          </cell>
        </row>
        <row r="6292">
          <cell r="A6292" t="str">
            <v>CIVLA</v>
          </cell>
          <cell r="J6292">
            <v>0</v>
          </cell>
        </row>
        <row r="6293">
          <cell r="A6293" t="str">
            <v>CIVLA</v>
          </cell>
          <cell r="J6293">
            <v>0</v>
          </cell>
        </row>
        <row r="6294">
          <cell r="A6294" t="str">
            <v>CIVLA</v>
          </cell>
          <cell r="J6294">
            <v>0</v>
          </cell>
        </row>
        <row r="6295">
          <cell r="A6295" t="str">
            <v>CIVLA</v>
          </cell>
          <cell r="J6295">
            <v>0</v>
          </cell>
        </row>
        <row r="6296">
          <cell r="A6296" t="str">
            <v>CIVLA</v>
          </cell>
          <cell r="J6296">
            <v>0</v>
          </cell>
        </row>
        <row r="6297">
          <cell r="A6297" t="str">
            <v>CIVLA</v>
          </cell>
          <cell r="J6297">
            <v>0</v>
          </cell>
        </row>
        <row r="6298">
          <cell r="A6298" t="str">
            <v>CIVLA</v>
          </cell>
          <cell r="J6298">
            <v>0</v>
          </cell>
        </row>
        <row r="6299">
          <cell r="A6299" t="str">
            <v>CIVLA</v>
          </cell>
          <cell r="J6299">
            <v>0</v>
          </cell>
        </row>
        <row r="6300">
          <cell r="A6300" t="str">
            <v>CIVLA</v>
          </cell>
          <cell r="J6300">
            <v>0</v>
          </cell>
        </row>
        <row r="6301">
          <cell r="A6301" t="str">
            <v>CIVLA</v>
          </cell>
          <cell r="J6301">
            <v>0</v>
          </cell>
        </row>
        <row r="6302">
          <cell r="A6302" t="str">
            <v>CIVLA</v>
          </cell>
          <cell r="J6302">
            <v>0</v>
          </cell>
        </row>
        <row r="6303">
          <cell r="A6303" t="str">
            <v>CIVLA</v>
          </cell>
          <cell r="J6303">
            <v>0</v>
          </cell>
        </row>
        <row r="6304">
          <cell r="A6304" t="str">
            <v>CIVLA</v>
          </cell>
          <cell r="J6304">
            <v>0</v>
          </cell>
        </row>
        <row r="6305">
          <cell r="A6305" t="str">
            <v>CIVLA</v>
          </cell>
          <cell r="J6305">
            <v>0</v>
          </cell>
        </row>
        <row r="6306">
          <cell r="A6306" t="str">
            <v>CIVLA</v>
          </cell>
          <cell r="J6306">
            <v>0</v>
          </cell>
        </row>
        <row r="6307">
          <cell r="A6307" t="str">
            <v>CIVLA</v>
          </cell>
          <cell r="J6307">
            <v>0</v>
          </cell>
        </row>
        <row r="6308">
          <cell r="A6308" t="str">
            <v>CIVLA</v>
          </cell>
          <cell r="J6308">
            <v>0</v>
          </cell>
        </row>
        <row r="6309">
          <cell r="A6309" t="str">
            <v>CIVLA</v>
          </cell>
          <cell r="J6309">
            <v>0</v>
          </cell>
        </row>
        <row r="6310">
          <cell r="A6310" t="str">
            <v>CIVLA</v>
          </cell>
          <cell r="J6310">
            <v>0</v>
          </cell>
        </row>
        <row r="6311">
          <cell r="A6311" t="str">
            <v>CIVLA</v>
          </cell>
          <cell r="J6311">
            <v>0</v>
          </cell>
        </row>
        <row r="6312">
          <cell r="A6312" t="str">
            <v>CIVLA</v>
          </cell>
          <cell r="J6312">
            <v>0</v>
          </cell>
        </row>
        <row r="6313">
          <cell r="A6313" t="str">
            <v>CIVLA</v>
          </cell>
          <cell r="J6313">
            <v>0</v>
          </cell>
        </row>
        <row r="6314">
          <cell r="A6314" t="str">
            <v>CIVLA</v>
          </cell>
          <cell r="J6314">
            <v>0</v>
          </cell>
        </row>
        <row r="6315">
          <cell r="A6315" t="str">
            <v>CIVLA</v>
          </cell>
          <cell r="J6315">
            <v>0</v>
          </cell>
        </row>
        <row r="6316">
          <cell r="A6316" t="str">
            <v>CIVLA</v>
          </cell>
          <cell r="J6316">
            <v>0</v>
          </cell>
        </row>
        <row r="6317">
          <cell r="A6317" t="str">
            <v>CIVLA</v>
          </cell>
          <cell r="J6317">
            <v>0</v>
          </cell>
        </row>
        <row r="6318">
          <cell r="A6318" t="str">
            <v>CIVLA</v>
          </cell>
          <cell r="J6318">
            <v>0</v>
          </cell>
        </row>
        <row r="6319">
          <cell r="A6319" t="str">
            <v>CIVLA</v>
          </cell>
          <cell r="J6319">
            <v>0</v>
          </cell>
        </row>
        <row r="6320">
          <cell r="A6320" t="str">
            <v>CIVLA</v>
          </cell>
          <cell r="J6320">
            <v>0</v>
          </cell>
        </row>
        <row r="6321">
          <cell r="A6321" t="str">
            <v>CIVLA</v>
          </cell>
          <cell r="J6321">
            <v>0</v>
          </cell>
        </row>
        <row r="6322">
          <cell r="A6322" t="str">
            <v>CIVLA</v>
          </cell>
          <cell r="J6322">
            <v>0</v>
          </cell>
        </row>
        <row r="6323">
          <cell r="A6323" t="str">
            <v>CIVLA</v>
          </cell>
          <cell r="J6323">
            <v>0</v>
          </cell>
        </row>
        <row r="6324">
          <cell r="A6324" t="str">
            <v>CIVLA</v>
          </cell>
          <cell r="J6324">
            <v>0</v>
          </cell>
        </row>
        <row r="6325">
          <cell r="A6325" t="str">
            <v>CIVLA</v>
          </cell>
          <cell r="J6325">
            <v>0</v>
          </cell>
        </row>
        <row r="6326">
          <cell r="A6326" t="str">
            <v>CIVLA</v>
          </cell>
          <cell r="J6326">
            <v>0</v>
          </cell>
        </row>
        <row r="6327">
          <cell r="A6327" t="str">
            <v>CIVLA</v>
          </cell>
          <cell r="J6327">
            <v>0</v>
          </cell>
        </row>
        <row r="6328">
          <cell r="A6328" t="str">
            <v>CIVLA</v>
          </cell>
          <cell r="J6328">
            <v>0</v>
          </cell>
        </row>
        <row r="6329">
          <cell r="A6329" t="str">
            <v>CIVLA</v>
          </cell>
          <cell r="J6329">
            <v>0</v>
          </cell>
        </row>
        <row r="6330">
          <cell r="A6330" t="str">
            <v>CIVLA</v>
          </cell>
          <cell r="J6330">
            <v>0</v>
          </cell>
        </row>
        <row r="6331">
          <cell r="A6331" t="str">
            <v>CIVLA</v>
          </cell>
          <cell r="J6331">
            <v>0</v>
          </cell>
        </row>
        <row r="6332">
          <cell r="A6332" t="str">
            <v>CIVLA</v>
          </cell>
          <cell r="J6332">
            <v>0</v>
          </cell>
        </row>
        <row r="6333">
          <cell r="A6333" t="str">
            <v>CIVLA</v>
          </cell>
          <cell r="J6333">
            <v>0</v>
          </cell>
        </row>
        <row r="6334">
          <cell r="A6334" t="str">
            <v>CIVLA</v>
          </cell>
          <cell r="J6334">
            <v>0</v>
          </cell>
        </row>
        <row r="6335">
          <cell r="A6335" t="str">
            <v>CIVLA</v>
          </cell>
          <cell r="J6335">
            <v>0</v>
          </cell>
        </row>
        <row r="6336">
          <cell r="A6336" t="str">
            <v>CIVLA</v>
          </cell>
          <cell r="J6336">
            <v>0</v>
          </cell>
        </row>
        <row r="6337">
          <cell r="A6337" t="str">
            <v>CIVLA</v>
          </cell>
          <cell r="J6337">
            <v>0</v>
          </cell>
        </row>
        <row r="6338">
          <cell r="A6338" t="str">
            <v>CIVLA</v>
          </cell>
          <cell r="J6338">
            <v>0</v>
          </cell>
        </row>
        <row r="6339">
          <cell r="A6339" t="str">
            <v>CIVLA</v>
          </cell>
          <cell r="J6339">
            <v>0</v>
          </cell>
        </row>
        <row r="6340">
          <cell r="A6340" t="str">
            <v>CIVLA</v>
          </cell>
          <cell r="J6340">
            <v>0</v>
          </cell>
        </row>
        <row r="6341">
          <cell r="A6341" t="str">
            <v>CIVLA</v>
          </cell>
          <cell r="J6341">
            <v>0</v>
          </cell>
        </row>
        <row r="6342">
          <cell r="A6342" t="str">
            <v>CIVLA</v>
          </cell>
          <cell r="J6342">
            <v>0</v>
          </cell>
        </row>
        <row r="6343">
          <cell r="A6343" t="str">
            <v>CIVLA</v>
          </cell>
          <cell r="J6343">
            <v>0</v>
          </cell>
        </row>
        <row r="6344">
          <cell r="A6344" t="str">
            <v>CIVLA</v>
          </cell>
          <cell r="J6344">
            <v>0</v>
          </cell>
        </row>
        <row r="6345">
          <cell r="A6345" t="str">
            <v>CIVLA</v>
          </cell>
          <cell r="J6345">
            <v>0</v>
          </cell>
        </row>
        <row r="6346">
          <cell r="A6346" t="str">
            <v>CIVLA</v>
          </cell>
          <cell r="J6346">
            <v>0</v>
          </cell>
        </row>
        <row r="6347">
          <cell r="A6347" t="str">
            <v>CIVLA</v>
          </cell>
          <cell r="J6347">
            <v>0</v>
          </cell>
        </row>
        <row r="6348">
          <cell r="A6348" t="str">
            <v>CIVLA</v>
          </cell>
          <cell r="J6348">
            <v>0</v>
          </cell>
        </row>
        <row r="6349">
          <cell r="A6349" t="str">
            <v>CIVLA</v>
          </cell>
          <cell r="J6349">
            <v>0</v>
          </cell>
        </row>
        <row r="6350">
          <cell r="A6350" t="str">
            <v>CIVLA</v>
          </cell>
          <cell r="J6350">
            <v>0</v>
          </cell>
        </row>
        <row r="6351">
          <cell r="A6351" t="str">
            <v>CIVLA</v>
          </cell>
          <cell r="J6351">
            <v>0</v>
          </cell>
        </row>
        <row r="6352">
          <cell r="A6352" t="str">
            <v>CIVLA</v>
          </cell>
          <cell r="J6352">
            <v>0</v>
          </cell>
        </row>
        <row r="6353">
          <cell r="A6353" t="str">
            <v>CIVLA</v>
          </cell>
          <cell r="J6353">
            <v>0</v>
          </cell>
        </row>
        <row r="6354">
          <cell r="A6354" t="str">
            <v>CIVLA</v>
          </cell>
          <cell r="J6354">
            <v>0</v>
          </cell>
        </row>
        <row r="6355">
          <cell r="A6355" t="str">
            <v>CIVLA</v>
          </cell>
          <cell r="J6355">
            <v>0</v>
          </cell>
        </row>
        <row r="6356">
          <cell r="A6356" t="str">
            <v>CIVLA</v>
          </cell>
          <cell r="J6356">
            <v>0</v>
          </cell>
        </row>
        <row r="6357">
          <cell r="A6357" t="str">
            <v>CIVLA</v>
          </cell>
          <cell r="J6357">
            <v>0</v>
          </cell>
        </row>
        <row r="6358">
          <cell r="A6358" t="str">
            <v>CIVLA</v>
          </cell>
          <cell r="J6358">
            <v>0</v>
          </cell>
        </row>
        <row r="6359">
          <cell r="A6359" t="str">
            <v>CIVLA</v>
          </cell>
          <cell r="J6359">
            <v>0</v>
          </cell>
        </row>
        <row r="6360">
          <cell r="A6360" t="str">
            <v>CIVLA</v>
          </cell>
          <cell r="J6360">
            <v>0</v>
          </cell>
        </row>
        <row r="6361">
          <cell r="A6361" t="str">
            <v>CIVLA</v>
          </cell>
          <cell r="J6361">
            <v>0</v>
          </cell>
        </row>
        <row r="6362">
          <cell r="A6362" t="str">
            <v>CIVLA</v>
          </cell>
          <cell r="J6362">
            <v>0</v>
          </cell>
        </row>
        <row r="6363">
          <cell r="A6363" t="str">
            <v>CIVLA</v>
          </cell>
          <cell r="J6363">
            <v>0</v>
          </cell>
        </row>
        <row r="6364">
          <cell r="A6364" t="str">
            <v>CIVLA</v>
          </cell>
          <cell r="J6364">
            <v>0</v>
          </cell>
        </row>
        <row r="6365">
          <cell r="A6365" t="str">
            <v>CIVLA</v>
          </cell>
          <cell r="J6365">
            <v>0</v>
          </cell>
        </row>
        <row r="6366">
          <cell r="A6366" t="str">
            <v>CIVLA</v>
          </cell>
          <cell r="J6366">
            <v>0</v>
          </cell>
        </row>
        <row r="6367">
          <cell r="A6367" t="str">
            <v>CIVLA</v>
          </cell>
          <cell r="J6367">
            <v>0</v>
          </cell>
        </row>
        <row r="6368">
          <cell r="A6368" t="str">
            <v>CIVLA</v>
          </cell>
          <cell r="J6368">
            <v>0</v>
          </cell>
        </row>
        <row r="6369">
          <cell r="A6369" t="str">
            <v>CIVLA</v>
          </cell>
          <cell r="J6369">
            <v>0</v>
          </cell>
        </row>
        <row r="6370">
          <cell r="A6370" t="str">
            <v>CIVLA</v>
          </cell>
          <cell r="J6370">
            <v>0</v>
          </cell>
        </row>
        <row r="6371">
          <cell r="A6371" t="str">
            <v>CIVLA</v>
          </cell>
          <cell r="J6371">
            <v>0</v>
          </cell>
        </row>
        <row r="6372">
          <cell r="A6372" t="str">
            <v>CIVLA</v>
          </cell>
          <cell r="J6372">
            <v>0</v>
          </cell>
        </row>
        <row r="6373">
          <cell r="A6373" t="str">
            <v>CIVLA</v>
          </cell>
          <cell r="J6373">
            <v>0</v>
          </cell>
        </row>
        <row r="6374">
          <cell r="A6374" t="str">
            <v>CIVLA</v>
          </cell>
          <cell r="J6374">
            <v>0</v>
          </cell>
        </row>
        <row r="6375">
          <cell r="A6375" t="str">
            <v>CIVLA</v>
          </cell>
          <cell r="J6375">
            <v>0</v>
          </cell>
        </row>
        <row r="6376">
          <cell r="A6376" t="str">
            <v>CIVLA</v>
          </cell>
          <cell r="J6376">
            <v>0</v>
          </cell>
        </row>
        <row r="6377">
          <cell r="A6377" t="str">
            <v>CIVLA</v>
          </cell>
          <cell r="J6377">
            <v>0</v>
          </cell>
        </row>
        <row r="6378">
          <cell r="A6378" t="str">
            <v>CIVLA</v>
          </cell>
          <cell r="J6378">
            <v>0</v>
          </cell>
        </row>
        <row r="6379">
          <cell r="A6379" t="str">
            <v>CIVLA</v>
          </cell>
          <cell r="J6379">
            <v>0</v>
          </cell>
        </row>
        <row r="6380">
          <cell r="A6380" t="str">
            <v>CIVLA</v>
          </cell>
          <cell r="J6380">
            <v>0</v>
          </cell>
        </row>
        <row r="6381">
          <cell r="A6381" t="str">
            <v>CIVLA</v>
          </cell>
          <cell r="J6381">
            <v>0</v>
          </cell>
        </row>
        <row r="6382">
          <cell r="A6382" t="str">
            <v>CIVLA</v>
          </cell>
          <cell r="J6382">
            <v>0</v>
          </cell>
        </row>
        <row r="6383">
          <cell r="A6383" t="str">
            <v>CIVLA</v>
          </cell>
          <cell r="J6383">
            <v>0</v>
          </cell>
        </row>
        <row r="6384">
          <cell r="A6384" t="str">
            <v>CIVLA</v>
          </cell>
          <cell r="J6384">
            <v>0</v>
          </cell>
        </row>
        <row r="6385">
          <cell r="A6385" t="str">
            <v>CIVLA</v>
          </cell>
          <cell r="J6385">
            <v>0</v>
          </cell>
        </row>
        <row r="6386">
          <cell r="A6386" t="str">
            <v>CIVLA</v>
          </cell>
          <cell r="J6386">
            <v>0</v>
          </cell>
        </row>
        <row r="6387">
          <cell r="A6387" t="str">
            <v>CIVLA</v>
          </cell>
          <cell r="J6387">
            <v>0</v>
          </cell>
        </row>
        <row r="6388">
          <cell r="A6388" t="str">
            <v>CIVLA</v>
          </cell>
          <cell r="J6388">
            <v>0</v>
          </cell>
        </row>
        <row r="6389">
          <cell r="A6389" t="str">
            <v>CIVLA</v>
          </cell>
          <cell r="J6389">
            <v>0</v>
          </cell>
        </row>
        <row r="6390">
          <cell r="A6390" t="str">
            <v>CIVLA</v>
          </cell>
          <cell r="J6390">
            <v>0</v>
          </cell>
        </row>
        <row r="6391">
          <cell r="A6391" t="str">
            <v>CIVLA</v>
          </cell>
          <cell r="J6391">
            <v>0</v>
          </cell>
        </row>
        <row r="6392">
          <cell r="A6392" t="str">
            <v>CIVLA</v>
          </cell>
          <cell r="J6392">
            <v>0</v>
          </cell>
        </row>
        <row r="6393">
          <cell r="A6393" t="str">
            <v>CIVLA</v>
          </cell>
          <cell r="J6393">
            <v>0</v>
          </cell>
        </row>
        <row r="6394">
          <cell r="A6394" t="str">
            <v>CIVLA</v>
          </cell>
          <cell r="J6394">
            <v>0</v>
          </cell>
        </row>
        <row r="6395">
          <cell r="A6395" t="str">
            <v>CIVLA</v>
          </cell>
          <cell r="J6395">
            <v>0</v>
          </cell>
        </row>
        <row r="6396">
          <cell r="A6396" t="str">
            <v>CIVLA</v>
          </cell>
          <cell r="J6396">
            <v>0</v>
          </cell>
        </row>
        <row r="6397">
          <cell r="A6397" t="str">
            <v>CIVLA</v>
          </cell>
          <cell r="J6397">
            <v>0</v>
          </cell>
        </row>
        <row r="6398">
          <cell r="A6398" t="str">
            <v>CIVLA</v>
          </cell>
          <cell r="J6398">
            <v>0</v>
          </cell>
        </row>
        <row r="6399">
          <cell r="A6399" t="str">
            <v>CIVLA</v>
          </cell>
          <cell r="J6399">
            <v>0</v>
          </cell>
        </row>
        <row r="6400">
          <cell r="A6400" t="str">
            <v>CIVLA</v>
          </cell>
          <cell r="J6400">
            <v>0</v>
          </cell>
        </row>
        <row r="6401">
          <cell r="A6401" t="str">
            <v>CIVLA</v>
          </cell>
          <cell r="J6401">
            <v>0</v>
          </cell>
        </row>
        <row r="6402">
          <cell r="A6402" t="str">
            <v>CIVLA</v>
          </cell>
          <cell r="J6402">
            <v>0</v>
          </cell>
        </row>
        <row r="6403">
          <cell r="A6403" t="str">
            <v>CIVLA</v>
          </cell>
          <cell r="J6403">
            <v>0</v>
          </cell>
        </row>
        <row r="6404">
          <cell r="A6404" t="str">
            <v>CIVLA</v>
          </cell>
          <cell r="J6404">
            <v>0</v>
          </cell>
        </row>
        <row r="6405">
          <cell r="A6405" t="str">
            <v>CIVLA</v>
          </cell>
          <cell r="J6405">
            <v>0</v>
          </cell>
        </row>
        <row r="6406">
          <cell r="A6406" t="str">
            <v>CIVLA</v>
          </cell>
          <cell r="J6406">
            <v>0</v>
          </cell>
        </row>
        <row r="6407">
          <cell r="A6407" t="str">
            <v>CIVLA</v>
          </cell>
          <cell r="J6407">
            <v>0</v>
          </cell>
        </row>
        <row r="6408">
          <cell r="A6408" t="str">
            <v>CIVLA</v>
          </cell>
          <cell r="J6408">
            <v>0</v>
          </cell>
        </row>
        <row r="6409">
          <cell r="A6409" t="str">
            <v>CIVLA</v>
          </cell>
          <cell r="J6409">
            <v>0</v>
          </cell>
        </row>
        <row r="6410">
          <cell r="A6410" t="str">
            <v>CIVLA</v>
          </cell>
          <cell r="J6410">
            <v>0</v>
          </cell>
        </row>
        <row r="6411">
          <cell r="A6411" t="str">
            <v>CIVLA</v>
          </cell>
          <cell r="J6411">
            <v>0</v>
          </cell>
        </row>
        <row r="6412">
          <cell r="A6412" t="str">
            <v>CIVLA</v>
          </cell>
          <cell r="J6412">
            <v>0</v>
          </cell>
        </row>
        <row r="6413">
          <cell r="A6413" t="str">
            <v>CIVLA</v>
          </cell>
          <cell r="J6413">
            <v>0</v>
          </cell>
        </row>
        <row r="6414">
          <cell r="A6414" t="str">
            <v>CIVLA</v>
          </cell>
          <cell r="J6414">
            <v>0</v>
          </cell>
        </row>
        <row r="6415">
          <cell r="A6415" t="str">
            <v>CIVLA</v>
          </cell>
          <cell r="J6415">
            <v>0</v>
          </cell>
        </row>
        <row r="6416">
          <cell r="A6416" t="str">
            <v>CIVLA</v>
          </cell>
          <cell r="J6416">
            <v>0</v>
          </cell>
        </row>
        <row r="6417">
          <cell r="A6417" t="str">
            <v>CIVLA</v>
          </cell>
          <cell r="J6417">
            <v>0</v>
          </cell>
        </row>
        <row r="6418">
          <cell r="A6418" t="str">
            <v>CIVLA</v>
          </cell>
          <cell r="J6418">
            <v>0</v>
          </cell>
        </row>
        <row r="6419">
          <cell r="A6419" t="str">
            <v>CIVLA</v>
          </cell>
          <cell r="J6419">
            <v>0</v>
          </cell>
        </row>
        <row r="6420">
          <cell r="A6420" t="str">
            <v>CIVLA</v>
          </cell>
          <cell r="J6420">
            <v>0</v>
          </cell>
        </row>
        <row r="6421">
          <cell r="A6421" t="str">
            <v>CIVLA</v>
          </cell>
          <cell r="J6421">
            <v>0</v>
          </cell>
        </row>
        <row r="6422">
          <cell r="A6422" t="str">
            <v>CIVLA</v>
          </cell>
          <cell r="J6422">
            <v>0</v>
          </cell>
        </row>
        <row r="6423">
          <cell r="A6423" t="str">
            <v>CIVLA</v>
          </cell>
          <cell r="J6423">
            <v>0</v>
          </cell>
        </row>
        <row r="6424">
          <cell r="A6424" t="str">
            <v>CIVLA</v>
          </cell>
          <cell r="J6424">
            <v>0</v>
          </cell>
        </row>
        <row r="6425">
          <cell r="A6425" t="str">
            <v>CIVLA</v>
          </cell>
          <cell r="J6425">
            <v>0</v>
          </cell>
        </row>
        <row r="6426">
          <cell r="A6426" t="str">
            <v>CIVLA</v>
          </cell>
          <cell r="J6426">
            <v>0</v>
          </cell>
        </row>
        <row r="6427">
          <cell r="A6427" t="str">
            <v>CIVLA</v>
          </cell>
          <cell r="J6427">
            <v>0</v>
          </cell>
        </row>
        <row r="6428">
          <cell r="A6428" t="str">
            <v>CIVLA</v>
          </cell>
          <cell r="J6428">
            <v>0</v>
          </cell>
        </row>
        <row r="6429">
          <cell r="A6429" t="str">
            <v>CIVLA</v>
          </cell>
          <cell r="J6429">
            <v>0</v>
          </cell>
        </row>
        <row r="6430">
          <cell r="A6430" t="str">
            <v>CIVLA</v>
          </cell>
          <cell r="J6430">
            <v>0</v>
          </cell>
        </row>
        <row r="6431">
          <cell r="A6431" t="str">
            <v>CIVLA</v>
          </cell>
          <cell r="J6431">
            <v>0</v>
          </cell>
        </row>
        <row r="6432">
          <cell r="A6432" t="str">
            <v>CIVLA</v>
          </cell>
          <cell r="J6432">
            <v>0</v>
          </cell>
        </row>
        <row r="6433">
          <cell r="A6433" t="str">
            <v>CIVLA</v>
          </cell>
          <cell r="J6433">
            <v>0</v>
          </cell>
        </row>
        <row r="6434">
          <cell r="A6434" t="str">
            <v>CIVLA</v>
          </cell>
          <cell r="J6434">
            <v>0</v>
          </cell>
        </row>
        <row r="6435">
          <cell r="A6435" t="str">
            <v>CIVLA</v>
          </cell>
          <cell r="J6435">
            <v>0</v>
          </cell>
        </row>
        <row r="6436">
          <cell r="A6436" t="str">
            <v>CIVLA</v>
          </cell>
          <cell r="J6436">
            <v>0</v>
          </cell>
        </row>
        <row r="6437">
          <cell r="A6437" t="str">
            <v>CIVLA</v>
          </cell>
          <cell r="J6437">
            <v>0</v>
          </cell>
        </row>
        <row r="6438">
          <cell r="A6438" t="str">
            <v>CIVLA</v>
          </cell>
          <cell r="J6438">
            <v>0</v>
          </cell>
        </row>
        <row r="6439">
          <cell r="A6439" t="str">
            <v>CIVLA</v>
          </cell>
          <cell r="J6439">
            <v>0</v>
          </cell>
        </row>
        <row r="6440">
          <cell r="A6440" t="str">
            <v>CIVLA</v>
          </cell>
          <cell r="J6440">
            <v>0</v>
          </cell>
        </row>
        <row r="6441">
          <cell r="A6441" t="str">
            <v>CIVLA</v>
          </cell>
          <cell r="J6441">
            <v>0</v>
          </cell>
        </row>
        <row r="6442">
          <cell r="A6442" t="str">
            <v>CIVLA</v>
          </cell>
          <cell r="J6442">
            <v>0</v>
          </cell>
        </row>
        <row r="6443">
          <cell r="A6443" t="str">
            <v>CIVLA</v>
          </cell>
          <cell r="J6443">
            <v>0</v>
          </cell>
        </row>
        <row r="6444">
          <cell r="A6444" t="str">
            <v>CIVLA</v>
          </cell>
          <cell r="J6444">
            <v>0</v>
          </cell>
        </row>
        <row r="6445">
          <cell r="A6445" t="str">
            <v>CIVLA</v>
          </cell>
          <cell r="J6445">
            <v>0</v>
          </cell>
        </row>
        <row r="6446">
          <cell r="A6446" t="str">
            <v>CIVLA</v>
          </cell>
          <cell r="J6446">
            <v>0</v>
          </cell>
        </row>
        <row r="6447">
          <cell r="A6447" t="str">
            <v>CIVLA</v>
          </cell>
          <cell r="J6447">
            <v>0</v>
          </cell>
        </row>
        <row r="6448">
          <cell r="A6448" t="str">
            <v>CIVLA</v>
          </cell>
          <cell r="J6448">
            <v>0</v>
          </cell>
        </row>
        <row r="6449">
          <cell r="A6449" t="str">
            <v>CIVLA</v>
          </cell>
          <cell r="J6449">
            <v>0</v>
          </cell>
        </row>
        <row r="6450">
          <cell r="A6450" t="str">
            <v>CIVLA</v>
          </cell>
          <cell r="J6450">
            <v>0</v>
          </cell>
        </row>
        <row r="6451">
          <cell r="A6451" t="str">
            <v>CIVLA</v>
          </cell>
          <cell r="J6451">
            <v>0</v>
          </cell>
        </row>
        <row r="6452">
          <cell r="A6452" t="str">
            <v>CIVLA</v>
          </cell>
          <cell r="J6452">
            <v>0</v>
          </cell>
        </row>
        <row r="6453">
          <cell r="A6453" t="str">
            <v>CIVLA</v>
          </cell>
          <cell r="J6453">
            <v>0</v>
          </cell>
        </row>
        <row r="6454">
          <cell r="A6454" t="str">
            <v>CIVLA</v>
          </cell>
          <cell r="J6454">
            <v>0</v>
          </cell>
        </row>
        <row r="6455">
          <cell r="A6455" t="str">
            <v>CIVLA</v>
          </cell>
          <cell r="J6455">
            <v>0</v>
          </cell>
        </row>
        <row r="6456">
          <cell r="A6456" t="str">
            <v>CIVLA</v>
          </cell>
          <cell r="J6456">
            <v>0</v>
          </cell>
        </row>
        <row r="6457">
          <cell r="A6457" t="str">
            <v>CIVLA</v>
          </cell>
          <cell r="J6457">
            <v>0</v>
          </cell>
        </row>
        <row r="6458">
          <cell r="A6458" t="str">
            <v>CIVLA</v>
          </cell>
          <cell r="J6458">
            <v>0</v>
          </cell>
        </row>
        <row r="6459">
          <cell r="A6459" t="str">
            <v>CIVLA</v>
          </cell>
          <cell r="J6459">
            <v>0</v>
          </cell>
        </row>
        <row r="6460">
          <cell r="A6460" t="str">
            <v>CIVLA</v>
          </cell>
          <cell r="J6460">
            <v>0</v>
          </cell>
        </row>
        <row r="6461">
          <cell r="A6461" t="str">
            <v>CIVLA</v>
          </cell>
          <cell r="J6461">
            <v>0</v>
          </cell>
        </row>
        <row r="6462">
          <cell r="A6462" t="str">
            <v>CIVLA</v>
          </cell>
          <cell r="J6462">
            <v>0</v>
          </cell>
        </row>
        <row r="6463">
          <cell r="A6463" t="str">
            <v>CIVLA</v>
          </cell>
          <cell r="J6463">
            <v>0</v>
          </cell>
        </row>
        <row r="6464">
          <cell r="A6464" t="str">
            <v>CIVLA</v>
          </cell>
          <cell r="J6464">
            <v>0</v>
          </cell>
        </row>
        <row r="6465">
          <cell r="A6465" t="str">
            <v>CIVLA</v>
          </cell>
          <cell r="J6465">
            <v>0</v>
          </cell>
        </row>
        <row r="6466">
          <cell r="A6466" t="str">
            <v>CIVLA</v>
          </cell>
          <cell r="J6466">
            <v>0</v>
          </cell>
        </row>
        <row r="6467">
          <cell r="A6467" t="str">
            <v>CIVLA</v>
          </cell>
          <cell r="J6467">
            <v>0</v>
          </cell>
        </row>
        <row r="6468">
          <cell r="A6468" t="str">
            <v>CIVLA</v>
          </cell>
          <cell r="J6468">
            <v>0</v>
          </cell>
        </row>
        <row r="6469">
          <cell r="A6469" t="str">
            <v>CIVLA</v>
          </cell>
          <cell r="J6469">
            <v>0</v>
          </cell>
        </row>
        <row r="6470">
          <cell r="A6470" t="str">
            <v>CIVLA</v>
          </cell>
          <cell r="J6470">
            <v>0</v>
          </cell>
        </row>
        <row r="6471">
          <cell r="A6471" t="str">
            <v>CIVLA</v>
          </cell>
          <cell r="J6471">
            <v>0</v>
          </cell>
        </row>
        <row r="6472">
          <cell r="A6472" t="str">
            <v>CIVLA</v>
          </cell>
          <cell r="J6472">
            <v>0</v>
          </cell>
        </row>
        <row r="6473">
          <cell r="A6473" t="str">
            <v>CIVLA</v>
          </cell>
          <cell r="J6473">
            <v>0</v>
          </cell>
        </row>
        <row r="6474">
          <cell r="A6474" t="str">
            <v>CIVLA</v>
          </cell>
          <cell r="J6474">
            <v>0</v>
          </cell>
        </row>
        <row r="6475">
          <cell r="A6475" t="str">
            <v>CIVLA</v>
          </cell>
          <cell r="J6475">
            <v>0</v>
          </cell>
        </row>
        <row r="6476">
          <cell r="A6476" t="str">
            <v>CIVLA</v>
          </cell>
          <cell r="J6476">
            <v>0</v>
          </cell>
        </row>
        <row r="6477">
          <cell r="A6477" t="str">
            <v>CIVLA</v>
          </cell>
          <cell r="J6477">
            <v>0</v>
          </cell>
        </row>
        <row r="6478">
          <cell r="A6478" t="str">
            <v>CIVLA</v>
          </cell>
          <cell r="J6478">
            <v>0</v>
          </cell>
        </row>
        <row r="6479">
          <cell r="A6479" t="str">
            <v>CIVLA</v>
          </cell>
          <cell r="J6479">
            <v>0</v>
          </cell>
        </row>
        <row r="6480">
          <cell r="A6480" t="str">
            <v>CIVLA</v>
          </cell>
          <cell r="J6480">
            <v>0</v>
          </cell>
        </row>
        <row r="6481">
          <cell r="A6481" t="str">
            <v>CIVLA</v>
          </cell>
          <cell r="J6481">
            <v>0</v>
          </cell>
        </row>
        <row r="6482">
          <cell r="A6482" t="str">
            <v>CIVLA</v>
          </cell>
          <cell r="J6482">
            <v>0</v>
          </cell>
        </row>
        <row r="6483">
          <cell r="A6483" t="str">
            <v>CIVLA</v>
          </cell>
          <cell r="J6483">
            <v>0</v>
          </cell>
        </row>
        <row r="6484">
          <cell r="A6484" t="str">
            <v>CIVLA</v>
          </cell>
          <cell r="J6484">
            <v>0</v>
          </cell>
        </row>
        <row r="6485">
          <cell r="A6485" t="str">
            <v>CIVLA</v>
          </cell>
          <cell r="J6485">
            <v>0</v>
          </cell>
        </row>
        <row r="6486">
          <cell r="A6486" t="str">
            <v>CIVLA</v>
          </cell>
          <cell r="J6486">
            <v>0</v>
          </cell>
        </row>
        <row r="6487">
          <cell r="A6487" t="str">
            <v>CIVLA</v>
          </cell>
          <cell r="J6487">
            <v>0</v>
          </cell>
        </row>
        <row r="6488">
          <cell r="A6488" t="str">
            <v>CIVLA</v>
          </cell>
          <cell r="J6488">
            <v>0</v>
          </cell>
        </row>
        <row r="6489">
          <cell r="A6489" t="str">
            <v>CIVLA</v>
          </cell>
          <cell r="J6489">
            <v>0</v>
          </cell>
        </row>
        <row r="6490">
          <cell r="A6490" t="str">
            <v>CIVLA</v>
          </cell>
          <cell r="J6490">
            <v>0</v>
          </cell>
        </row>
        <row r="6491">
          <cell r="A6491" t="str">
            <v>CIVLA</v>
          </cell>
          <cell r="J6491">
            <v>0</v>
          </cell>
        </row>
        <row r="6492">
          <cell r="A6492" t="str">
            <v>CIVLA</v>
          </cell>
          <cell r="J6492">
            <v>0</v>
          </cell>
        </row>
        <row r="6493">
          <cell r="A6493" t="str">
            <v>CIVLA</v>
          </cell>
          <cell r="J6493">
            <v>0</v>
          </cell>
        </row>
        <row r="6494">
          <cell r="A6494" t="str">
            <v>CIVLA</v>
          </cell>
          <cell r="J6494">
            <v>0</v>
          </cell>
        </row>
        <row r="6495">
          <cell r="A6495" t="str">
            <v>CIVLA</v>
          </cell>
          <cell r="J6495">
            <v>0</v>
          </cell>
        </row>
        <row r="6496">
          <cell r="A6496" t="str">
            <v>CIVLA</v>
          </cell>
          <cell r="J6496">
            <v>0</v>
          </cell>
        </row>
        <row r="6497">
          <cell r="A6497" t="str">
            <v>CIVLA</v>
          </cell>
          <cell r="J6497">
            <v>0</v>
          </cell>
        </row>
        <row r="6498">
          <cell r="A6498" t="str">
            <v>CIVLA</v>
          </cell>
          <cell r="J6498">
            <v>0</v>
          </cell>
        </row>
        <row r="6499">
          <cell r="A6499" t="str">
            <v>CIVLA</v>
          </cell>
          <cell r="J6499">
            <v>0</v>
          </cell>
        </row>
        <row r="6500">
          <cell r="A6500" t="str">
            <v>CIVLA</v>
          </cell>
          <cell r="J6500">
            <v>0</v>
          </cell>
        </row>
        <row r="6501">
          <cell r="A6501" t="str">
            <v>CIVLA</v>
          </cell>
          <cell r="J6501">
            <v>0</v>
          </cell>
        </row>
        <row r="6502">
          <cell r="A6502" t="str">
            <v>CIVLA</v>
          </cell>
          <cell r="J6502">
            <v>0</v>
          </cell>
        </row>
        <row r="6503">
          <cell r="A6503" t="str">
            <v>CIVLA</v>
          </cell>
          <cell r="J6503">
            <v>0</v>
          </cell>
        </row>
        <row r="6504">
          <cell r="A6504" t="str">
            <v>CIVLA</v>
          </cell>
          <cell r="J6504">
            <v>0</v>
          </cell>
        </row>
        <row r="6505">
          <cell r="A6505" t="str">
            <v>CIVLA</v>
          </cell>
          <cell r="J6505">
            <v>0</v>
          </cell>
        </row>
        <row r="6506">
          <cell r="A6506" t="str">
            <v>CIVLA</v>
          </cell>
          <cell r="J6506">
            <v>0</v>
          </cell>
        </row>
        <row r="6507">
          <cell r="A6507" t="str">
            <v>CIVLA</v>
          </cell>
          <cell r="J6507">
            <v>0</v>
          </cell>
        </row>
        <row r="6508">
          <cell r="A6508" t="str">
            <v>CIVLA</v>
          </cell>
          <cell r="J6508">
            <v>0</v>
          </cell>
        </row>
        <row r="6509">
          <cell r="A6509" t="str">
            <v>CIVLA</v>
          </cell>
          <cell r="J6509">
            <v>0</v>
          </cell>
        </row>
        <row r="6510">
          <cell r="A6510" t="str">
            <v>CIVLA</v>
          </cell>
          <cell r="J6510">
            <v>0</v>
          </cell>
        </row>
        <row r="6511">
          <cell r="A6511" t="str">
            <v>CIVLA</v>
          </cell>
          <cell r="J6511">
            <v>0</v>
          </cell>
        </row>
        <row r="6512">
          <cell r="A6512" t="str">
            <v>CIVLA</v>
          </cell>
          <cell r="J6512">
            <v>0</v>
          </cell>
        </row>
        <row r="6513">
          <cell r="A6513" t="str">
            <v>CIVLA</v>
          </cell>
          <cell r="J6513">
            <v>0</v>
          </cell>
        </row>
        <row r="6514">
          <cell r="A6514" t="str">
            <v>CIVLA</v>
          </cell>
          <cell r="J6514">
            <v>0</v>
          </cell>
        </row>
        <row r="6515">
          <cell r="A6515" t="str">
            <v>CIVLA</v>
          </cell>
          <cell r="J6515">
            <v>0</v>
          </cell>
        </row>
        <row r="6516">
          <cell r="A6516" t="str">
            <v>CIVLA</v>
          </cell>
          <cell r="J6516">
            <v>0</v>
          </cell>
        </row>
        <row r="6517">
          <cell r="A6517" t="str">
            <v>CIVLA</v>
          </cell>
          <cell r="J6517">
            <v>0</v>
          </cell>
        </row>
        <row r="6518">
          <cell r="A6518" t="str">
            <v>CIVLA</v>
          </cell>
          <cell r="J6518">
            <v>0</v>
          </cell>
        </row>
        <row r="6519">
          <cell r="A6519" t="str">
            <v>CIVLA</v>
          </cell>
          <cell r="J6519">
            <v>0</v>
          </cell>
        </row>
        <row r="6520">
          <cell r="A6520" t="str">
            <v>CIVLA</v>
          </cell>
          <cell r="J6520">
            <v>0</v>
          </cell>
        </row>
        <row r="6521">
          <cell r="A6521" t="str">
            <v>CIVLA</v>
          </cell>
          <cell r="J6521">
            <v>0</v>
          </cell>
        </row>
        <row r="6522">
          <cell r="A6522" t="str">
            <v>CIVLA</v>
          </cell>
          <cell r="J6522">
            <v>0</v>
          </cell>
        </row>
        <row r="6523">
          <cell r="A6523" t="str">
            <v>CIVLA</v>
          </cell>
          <cell r="J6523">
            <v>0</v>
          </cell>
        </row>
        <row r="6524">
          <cell r="A6524" t="str">
            <v>CIVLA</v>
          </cell>
          <cell r="J6524">
            <v>0</v>
          </cell>
        </row>
        <row r="6525">
          <cell r="A6525" t="str">
            <v>CIVLA</v>
          </cell>
          <cell r="J6525">
            <v>0</v>
          </cell>
        </row>
        <row r="6526">
          <cell r="A6526" t="str">
            <v>CIVLA</v>
          </cell>
          <cell r="J6526">
            <v>0</v>
          </cell>
        </row>
        <row r="6527">
          <cell r="A6527" t="str">
            <v>CIVLA</v>
          </cell>
          <cell r="J6527">
            <v>0</v>
          </cell>
        </row>
        <row r="6528">
          <cell r="A6528" t="str">
            <v>CIVLA</v>
          </cell>
          <cell r="J6528">
            <v>0</v>
          </cell>
        </row>
        <row r="6529">
          <cell r="A6529" t="str">
            <v>CIVLA</v>
          </cell>
          <cell r="J6529">
            <v>0</v>
          </cell>
        </row>
        <row r="6530">
          <cell r="A6530" t="str">
            <v>CIVLA</v>
          </cell>
          <cell r="J6530">
            <v>0</v>
          </cell>
        </row>
        <row r="6531">
          <cell r="A6531" t="str">
            <v>CIVLA</v>
          </cell>
          <cell r="J6531">
            <v>0</v>
          </cell>
        </row>
        <row r="6532">
          <cell r="A6532" t="str">
            <v>CIVLA</v>
          </cell>
          <cell r="J6532">
            <v>0</v>
          </cell>
        </row>
        <row r="6533">
          <cell r="A6533" t="str">
            <v>CIVLA</v>
          </cell>
          <cell r="J6533">
            <v>0</v>
          </cell>
        </row>
        <row r="6534">
          <cell r="A6534" t="str">
            <v>CIVLA</v>
          </cell>
          <cell r="J6534">
            <v>0</v>
          </cell>
        </row>
        <row r="6535">
          <cell r="A6535" t="str">
            <v>CIVLA</v>
          </cell>
          <cell r="J6535">
            <v>0</v>
          </cell>
        </row>
        <row r="6536">
          <cell r="A6536" t="str">
            <v>CIVLA</v>
          </cell>
          <cell r="J6536">
            <v>0</v>
          </cell>
        </row>
        <row r="6537">
          <cell r="A6537" t="str">
            <v>CIVLA</v>
          </cell>
          <cell r="J6537">
            <v>0</v>
          </cell>
        </row>
        <row r="6538">
          <cell r="A6538" t="str">
            <v>CIVLA</v>
          </cell>
          <cell r="J6538">
            <v>0</v>
          </cell>
        </row>
        <row r="6539">
          <cell r="A6539" t="str">
            <v>CIVLA</v>
          </cell>
          <cell r="J6539">
            <v>0</v>
          </cell>
        </row>
        <row r="6540">
          <cell r="A6540" t="str">
            <v>CIVLA</v>
          </cell>
          <cell r="J6540">
            <v>0</v>
          </cell>
        </row>
        <row r="6541">
          <cell r="A6541" t="str">
            <v>CIVLA</v>
          </cell>
          <cell r="J6541">
            <v>0</v>
          </cell>
        </row>
        <row r="6542">
          <cell r="A6542" t="str">
            <v>CIVLA</v>
          </cell>
          <cell r="J6542">
            <v>0</v>
          </cell>
        </row>
        <row r="6543">
          <cell r="A6543" t="str">
            <v>CIVLA</v>
          </cell>
          <cell r="J6543">
            <v>0</v>
          </cell>
        </row>
        <row r="6544">
          <cell r="A6544" t="str">
            <v>CIVLA</v>
          </cell>
          <cell r="J6544">
            <v>0</v>
          </cell>
        </row>
        <row r="6545">
          <cell r="A6545" t="str">
            <v>CIVLA</v>
          </cell>
          <cell r="J6545">
            <v>0</v>
          </cell>
        </row>
        <row r="6546">
          <cell r="A6546" t="str">
            <v>CIVLA</v>
          </cell>
          <cell r="J6546">
            <v>0</v>
          </cell>
        </row>
        <row r="6547">
          <cell r="A6547" t="str">
            <v>CIVLA</v>
          </cell>
          <cell r="J6547">
            <v>0</v>
          </cell>
        </row>
        <row r="6548">
          <cell r="A6548" t="str">
            <v>CIVLA</v>
          </cell>
          <cell r="J6548">
            <v>0</v>
          </cell>
        </row>
        <row r="6549">
          <cell r="A6549" t="str">
            <v>CIVLA</v>
          </cell>
          <cell r="J6549">
            <v>0</v>
          </cell>
        </row>
        <row r="6550">
          <cell r="A6550" t="str">
            <v>CIVLA</v>
          </cell>
          <cell r="J6550">
            <v>0</v>
          </cell>
        </row>
        <row r="6551">
          <cell r="A6551" t="str">
            <v>CIVLA</v>
          </cell>
          <cell r="J6551">
            <v>0</v>
          </cell>
        </row>
        <row r="6552">
          <cell r="A6552" t="str">
            <v>CIVLA</v>
          </cell>
          <cell r="J6552">
            <v>0</v>
          </cell>
        </row>
        <row r="6553">
          <cell r="A6553" t="str">
            <v>CIVLA</v>
          </cell>
          <cell r="J6553">
            <v>0</v>
          </cell>
        </row>
        <row r="6554">
          <cell r="A6554" t="str">
            <v>CIVLA</v>
          </cell>
          <cell r="J6554">
            <v>0</v>
          </cell>
        </row>
        <row r="6555">
          <cell r="A6555" t="str">
            <v>CIVLA</v>
          </cell>
          <cell r="J6555">
            <v>0</v>
          </cell>
        </row>
        <row r="6556">
          <cell r="A6556" t="str">
            <v>CIVLA</v>
          </cell>
          <cell r="J6556">
            <v>0</v>
          </cell>
        </row>
        <row r="6557">
          <cell r="A6557" t="str">
            <v>CIVLA</v>
          </cell>
          <cell r="J6557">
            <v>0</v>
          </cell>
        </row>
        <row r="6558">
          <cell r="A6558" t="str">
            <v>CIVLA</v>
          </cell>
          <cell r="J6558">
            <v>0</v>
          </cell>
        </row>
        <row r="6559">
          <cell r="A6559" t="str">
            <v>CIVLA</v>
          </cell>
          <cell r="J6559">
            <v>0</v>
          </cell>
        </row>
        <row r="6560">
          <cell r="A6560" t="str">
            <v>CIVLA</v>
          </cell>
          <cell r="J6560">
            <v>0</v>
          </cell>
        </row>
        <row r="6561">
          <cell r="A6561" t="str">
            <v>CIVLA</v>
          </cell>
          <cell r="J6561">
            <v>0</v>
          </cell>
        </row>
        <row r="6562">
          <cell r="A6562" t="str">
            <v>CIVLA</v>
          </cell>
          <cell r="J6562">
            <v>0</v>
          </cell>
        </row>
        <row r="6563">
          <cell r="A6563" t="str">
            <v>CIVLA</v>
          </cell>
          <cell r="J6563">
            <v>0</v>
          </cell>
        </row>
        <row r="6564">
          <cell r="A6564" t="str">
            <v>CIVLA</v>
          </cell>
          <cell r="J6564">
            <v>0</v>
          </cell>
        </row>
        <row r="6565">
          <cell r="A6565" t="str">
            <v>CIVLA</v>
          </cell>
          <cell r="J6565">
            <v>0</v>
          </cell>
        </row>
        <row r="6566">
          <cell r="A6566" t="str">
            <v>CIVLA</v>
          </cell>
          <cell r="J6566">
            <v>0</v>
          </cell>
        </row>
        <row r="6567">
          <cell r="A6567" t="str">
            <v>CIVLA</v>
          </cell>
          <cell r="J6567">
            <v>0</v>
          </cell>
        </row>
        <row r="6568">
          <cell r="A6568" t="str">
            <v>CIVLA</v>
          </cell>
          <cell r="J6568">
            <v>0</v>
          </cell>
        </row>
        <row r="6569">
          <cell r="A6569" t="str">
            <v>CIVLA</v>
          </cell>
          <cell r="J6569">
            <v>0</v>
          </cell>
        </row>
        <row r="6570">
          <cell r="A6570" t="str">
            <v>CIVLA</v>
          </cell>
          <cell r="J6570">
            <v>0</v>
          </cell>
        </row>
        <row r="6571">
          <cell r="A6571" t="str">
            <v>CIVLA</v>
          </cell>
          <cell r="J6571">
            <v>0</v>
          </cell>
        </row>
        <row r="6572">
          <cell r="A6572" t="str">
            <v>CIVLA</v>
          </cell>
          <cell r="J6572">
            <v>0</v>
          </cell>
        </row>
        <row r="6573">
          <cell r="A6573" t="str">
            <v>CIVLA</v>
          </cell>
          <cell r="J6573">
            <v>0</v>
          </cell>
        </row>
        <row r="6574">
          <cell r="A6574" t="str">
            <v>CIVLA</v>
          </cell>
          <cell r="J6574">
            <v>0</v>
          </cell>
        </row>
        <row r="6575">
          <cell r="A6575" t="str">
            <v>CIVLA</v>
          </cell>
          <cell r="J6575">
            <v>0</v>
          </cell>
        </row>
        <row r="6576">
          <cell r="A6576" t="str">
            <v>CIVLA</v>
          </cell>
          <cell r="J6576">
            <v>0</v>
          </cell>
        </row>
        <row r="6577">
          <cell r="A6577" t="str">
            <v>CIVLA</v>
          </cell>
          <cell r="J6577">
            <v>0</v>
          </cell>
        </row>
        <row r="6578">
          <cell r="A6578" t="str">
            <v>CIVLA</v>
          </cell>
          <cell r="J6578">
            <v>0</v>
          </cell>
        </row>
        <row r="6579">
          <cell r="A6579" t="str">
            <v>CIVLA</v>
          </cell>
          <cell r="J6579">
            <v>0</v>
          </cell>
        </row>
        <row r="6580">
          <cell r="A6580" t="str">
            <v>CIVLA</v>
          </cell>
          <cell r="J6580">
            <v>0</v>
          </cell>
        </row>
        <row r="6581">
          <cell r="A6581" t="str">
            <v>CIVLA</v>
          </cell>
          <cell r="J6581">
            <v>0</v>
          </cell>
        </row>
        <row r="6582">
          <cell r="A6582" t="str">
            <v>CIVLA</v>
          </cell>
          <cell r="J6582">
            <v>0</v>
          </cell>
        </row>
        <row r="6583">
          <cell r="A6583" t="str">
            <v>CIVLA</v>
          </cell>
          <cell r="J6583">
            <v>0</v>
          </cell>
        </row>
        <row r="6584">
          <cell r="A6584" t="str">
            <v>CIVLA</v>
          </cell>
          <cell r="J6584">
            <v>0</v>
          </cell>
        </row>
        <row r="6585">
          <cell r="A6585" t="str">
            <v>CIVLA</v>
          </cell>
          <cell r="J6585">
            <v>0</v>
          </cell>
        </row>
        <row r="6586">
          <cell r="A6586" t="str">
            <v>CIVLA</v>
          </cell>
          <cell r="J6586">
            <v>0</v>
          </cell>
        </row>
        <row r="6587">
          <cell r="A6587" t="str">
            <v>CIVLA</v>
          </cell>
          <cell r="J6587">
            <v>0</v>
          </cell>
        </row>
        <row r="6588">
          <cell r="A6588" t="str">
            <v>CIVLA</v>
          </cell>
          <cell r="J6588">
            <v>0</v>
          </cell>
        </row>
        <row r="6589">
          <cell r="A6589" t="str">
            <v>CIVLA</v>
          </cell>
          <cell r="J6589">
            <v>0</v>
          </cell>
        </row>
        <row r="6590">
          <cell r="A6590" t="str">
            <v>CIVLA</v>
          </cell>
          <cell r="J6590">
            <v>0</v>
          </cell>
        </row>
        <row r="6591">
          <cell r="A6591" t="str">
            <v>CIVLA</v>
          </cell>
          <cell r="J6591">
            <v>0</v>
          </cell>
        </row>
        <row r="6592">
          <cell r="A6592" t="str">
            <v>CIVLA</v>
          </cell>
          <cell r="J6592">
            <v>0</v>
          </cell>
        </row>
        <row r="6593">
          <cell r="A6593" t="str">
            <v>CIVLA</v>
          </cell>
          <cell r="J6593">
            <v>0</v>
          </cell>
        </row>
        <row r="6594">
          <cell r="A6594" t="str">
            <v>CIVLA</v>
          </cell>
          <cell r="J6594">
            <v>0</v>
          </cell>
        </row>
        <row r="6595">
          <cell r="A6595" t="str">
            <v>CIVLA</v>
          </cell>
          <cell r="J6595">
            <v>0</v>
          </cell>
        </row>
        <row r="6596">
          <cell r="A6596" t="str">
            <v>CIVLA</v>
          </cell>
          <cell r="J6596">
            <v>0</v>
          </cell>
        </row>
        <row r="6597">
          <cell r="A6597" t="str">
            <v>CIVLA</v>
          </cell>
          <cell r="J6597">
            <v>0</v>
          </cell>
        </row>
        <row r="6598">
          <cell r="A6598" t="str">
            <v>CIVLA</v>
          </cell>
          <cell r="J6598">
            <v>0</v>
          </cell>
        </row>
        <row r="6599">
          <cell r="A6599" t="str">
            <v>CIVLA</v>
          </cell>
          <cell r="J6599">
            <v>0</v>
          </cell>
        </row>
        <row r="6600">
          <cell r="A6600" t="str">
            <v>CIVLA</v>
          </cell>
          <cell r="J6600">
            <v>0</v>
          </cell>
        </row>
        <row r="6601">
          <cell r="A6601" t="str">
            <v>CIVLA</v>
          </cell>
          <cell r="J6601">
            <v>0</v>
          </cell>
        </row>
        <row r="6602">
          <cell r="A6602" t="str">
            <v>CIVLA</v>
          </cell>
          <cell r="J6602">
            <v>0</v>
          </cell>
        </row>
        <row r="6603">
          <cell r="A6603" t="str">
            <v>CIVLA</v>
          </cell>
          <cell r="J6603">
            <v>0</v>
          </cell>
        </row>
        <row r="6604">
          <cell r="A6604" t="str">
            <v>CIVLA</v>
          </cell>
          <cell r="J6604">
            <v>0</v>
          </cell>
        </row>
        <row r="6605">
          <cell r="A6605" t="str">
            <v>CIVLA</v>
          </cell>
          <cell r="J6605">
            <v>0</v>
          </cell>
        </row>
        <row r="6606">
          <cell r="A6606" t="str">
            <v>CIVLA</v>
          </cell>
          <cell r="J6606">
            <v>0</v>
          </cell>
        </row>
        <row r="6607">
          <cell r="A6607" t="str">
            <v>CIVLA</v>
          </cell>
          <cell r="J6607">
            <v>0</v>
          </cell>
        </row>
        <row r="6608">
          <cell r="A6608" t="str">
            <v>CIVLA</v>
          </cell>
          <cell r="J6608">
            <v>0</v>
          </cell>
        </row>
        <row r="6609">
          <cell r="A6609" t="str">
            <v>CIVLA</v>
          </cell>
          <cell r="J6609">
            <v>0</v>
          </cell>
        </row>
        <row r="6610">
          <cell r="A6610" t="str">
            <v>CIVLA</v>
          </cell>
          <cell r="J6610">
            <v>0</v>
          </cell>
        </row>
        <row r="6611">
          <cell r="A6611" t="str">
            <v>CIVLA</v>
          </cell>
          <cell r="J6611">
            <v>0</v>
          </cell>
        </row>
        <row r="6612">
          <cell r="A6612" t="str">
            <v>CIVLA</v>
          </cell>
          <cell r="J6612">
            <v>0</v>
          </cell>
        </row>
        <row r="6613">
          <cell r="A6613" t="str">
            <v>CIVLA</v>
          </cell>
          <cell r="J6613">
            <v>0</v>
          </cell>
        </row>
        <row r="6614">
          <cell r="A6614" t="str">
            <v>CIVLA</v>
          </cell>
          <cell r="J6614">
            <v>0</v>
          </cell>
        </row>
        <row r="6615">
          <cell r="A6615" t="str">
            <v>CIVLA</v>
          </cell>
          <cell r="J6615">
            <v>0</v>
          </cell>
        </row>
        <row r="6616">
          <cell r="A6616" t="str">
            <v>CIVLA</v>
          </cell>
          <cell r="J6616">
            <v>0</v>
          </cell>
        </row>
        <row r="6617">
          <cell r="A6617" t="str">
            <v>CIVLA</v>
          </cell>
          <cell r="J6617">
            <v>0</v>
          </cell>
        </row>
        <row r="6618">
          <cell r="A6618" t="str">
            <v>CIVLA</v>
          </cell>
          <cell r="J6618">
            <v>0</v>
          </cell>
        </row>
        <row r="6619">
          <cell r="A6619" t="str">
            <v>CIVLA</v>
          </cell>
          <cell r="J6619">
            <v>0</v>
          </cell>
        </row>
        <row r="6620">
          <cell r="A6620" t="str">
            <v>CIVLA</v>
          </cell>
          <cell r="J6620">
            <v>0</v>
          </cell>
        </row>
        <row r="6621">
          <cell r="A6621" t="str">
            <v>CIVLA</v>
          </cell>
          <cell r="J6621">
            <v>0</v>
          </cell>
        </row>
        <row r="6622">
          <cell r="A6622" t="str">
            <v>CIVLA</v>
          </cell>
          <cell r="J6622">
            <v>0</v>
          </cell>
        </row>
        <row r="6623">
          <cell r="A6623" t="str">
            <v>CIVLA</v>
          </cell>
          <cell r="J6623">
            <v>0</v>
          </cell>
        </row>
        <row r="6624">
          <cell r="A6624" t="str">
            <v>CIVLA</v>
          </cell>
          <cell r="J6624">
            <v>0</v>
          </cell>
        </row>
        <row r="6625">
          <cell r="A6625" t="str">
            <v>CIVLA</v>
          </cell>
          <cell r="J6625">
            <v>0</v>
          </cell>
        </row>
        <row r="6626">
          <cell r="A6626" t="str">
            <v>CIVLA</v>
          </cell>
          <cell r="J6626">
            <v>0</v>
          </cell>
        </row>
        <row r="6627">
          <cell r="A6627" t="str">
            <v>CIVLA</v>
          </cell>
          <cell r="J6627">
            <v>0</v>
          </cell>
        </row>
        <row r="6628">
          <cell r="A6628" t="str">
            <v>CIVLA</v>
          </cell>
          <cell r="J6628">
            <v>0</v>
          </cell>
        </row>
        <row r="6629">
          <cell r="A6629" t="str">
            <v>CIVLA</v>
          </cell>
          <cell r="J6629">
            <v>0</v>
          </cell>
        </row>
        <row r="6630">
          <cell r="A6630" t="str">
            <v>CIVLA</v>
          </cell>
          <cell r="J6630">
            <v>0</v>
          </cell>
        </row>
        <row r="6631">
          <cell r="A6631" t="str">
            <v>CIVLA</v>
          </cell>
          <cell r="J6631">
            <v>0</v>
          </cell>
        </row>
        <row r="6632">
          <cell r="A6632" t="str">
            <v>CIVLA</v>
          </cell>
          <cell r="J6632">
            <v>0</v>
          </cell>
        </row>
        <row r="6633">
          <cell r="A6633" t="str">
            <v>CIVLA</v>
          </cell>
          <cell r="J6633">
            <v>0</v>
          </cell>
        </row>
        <row r="6634">
          <cell r="A6634" t="str">
            <v>CIVLA</v>
          </cell>
          <cell r="J6634">
            <v>0</v>
          </cell>
        </row>
        <row r="6635">
          <cell r="A6635" t="str">
            <v>CIVLA</v>
          </cell>
          <cell r="J6635">
            <v>0</v>
          </cell>
        </row>
        <row r="6636">
          <cell r="A6636" t="str">
            <v>CIVLA</v>
          </cell>
          <cell r="J6636">
            <v>0</v>
          </cell>
        </row>
        <row r="6637">
          <cell r="A6637" t="str">
            <v>CIVLA</v>
          </cell>
          <cell r="J6637">
            <v>0</v>
          </cell>
        </row>
        <row r="6638">
          <cell r="A6638" t="str">
            <v>CIVLA</v>
          </cell>
          <cell r="J6638">
            <v>0</v>
          </cell>
        </row>
        <row r="6639">
          <cell r="A6639" t="str">
            <v>CIVLA</v>
          </cell>
          <cell r="J6639">
            <v>0</v>
          </cell>
        </row>
        <row r="6640">
          <cell r="A6640" t="str">
            <v>CIVLA</v>
          </cell>
          <cell r="J6640">
            <v>0</v>
          </cell>
        </row>
        <row r="6641">
          <cell r="A6641" t="str">
            <v>CIVLA</v>
          </cell>
          <cell r="J6641">
            <v>0</v>
          </cell>
        </row>
        <row r="6642">
          <cell r="A6642" t="str">
            <v>CIVLA</v>
          </cell>
          <cell r="J6642">
            <v>0</v>
          </cell>
        </row>
        <row r="6643">
          <cell r="A6643" t="str">
            <v>CIVLA</v>
          </cell>
          <cell r="J6643">
            <v>0</v>
          </cell>
        </row>
        <row r="6644">
          <cell r="A6644" t="str">
            <v>CIVLA</v>
          </cell>
          <cell r="J6644">
            <v>0</v>
          </cell>
        </row>
        <row r="6645">
          <cell r="A6645" t="str">
            <v>CIVLA</v>
          </cell>
          <cell r="J6645">
            <v>0</v>
          </cell>
        </row>
        <row r="6646">
          <cell r="A6646" t="str">
            <v>CIVLA</v>
          </cell>
          <cell r="J6646">
            <v>0</v>
          </cell>
        </row>
        <row r="6647">
          <cell r="A6647" t="str">
            <v>CIVLA</v>
          </cell>
          <cell r="J6647">
            <v>0</v>
          </cell>
        </row>
        <row r="6648">
          <cell r="A6648" t="str">
            <v>CIVLA</v>
          </cell>
          <cell r="J6648">
            <v>0</v>
          </cell>
        </row>
        <row r="6649">
          <cell r="A6649" t="str">
            <v>CIVLA</v>
          </cell>
          <cell r="J6649">
            <v>0</v>
          </cell>
        </row>
        <row r="6650">
          <cell r="A6650" t="str">
            <v>CIVLA</v>
          </cell>
          <cell r="J6650">
            <v>0</v>
          </cell>
        </row>
        <row r="6651">
          <cell r="A6651" t="str">
            <v>CIVLA</v>
          </cell>
          <cell r="J6651">
            <v>0</v>
          </cell>
        </row>
        <row r="6652">
          <cell r="A6652" t="str">
            <v>CIVLA</v>
          </cell>
          <cell r="J6652">
            <v>0</v>
          </cell>
        </row>
        <row r="6653">
          <cell r="A6653" t="str">
            <v>CIVLA</v>
          </cell>
          <cell r="J6653">
            <v>0</v>
          </cell>
        </row>
        <row r="6654">
          <cell r="A6654" t="str">
            <v>CIVLA</v>
          </cell>
          <cell r="J6654">
            <v>0</v>
          </cell>
        </row>
        <row r="6655">
          <cell r="A6655" t="str">
            <v>CIVLA</v>
          </cell>
          <cell r="J6655">
            <v>0</v>
          </cell>
        </row>
        <row r="6656">
          <cell r="A6656" t="str">
            <v>CIVLA</v>
          </cell>
          <cell r="J6656">
            <v>0</v>
          </cell>
        </row>
        <row r="6657">
          <cell r="A6657" t="str">
            <v>CIVLA</v>
          </cell>
          <cell r="J6657">
            <v>0</v>
          </cell>
        </row>
        <row r="6658">
          <cell r="A6658" t="str">
            <v>CIVLA</v>
          </cell>
          <cell r="J6658">
            <v>0</v>
          </cell>
        </row>
        <row r="6659">
          <cell r="A6659" t="str">
            <v>CIVLA</v>
          </cell>
          <cell r="J6659">
            <v>0</v>
          </cell>
        </row>
        <row r="6660">
          <cell r="A6660" t="str">
            <v>CIVLA</v>
          </cell>
          <cell r="J6660">
            <v>0</v>
          </cell>
        </row>
        <row r="6661">
          <cell r="A6661" t="str">
            <v>CIVLA</v>
          </cell>
          <cell r="J6661">
            <v>0</v>
          </cell>
        </row>
        <row r="6662">
          <cell r="A6662" t="str">
            <v>CIVLA</v>
          </cell>
          <cell r="J6662">
            <v>0</v>
          </cell>
        </row>
        <row r="6663">
          <cell r="A6663" t="str">
            <v>CIVLA</v>
          </cell>
          <cell r="J6663">
            <v>0</v>
          </cell>
        </row>
        <row r="6664">
          <cell r="A6664" t="str">
            <v>CIVLA</v>
          </cell>
          <cell r="J6664">
            <v>0</v>
          </cell>
        </row>
        <row r="6665">
          <cell r="A6665" t="str">
            <v>CIVLA</v>
          </cell>
          <cell r="J6665">
            <v>0</v>
          </cell>
        </row>
        <row r="6666">
          <cell r="A6666" t="str">
            <v>CIVLA</v>
          </cell>
          <cell r="J6666">
            <v>0</v>
          </cell>
        </row>
        <row r="6667">
          <cell r="A6667" t="str">
            <v>CIVLA</v>
          </cell>
          <cell r="J6667">
            <v>0</v>
          </cell>
        </row>
        <row r="6668">
          <cell r="A6668" t="str">
            <v>CIVLA</v>
          </cell>
          <cell r="J6668">
            <v>0</v>
          </cell>
        </row>
        <row r="6669">
          <cell r="A6669" t="str">
            <v>CIVLA</v>
          </cell>
          <cell r="J6669">
            <v>0</v>
          </cell>
        </row>
        <row r="6670">
          <cell r="A6670" t="str">
            <v>CIVLA</v>
          </cell>
          <cell r="J6670">
            <v>0</v>
          </cell>
        </row>
        <row r="6671">
          <cell r="A6671" t="str">
            <v>CIVLA</v>
          </cell>
          <cell r="J6671">
            <v>0</v>
          </cell>
        </row>
        <row r="6672">
          <cell r="A6672" t="str">
            <v>CIVLA</v>
          </cell>
          <cell r="J6672">
            <v>0</v>
          </cell>
        </row>
        <row r="6673">
          <cell r="A6673" t="str">
            <v>CIVLA</v>
          </cell>
          <cell r="J6673">
            <v>0</v>
          </cell>
        </row>
        <row r="6674">
          <cell r="A6674" t="str">
            <v>CIVLA</v>
          </cell>
          <cell r="J6674">
            <v>0</v>
          </cell>
        </row>
        <row r="6675">
          <cell r="A6675" t="str">
            <v>CIVLA</v>
          </cell>
          <cell r="J6675">
            <v>0</v>
          </cell>
        </row>
        <row r="6676">
          <cell r="A6676" t="str">
            <v>CIVLA</v>
          </cell>
          <cell r="J6676">
            <v>0</v>
          </cell>
        </row>
        <row r="6677">
          <cell r="A6677" t="str">
            <v>CIVLA</v>
          </cell>
          <cell r="J6677">
            <v>0</v>
          </cell>
        </row>
        <row r="6678">
          <cell r="A6678" t="str">
            <v>CIVLA</v>
          </cell>
          <cell r="J6678">
            <v>0</v>
          </cell>
        </row>
        <row r="6679">
          <cell r="A6679" t="str">
            <v>CIVLA</v>
          </cell>
          <cell r="J6679">
            <v>0</v>
          </cell>
        </row>
        <row r="6680">
          <cell r="A6680" t="str">
            <v>CIVLA</v>
          </cell>
          <cell r="J6680">
            <v>0</v>
          </cell>
        </row>
        <row r="6681">
          <cell r="A6681" t="str">
            <v>CIVLA</v>
          </cell>
          <cell r="J6681">
            <v>0</v>
          </cell>
        </row>
        <row r="6682">
          <cell r="A6682" t="str">
            <v>CIVLA</v>
          </cell>
          <cell r="J6682">
            <v>0</v>
          </cell>
        </row>
        <row r="6683">
          <cell r="A6683" t="str">
            <v>CIVLA</v>
          </cell>
          <cell r="J6683">
            <v>0</v>
          </cell>
        </row>
        <row r="6684">
          <cell r="A6684" t="str">
            <v>CIVLA</v>
          </cell>
          <cell r="J6684">
            <v>0</v>
          </cell>
        </row>
        <row r="6685">
          <cell r="A6685" t="str">
            <v>CIVLA</v>
          </cell>
          <cell r="J6685">
            <v>0</v>
          </cell>
        </row>
        <row r="6686">
          <cell r="A6686" t="str">
            <v>CIVLA</v>
          </cell>
          <cell r="J6686">
            <v>0</v>
          </cell>
        </row>
        <row r="6687">
          <cell r="A6687" t="str">
            <v>CIVLA</v>
          </cell>
          <cell r="J6687">
            <v>0</v>
          </cell>
        </row>
        <row r="6688">
          <cell r="A6688" t="str">
            <v>CIVLA</v>
          </cell>
          <cell r="J6688">
            <v>0</v>
          </cell>
        </row>
        <row r="6689">
          <cell r="A6689" t="str">
            <v>CIVLA</v>
          </cell>
          <cell r="J6689">
            <v>0</v>
          </cell>
        </row>
        <row r="6690">
          <cell r="A6690" t="str">
            <v>CIVLA</v>
          </cell>
          <cell r="J6690">
            <v>0</v>
          </cell>
        </row>
        <row r="6691">
          <cell r="A6691" t="str">
            <v>CIVLA</v>
          </cell>
          <cell r="J6691">
            <v>0</v>
          </cell>
        </row>
        <row r="6692">
          <cell r="A6692" t="str">
            <v>CIVLA</v>
          </cell>
          <cell r="J6692">
            <v>0</v>
          </cell>
        </row>
        <row r="6693">
          <cell r="A6693" t="str">
            <v>CIVLA</v>
          </cell>
          <cell r="J6693">
            <v>0</v>
          </cell>
        </row>
        <row r="6694">
          <cell r="A6694" t="str">
            <v>CIVLA</v>
          </cell>
          <cell r="J6694">
            <v>0</v>
          </cell>
        </row>
        <row r="6695">
          <cell r="A6695" t="str">
            <v>CIVLA</v>
          </cell>
          <cell r="J6695">
            <v>0</v>
          </cell>
        </row>
        <row r="6696">
          <cell r="A6696" t="str">
            <v>CIVLA</v>
          </cell>
          <cell r="J6696">
            <v>0</v>
          </cell>
        </row>
        <row r="6697">
          <cell r="A6697" t="str">
            <v>CIVLA</v>
          </cell>
          <cell r="J6697">
            <v>0</v>
          </cell>
        </row>
        <row r="6698">
          <cell r="A6698" t="str">
            <v>CIVLA</v>
          </cell>
          <cell r="J6698">
            <v>0</v>
          </cell>
        </row>
        <row r="6699">
          <cell r="A6699" t="str">
            <v>CIVLA</v>
          </cell>
          <cell r="J6699">
            <v>0</v>
          </cell>
        </row>
        <row r="6700">
          <cell r="A6700" t="str">
            <v>CIVLA</v>
          </cell>
          <cell r="J6700">
            <v>0</v>
          </cell>
        </row>
        <row r="6701">
          <cell r="A6701" t="str">
            <v>CIVLA</v>
          </cell>
          <cell r="J6701">
            <v>0</v>
          </cell>
        </row>
        <row r="6702">
          <cell r="A6702" t="str">
            <v>CIVLA</v>
          </cell>
          <cell r="J6702">
            <v>0</v>
          </cell>
        </row>
        <row r="6703">
          <cell r="A6703" t="str">
            <v>CIVLA</v>
          </cell>
          <cell r="J6703">
            <v>0</v>
          </cell>
        </row>
        <row r="6704">
          <cell r="A6704" t="str">
            <v>CIVLA</v>
          </cell>
          <cell r="J6704">
            <v>0</v>
          </cell>
        </row>
        <row r="6705">
          <cell r="A6705" t="str">
            <v>CIVLA</v>
          </cell>
          <cell r="J6705">
            <v>0</v>
          </cell>
        </row>
        <row r="6706">
          <cell r="A6706" t="str">
            <v>CIVLA</v>
          </cell>
          <cell r="J6706">
            <v>0</v>
          </cell>
        </row>
        <row r="6707">
          <cell r="A6707" t="str">
            <v>CIVLA</v>
          </cell>
          <cell r="J6707">
            <v>0</v>
          </cell>
        </row>
        <row r="6708">
          <cell r="A6708" t="str">
            <v>CIVLA</v>
          </cell>
          <cell r="J6708">
            <v>0</v>
          </cell>
        </row>
        <row r="6709">
          <cell r="A6709" t="str">
            <v>CIVLA</v>
          </cell>
          <cell r="J6709">
            <v>0</v>
          </cell>
        </row>
        <row r="6710">
          <cell r="A6710" t="str">
            <v>CIVLA</v>
          </cell>
          <cell r="J6710">
            <v>0</v>
          </cell>
        </row>
        <row r="6711">
          <cell r="A6711" t="str">
            <v>CIVLA</v>
          </cell>
          <cell r="J6711">
            <v>0</v>
          </cell>
        </row>
        <row r="6712">
          <cell r="A6712" t="str">
            <v>CIVLA</v>
          </cell>
          <cell r="J6712">
            <v>0</v>
          </cell>
        </row>
        <row r="6713">
          <cell r="A6713" t="str">
            <v>CIVLA</v>
          </cell>
          <cell r="J6713">
            <v>0</v>
          </cell>
        </row>
        <row r="6714">
          <cell r="A6714" t="str">
            <v>CIVLA</v>
          </cell>
          <cell r="J6714">
            <v>0</v>
          </cell>
        </row>
        <row r="6715">
          <cell r="A6715" t="str">
            <v>CIVLA</v>
          </cell>
          <cell r="J6715">
            <v>0</v>
          </cell>
        </row>
        <row r="6716">
          <cell r="A6716" t="str">
            <v>CIVLA</v>
          </cell>
          <cell r="J6716">
            <v>0</v>
          </cell>
        </row>
        <row r="6717">
          <cell r="A6717" t="str">
            <v>CIVLA</v>
          </cell>
          <cell r="J6717">
            <v>0</v>
          </cell>
        </row>
        <row r="6718">
          <cell r="A6718" t="str">
            <v>CIVLA</v>
          </cell>
          <cell r="J6718">
            <v>0</v>
          </cell>
        </row>
        <row r="6719">
          <cell r="A6719" t="str">
            <v>CIVLA</v>
          </cell>
          <cell r="J6719">
            <v>0</v>
          </cell>
        </row>
        <row r="6720">
          <cell r="A6720" t="str">
            <v>CIVLA</v>
          </cell>
          <cell r="J6720">
            <v>0</v>
          </cell>
        </row>
        <row r="6721">
          <cell r="A6721" t="str">
            <v>CIVLA</v>
          </cell>
          <cell r="J6721">
            <v>0</v>
          </cell>
        </row>
        <row r="6722">
          <cell r="A6722" t="str">
            <v>CIVLA</v>
          </cell>
          <cell r="J6722">
            <v>0</v>
          </cell>
        </row>
        <row r="6723">
          <cell r="A6723" t="str">
            <v>CIVLA</v>
          </cell>
          <cell r="J6723">
            <v>0</v>
          </cell>
        </row>
        <row r="6724">
          <cell r="A6724" t="str">
            <v>CIVLA</v>
          </cell>
          <cell r="J6724">
            <v>0</v>
          </cell>
        </row>
        <row r="6725">
          <cell r="A6725" t="str">
            <v>CIVLA</v>
          </cell>
          <cell r="J6725">
            <v>0</v>
          </cell>
        </row>
        <row r="6726">
          <cell r="A6726" t="str">
            <v>CIVLA</v>
          </cell>
          <cell r="J6726">
            <v>0</v>
          </cell>
        </row>
        <row r="6727">
          <cell r="A6727" t="str">
            <v>CIVLA</v>
          </cell>
          <cell r="J6727">
            <v>0</v>
          </cell>
        </row>
        <row r="6728">
          <cell r="A6728" t="str">
            <v>CIVLA</v>
          </cell>
          <cell r="J6728">
            <v>0</v>
          </cell>
        </row>
        <row r="6729">
          <cell r="A6729" t="str">
            <v>CIVLA</v>
          </cell>
          <cell r="J6729">
            <v>0</v>
          </cell>
        </row>
        <row r="6730">
          <cell r="A6730" t="str">
            <v>CIVLA</v>
          </cell>
          <cell r="J6730">
            <v>0</v>
          </cell>
        </row>
        <row r="6731">
          <cell r="A6731" t="str">
            <v>CIVLA</v>
          </cell>
          <cell r="J6731">
            <v>0</v>
          </cell>
        </row>
        <row r="6732">
          <cell r="A6732" t="str">
            <v>CIVLA</v>
          </cell>
          <cell r="J6732">
            <v>0</v>
          </cell>
        </row>
        <row r="6733">
          <cell r="A6733" t="str">
            <v>CIVLA</v>
          </cell>
          <cell r="J6733">
            <v>0</v>
          </cell>
        </row>
        <row r="6734">
          <cell r="A6734" t="str">
            <v>CIVLA</v>
          </cell>
          <cell r="J6734">
            <v>0</v>
          </cell>
        </row>
        <row r="6735">
          <cell r="A6735" t="str">
            <v>CIVLA</v>
          </cell>
          <cell r="J6735">
            <v>0</v>
          </cell>
        </row>
        <row r="6736">
          <cell r="A6736" t="str">
            <v>CIVLA</v>
          </cell>
          <cell r="J6736">
            <v>0</v>
          </cell>
        </row>
        <row r="6737">
          <cell r="A6737" t="str">
            <v>CIVLA</v>
          </cell>
          <cell r="J6737">
            <v>0</v>
          </cell>
        </row>
        <row r="6738">
          <cell r="A6738" t="str">
            <v>CIVLA</v>
          </cell>
          <cell r="J6738">
            <v>0</v>
          </cell>
        </row>
        <row r="6739">
          <cell r="A6739" t="str">
            <v>CIVLA</v>
          </cell>
          <cell r="J6739">
            <v>0</v>
          </cell>
        </row>
        <row r="6740">
          <cell r="A6740" t="str">
            <v>CIVLA</v>
          </cell>
          <cell r="J6740">
            <v>0</v>
          </cell>
        </row>
        <row r="6741">
          <cell r="A6741" t="str">
            <v>CIVLA</v>
          </cell>
          <cell r="J6741">
            <v>0</v>
          </cell>
        </row>
        <row r="6742">
          <cell r="A6742" t="str">
            <v>CIVLA</v>
          </cell>
          <cell r="J6742">
            <v>0</v>
          </cell>
        </row>
        <row r="6743">
          <cell r="A6743" t="str">
            <v>CIVLA</v>
          </cell>
          <cell r="J6743">
            <v>0</v>
          </cell>
        </row>
        <row r="6744">
          <cell r="A6744" t="str">
            <v>CIVLA</v>
          </cell>
          <cell r="J6744">
            <v>0</v>
          </cell>
        </row>
        <row r="6745">
          <cell r="A6745" t="str">
            <v>CIVLA</v>
          </cell>
          <cell r="J6745">
            <v>0</v>
          </cell>
        </row>
        <row r="6746">
          <cell r="A6746" t="str">
            <v>CIVLA</v>
          </cell>
          <cell r="J6746">
            <v>0</v>
          </cell>
        </row>
        <row r="6747">
          <cell r="A6747" t="str">
            <v>CIVLA</v>
          </cell>
          <cell r="J6747">
            <v>0</v>
          </cell>
        </row>
        <row r="6748">
          <cell r="A6748" t="str">
            <v>CIVLA</v>
          </cell>
          <cell r="J6748">
            <v>0</v>
          </cell>
        </row>
        <row r="6749">
          <cell r="A6749" t="str">
            <v>CIVLA</v>
          </cell>
          <cell r="J6749">
            <v>0</v>
          </cell>
        </row>
        <row r="6750">
          <cell r="A6750" t="str">
            <v>CIVLA</v>
          </cell>
          <cell r="J6750">
            <v>0</v>
          </cell>
        </row>
        <row r="6751">
          <cell r="A6751" t="str">
            <v>CIVLA</v>
          </cell>
          <cell r="J6751">
            <v>0</v>
          </cell>
        </row>
        <row r="6752">
          <cell r="A6752" t="str">
            <v>CIVLA</v>
          </cell>
          <cell r="J6752">
            <v>0</v>
          </cell>
        </row>
        <row r="6753">
          <cell r="A6753" t="str">
            <v>CIVLA</v>
          </cell>
          <cell r="J6753">
            <v>0</v>
          </cell>
        </row>
        <row r="6754">
          <cell r="A6754" t="str">
            <v>CIVLA</v>
          </cell>
          <cell r="J6754">
            <v>0</v>
          </cell>
        </row>
        <row r="6755">
          <cell r="A6755" t="str">
            <v>CIVLA</v>
          </cell>
          <cell r="J6755">
            <v>0</v>
          </cell>
        </row>
        <row r="6756">
          <cell r="A6756" t="str">
            <v>CIVLA</v>
          </cell>
          <cell r="J6756">
            <v>0</v>
          </cell>
        </row>
        <row r="6757">
          <cell r="A6757" t="str">
            <v>CIVLA</v>
          </cell>
          <cell r="J6757">
            <v>0</v>
          </cell>
        </row>
        <row r="6758">
          <cell r="A6758" t="str">
            <v>CIVLA</v>
          </cell>
          <cell r="J6758">
            <v>0</v>
          </cell>
        </row>
        <row r="6759">
          <cell r="A6759" t="str">
            <v>CIVLA</v>
          </cell>
          <cell r="J6759">
            <v>0</v>
          </cell>
        </row>
        <row r="6760">
          <cell r="A6760" t="str">
            <v>CIVLA</v>
          </cell>
          <cell r="J6760">
            <v>0</v>
          </cell>
        </row>
        <row r="6761">
          <cell r="A6761" t="str">
            <v>CIVLA</v>
          </cell>
          <cell r="J6761">
            <v>0</v>
          </cell>
        </row>
        <row r="6762">
          <cell r="A6762" t="str">
            <v>CIVLA</v>
          </cell>
          <cell r="J6762">
            <v>0</v>
          </cell>
        </row>
        <row r="6763">
          <cell r="A6763" t="str">
            <v>CIVLA</v>
          </cell>
          <cell r="J6763">
            <v>0</v>
          </cell>
        </row>
        <row r="6764">
          <cell r="A6764" t="str">
            <v>CIVLA</v>
          </cell>
          <cell r="J6764">
            <v>0</v>
          </cell>
        </row>
        <row r="6765">
          <cell r="A6765" t="str">
            <v>CIVLA</v>
          </cell>
          <cell r="J6765">
            <v>0</v>
          </cell>
        </row>
        <row r="6766">
          <cell r="A6766" t="str">
            <v>CIVLA</v>
          </cell>
          <cell r="J6766">
            <v>0</v>
          </cell>
        </row>
        <row r="6767">
          <cell r="A6767" t="str">
            <v>CIVLA</v>
          </cell>
          <cell r="J6767">
            <v>0</v>
          </cell>
        </row>
        <row r="6768">
          <cell r="A6768" t="str">
            <v>CIVLA</v>
          </cell>
          <cell r="J6768">
            <v>0</v>
          </cell>
        </row>
        <row r="6769">
          <cell r="A6769" t="str">
            <v>CIVLA</v>
          </cell>
          <cell r="J6769">
            <v>0</v>
          </cell>
        </row>
        <row r="6770">
          <cell r="A6770" t="str">
            <v>CIVLA</v>
          </cell>
          <cell r="J6770">
            <v>0</v>
          </cell>
        </row>
        <row r="6771">
          <cell r="A6771" t="str">
            <v>CIVLA</v>
          </cell>
          <cell r="J6771">
            <v>0</v>
          </cell>
        </row>
        <row r="6772">
          <cell r="A6772" t="str">
            <v>CIVLA</v>
          </cell>
          <cell r="J6772">
            <v>0</v>
          </cell>
        </row>
        <row r="6773">
          <cell r="A6773" t="str">
            <v>CIVLA</v>
          </cell>
          <cell r="J6773">
            <v>0</v>
          </cell>
        </row>
        <row r="6774">
          <cell r="A6774" t="str">
            <v>CIVLA</v>
          </cell>
          <cell r="J6774">
            <v>0</v>
          </cell>
        </row>
        <row r="6775">
          <cell r="A6775" t="str">
            <v>CIVLA</v>
          </cell>
          <cell r="J6775">
            <v>0</v>
          </cell>
        </row>
        <row r="6776">
          <cell r="A6776" t="str">
            <v>CIVLA</v>
          </cell>
          <cell r="J6776">
            <v>0</v>
          </cell>
        </row>
        <row r="6777">
          <cell r="A6777" t="str">
            <v>CIVLA</v>
          </cell>
          <cell r="J6777">
            <v>0</v>
          </cell>
        </row>
        <row r="6778">
          <cell r="A6778" t="str">
            <v>CIVLA</v>
          </cell>
          <cell r="J6778">
            <v>0</v>
          </cell>
        </row>
        <row r="6779">
          <cell r="A6779" t="str">
            <v>CIVLA</v>
          </cell>
          <cell r="J6779">
            <v>0</v>
          </cell>
        </row>
        <row r="6780">
          <cell r="A6780" t="str">
            <v>CIVLA</v>
          </cell>
          <cell r="J6780">
            <v>0</v>
          </cell>
        </row>
        <row r="6781">
          <cell r="A6781" t="str">
            <v>CIVLA</v>
          </cell>
          <cell r="J6781">
            <v>0</v>
          </cell>
        </row>
        <row r="6782">
          <cell r="A6782" t="str">
            <v>CIVLA</v>
          </cell>
          <cell r="J6782">
            <v>0</v>
          </cell>
        </row>
        <row r="6783">
          <cell r="A6783" t="str">
            <v>CIVLA</v>
          </cell>
          <cell r="J6783">
            <v>0</v>
          </cell>
        </row>
        <row r="6784">
          <cell r="A6784" t="str">
            <v>CIVLA</v>
          </cell>
          <cell r="J6784">
            <v>0</v>
          </cell>
        </row>
        <row r="6785">
          <cell r="A6785" t="str">
            <v>CIVLA</v>
          </cell>
          <cell r="J6785">
            <v>0</v>
          </cell>
        </row>
        <row r="6786">
          <cell r="A6786" t="str">
            <v>CIVLA</v>
          </cell>
          <cell r="J6786">
            <v>0</v>
          </cell>
        </row>
        <row r="6787">
          <cell r="A6787" t="str">
            <v>CIVLA</v>
          </cell>
          <cell r="J6787">
            <v>0</v>
          </cell>
        </row>
        <row r="6788">
          <cell r="A6788" t="str">
            <v>CIVLA</v>
          </cell>
          <cell r="J6788">
            <v>0</v>
          </cell>
        </row>
        <row r="6789">
          <cell r="A6789" t="str">
            <v>CIVLA</v>
          </cell>
          <cell r="J6789">
            <v>0</v>
          </cell>
        </row>
        <row r="6790">
          <cell r="A6790" t="str">
            <v>CIVLA</v>
          </cell>
          <cell r="J6790">
            <v>0</v>
          </cell>
        </row>
        <row r="6791">
          <cell r="A6791" t="str">
            <v>CIVLA</v>
          </cell>
          <cell r="J6791">
            <v>0</v>
          </cell>
        </row>
        <row r="6792">
          <cell r="A6792" t="str">
            <v>CIVLA</v>
          </cell>
          <cell r="J6792">
            <v>0</v>
          </cell>
        </row>
        <row r="6793">
          <cell r="A6793" t="str">
            <v>CIVLA</v>
          </cell>
          <cell r="J6793">
            <v>0</v>
          </cell>
        </row>
        <row r="6794">
          <cell r="A6794" t="str">
            <v>CIVLA</v>
          </cell>
          <cell r="J6794">
            <v>0</v>
          </cell>
        </row>
        <row r="6795">
          <cell r="A6795" t="str">
            <v>CIVLA</v>
          </cell>
          <cell r="J6795">
            <v>0</v>
          </cell>
        </row>
        <row r="6796">
          <cell r="A6796" t="str">
            <v>CIVLA</v>
          </cell>
          <cell r="J6796">
            <v>0</v>
          </cell>
        </row>
        <row r="6797">
          <cell r="A6797" t="str">
            <v>CIVLA</v>
          </cell>
          <cell r="J6797">
            <v>0</v>
          </cell>
        </row>
        <row r="6798">
          <cell r="A6798" t="str">
            <v>CIVLA</v>
          </cell>
          <cell r="J6798">
            <v>0</v>
          </cell>
        </row>
        <row r="6799">
          <cell r="A6799" t="str">
            <v>CIVLA</v>
          </cell>
          <cell r="J6799">
            <v>0</v>
          </cell>
        </row>
        <row r="6800">
          <cell r="A6800" t="str">
            <v>CIVLA</v>
          </cell>
          <cell r="J6800">
            <v>0</v>
          </cell>
        </row>
        <row r="6801">
          <cell r="A6801" t="str">
            <v>CIVLA</v>
          </cell>
          <cell r="J6801">
            <v>0</v>
          </cell>
        </row>
        <row r="6802">
          <cell r="A6802" t="str">
            <v>CIVLA</v>
          </cell>
          <cell r="J6802">
            <v>0</v>
          </cell>
        </row>
        <row r="6803">
          <cell r="A6803" t="str">
            <v>CIVLA</v>
          </cell>
          <cell r="J6803">
            <v>0</v>
          </cell>
        </row>
        <row r="6804">
          <cell r="A6804" t="str">
            <v>CIVLA</v>
          </cell>
          <cell r="J6804">
            <v>0</v>
          </cell>
        </row>
        <row r="6805">
          <cell r="A6805" t="str">
            <v>CIVLA</v>
          </cell>
          <cell r="J6805">
            <v>0</v>
          </cell>
        </row>
        <row r="6806">
          <cell r="A6806" t="str">
            <v>CIVLA</v>
          </cell>
          <cell r="J6806">
            <v>0</v>
          </cell>
        </row>
        <row r="6807">
          <cell r="A6807" t="str">
            <v>CIVLA</v>
          </cell>
          <cell r="J6807">
            <v>0</v>
          </cell>
        </row>
        <row r="6808">
          <cell r="A6808" t="str">
            <v>CIVLA</v>
          </cell>
          <cell r="J6808">
            <v>0</v>
          </cell>
        </row>
        <row r="6809">
          <cell r="A6809" t="str">
            <v>CIVLA</v>
          </cell>
          <cell r="J6809">
            <v>0</v>
          </cell>
        </row>
        <row r="6810">
          <cell r="A6810" t="str">
            <v>CIVLA</v>
          </cell>
          <cell r="J6810">
            <v>0</v>
          </cell>
        </row>
        <row r="6811">
          <cell r="A6811" t="str">
            <v>CIVLA</v>
          </cell>
          <cell r="J6811">
            <v>0</v>
          </cell>
        </row>
        <row r="6812">
          <cell r="A6812" t="str">
            <v>CIVLA</v>
          </cell>
          <cell r="J6812">
            <v>0</v>
          </cell>
        </row>
        <row r="6813">
          <cell r="A6813" t="str">
            <v>CIVLA</v>
          </cell>
          <cell r="J6813">
            <v>0</v>
          </cell>
        </row>
        <row r="6814">
          <cell r="A6814" t="str">
            <v>CIVLA</v>
          </cell>
          <cell r="J6814">
            <v>0</v>
          </cell>
        </row>
        <row r="6815">
          <cell r="A6815" t="str">
            <v>CIVLA</v>
          </cell>
          <cell r="J6815">
            <v>0</v>
          </cell>
        </row>
        <row r="6816">
          <cell r="A6816" t="str">
            <v>CIVLA</v>
          </cell>
          <cell r="J6816">
            <v>0</v>
          </cell>
        </row>
        <row r="6817">
          <cell r="A6817" t="str">
            <v>CIVLA</v>
          </cell>
          <cell r="J6817">
            <v>0</v>
          </cell>
        </row>
        <row r="6818">
          <cell r="A6818" t="str">
            <v>CIVLA</v>
          </cell>
          <cell r="J6818">
            <v>0</v>
          </cell>
        </row>
        <row r="6819">
          <cell r="A6819" t="str">
            <v>CIVLA</v>
          </cell>
          <cell r="J6819">
            <v>0</v>
          </cell>
        </row>
        <row r="6820">
          <cell r="A6820" t="str">
            <v>CIVLA</v>
          </cell>
          <cell r="J6820">
            <v>0</v>
          </cell>
        </row>
        <row r="6821">
          <cell r="A6821" t="str">
            <v>CIVLA</v>
          </cell>
          <cell r="J6821">
            <v>0</v>
          </cell>
        </row>
        <row r="6822">
          <cell r="A6822" t="str">
            <v>CIVLA</v>
          </cell>
          <cell r="J6822">
            <v>0</v>
          </cell>
        </row>
        <row r="6823">
          <cell r="A6823" t="str">
            <v>CIVLA</v>
          </cell>
          <cell r="J6823">
            <v>0</v>
          </cell>
        </row>
        <row r="6824">
          <cell r="A6824" t="str">
            <v>CIVLA</v>
          </cell>
          <cell r="J6824">
            <v>0</v>
          </cell>
        </row>
        <row r="6825">
          <cell r="A6825" t="str">
            <v>CIVLA</v>
          </cell>
          <cell r="J6825">
            <v>0</v>
          </cell>
        </row>
        <row r="6826">
          <cell r="A6826" t="str">
            <v>CIVLA</v>
          </cell>
          <cell r="J6826">
            <v>0</v>
          </cell>
        </row>
        <row r="6827">
          <cell r="A6827" t="str">
            <v>CIVLA</v>
          </cell>
          <cell r="J6827">
            <v>0</v>
          </cell>
        </row>
        <row r="6828">
          <cell r="A6828" t="str">
            <v>CIVLA</v>
          </cell>
          <cell r="J6828">
            <v>0</v>
          </cell>
        </row>
        <row r="6829">
          <cell r="A6829" t="str">
            <v>CIVLA</v>
          </cell>
          <cell r="J6829">
            <v>0</v>
          </cell>
        </row>
        <row r="6830">
          <cell r="A6830" t="str">
            <v>CIVLA</v>
          </cell>
          <cell r="J6830">
            <v>0</v>
          </cell>
        </row>
        <row r="6831">
          <cell r="A6831" t="str">
            <v>CIVLA</v>
          </cell>
          <cell r="J6831">
            <v>0</v>
          </cell>
        </row>
        <row r="6832">
          <cell r="A6832" t="str">
            <v>CIVLA</v>
          </cell>
          <cell r="J6832">
            <v>0</v>
          </cell>
        </row>
        <row r="6833">
          <cell r="A6833" t="str">
            <v>CIVLA</v>
          </cell>
          <cell r="J6833">
            <v>0</v>
          </cell>
        </row>
        <row r="6834">
          <cell r="A6834" t="str">
            <v>CIVLA</v>
          </cell>
          <cell r="J6834">
            <v>0</v>
          </cell>
        </row>
        <row r="6835">
          <cell r="A6835" t="str">
            <v>CIVLA</v>
          </cell>
          <cell r="J6835">
            <v>0</v>
          </cell>
        </row>
        <row r="6836">
          <cell r="A6836" t="str">
            <v>CIVLA</v>
          </cell>
          <cell r="J6836">
            <v>0</v>
          </cell>
        </row>
        <row r="6837">
          <cell r="A6837" t="str">
            <v>CIVLA</v>
          </cell>
          <cell r="J6837">
            <v>0</v>
          </cell>
        </row>
        <row r="6838">
          <cell r="A6838" t="str">
            <v>CIVLA</v>
          </cell>
          <cell r="J6838">
            <v>0</v>
          </cell>
        </row>
        <row r="6839">
          <cell r="A6839" t="str">
            <v>CIVLA</v>
          </cell>
          <cell r="J6839">
            <v>0</v>
          </cell>
        </row>
        <row r="6840">
          <cell r="A6840" t="str">
            <v>CIVLA</v>
          </cell>
          <cell r="J6840">
            <v>0</v>
          </cell>
        </row>
        <row r="6841">
          <cell r="A6841" t="str">
            <v>CIVLA</v>
          </cell>
          <cell r="J6841">
            <v>0</v>
          </cell>
        </row>
        <row r="6842">
          <cell r="A6842" t="str">
            <v>CIVLA</v>
          </cell>
          <cell r="J6842">
            <v>0</v>
          </cell>
        </row>
        <row r="6843">
          <cell r="A6843" t="str">
            <v>CIVLA</v>
          </cell>
          <cell r="J6843">
            <v>0</v>
          </cell>
        </row>
        <row r="6844">
          <cell r="A6844" t="str">
            <v>CIVLA</v>
          </cell>
          <cell r="J6844">
            <v>0</v>
          </cell>
        </row>
        <row r="6845">
          <cell r="A6845" t="str">
            <v>CIVLA</v>
          </cell>
          <cell r="J6845">
            <v>0</v>
          </cell>
        </row>
        <row r="6846">
          <cell r="A6846" t="str">
            <v>CIVLA</v>
          </cell>
          <cell r="J6846">
            <v>0</v>
          </cell>
        </row>
        <row r="6847">
          <cell r="A6847" t="str">
            <v>CIVLA</v>
          </cell>
          <cell r="J6847">
            <v>0</v>
          </cell>
        </row>
        <row r="6848">
          <cell r="A6848" t="str">
            <v>CIVLA</v>
          </cell>
          <cell r="J6848">
            <v>0</v>
          </cell>
        </row>
        <row r="6849">
          <cell r="A6849" t="str">
            <v>CIVLA</v>
          </cell>
          <cell r="J6849">
            <v>0</v>
          </cell>
        </row>
        <row r="6850">
          <cell r="A6850" t="str">
            <v>CIVLA</v>
          </cell>
          <cell r="J6850">
            <v>0</v>
          </cell>
        </row>
        <row r="6851">
          <cell r="A6851" t="str">
            <v>CIVLA</v>
          </cell>
          <cell r="J6851">
            <v>0</v>
          </cell>
        </row>
        <row r="6852">
          <cell r="A6852" t="str">
            <v>CIVLA</v>
          </cell>
          <cell r="J6852">
            <v>0</v>
          </cell>
        </row>
        <row r="6853">
          <cell r="A6853" t="str">
            <v>CIVLA</v>
          </cell>
          <cell r="J6853">
            <v>0</v>
          </cell>
        </row>
        <row r="6854">
          <cell r="A6854" t="str">
            <v>CIVLA</v>
          </cell>
          <cell r="J6854">
            <v>0</v>
          </cell>
        </row>
        <row r="6855">
          <cell r="A6855" t="str">
            <v>CIVLA</v>
          </cell>
          <cell r="J6855">
            <v>0</v>
          </cell>
        </row>
        <row r="6856">
          <cell r="A6856" t="str">
            <v>CIVLA</v>
          </cell>
          <cell r="J6856">
            <v>0</v>
          </cell>
        </row>
        <row r="6857">
          <cell r="A6857" t="str">
            <v>CIVLA</v>
          </cell>
          <cell r="J6857">
            <v>0</v>
          </cell>
        </row>
        <row r="6858">
          <cell r="A6858" t="str">
            <v>CIVLA</v>
          </cell>
          <cell r="J6858">
            <v>0</v>
          </cell>
        </row>
        <row r="6859">
          <cell r="A6859" t="str">
            <v>CIVLA</v>
          </cell>
          <cell r="J6859">
            <v>0</v>
          </cell>
        </row>
        <row r="6860">
          <cell r="A6860" t="str">
            <v>CIVLA</v>
          </cell>
          <cell r="J6860">
            <v>0</v>
          </cell>
        </row>
        <row r="6861">
          <cell r="A6861" t="str">
            <v>CIVLA</v>
          </cell>
          <cell r="J6861">
            <v>0</v>
          </cell>
        </row>
        <row r="6862">
          <cell r="A6862" t="str">
            <v>CIVLA</v>
          </cell>
          <cell r="J6862">
            <v>0</v>
          </cell>
        </row>
        <row r="6863">
          <cell r="A6863" t="str">
            <v>CIVLA</v>
          </cell>
          <cell r="J6863">
            <v>0</v>
          </cell>
        </row>
        <row r="6864">
          <cell r="A6864" t="str">
            <v>CIVLA</v>
          </cell>
          <cell r="J6864">
            <v>0</v>
          </cell>
        </row>
        <row r="6865">
          <cell r="A6865" t="str">
            <v>CIVLA</v>
          </cell>
          <cell r="J6865">
            <v>0</v>
          </cell>
        </row>
        <row r="6866">
          <cell r="A6866" t="str">
            <v>CIVLA</v>
          </cell>
          <cell r="J6866">
            <v>0</v>
          </cell>
        </row>
        <row r="6867">
          <cell r="A6867" t="str">
            <v>CIVLA</v>
          </cell>
          <cell r="J6867">
            <v>0</v>
          </cell>
        </row>
        <row r="6868">
          <cell r="A6868" t="str">
            <v>CIVLA</v>
          </cell>
          <cell r="J6868">
            <v>0</v>
          </cell>
        </row>
        <row r="6869">
          <cell r="A6869" t="str">
            <v>CIVLA</v>
          </cell>
          <cell r="J6869">
            <v>0</v>
          </cell>
        </row>
        <row r="6870">
          <cell r="A6870" t="str">
            <v>CIVLA</v>
          </cell>
          <cell r="J6870">
            <v>0</v>
          </cell>
        </row>
        <row r="6871">
          <cell r="A6871" t="str">
            <v>CIVLA</v>
          </cell>
          <cell r="J6871">
            <v>0</v>
          </cell>
        </row>
        <row r="6872">
          <cell r="A6872" t="str">
            <v>CIVLA</v>
          </cell>
          <cell r="J6872">
            <v>0</v>
          </cell>
        </row>
        <row r="6873">
          <cell r="A6873" t="str">
            <v>CIVLA</v>
          </cell>
          <cell r="J6873">
            <v>0</v>
          </cell>
        </row>
        <row r="6874">
          <cell r="A6874" t="str">
            <v>CIVLA</v>
          </cell>
          <cell r="J6874">
            <v>0</v>
          </cell>
        </row>
        <row r="6875">
          <cell r="A6875" t="str">
            <v>CIVLA</v>
          </cell>
          <cell r="J6875">
            <v>0</v>
          </cell>
        </row>
        <row r="6876">
          <cell r="A6876" t="str">
            <v>CIVLA</v>
          </cell>
          <cell r="J6876">
            <v>0</v>
          </cell>
        </row>
        <row r="6877">
          <cell r="A6877" t="str">
            <v>CIVLA</v>
          </cell>
          <cell r="J6877">
            <v>0</v>
          </cell>
        </row>
        <row r="6878">
          <cell r="A6878" t="str">
            <v>CIVLA</v>
          </cell>
          <cell r="J6878">
            <v>0</v>
          </cell>
        </row>
        <row r="6879">
          <cell r="A6879" t="str">
            <v>CIVLA</v>
          </cell>
          <cell r="J6879">
            <v>0</v>
          </cell>
        </row>
        <row r="6880">
          <cell r="A6880" t="str">
            <v>CIVLA</v>
          </cell>
          <cell r="J6880">
            <v>0</v>
          </cell>
        </row>
        <row r="6881">
          <cell r="A6881" t="str">
            <v>CIVLA</v>
          </cell>
          <cell r="J6881">
            <v>0</v>
          </cell>
        </row>
        <row r="6882">
          <cell r="A6882" t="str">
            <v>CIVLA</v>
          </cell>
          <cell r="J6882">
            <v>0</v>
          </cell>
        </row>
        <row r="6883">
          <cell r="A6883" t="str">
            <v>CIVLA</v>
          </cell>
          <cell r="J6883">
            <v>0</v>
          </cell>
        </row>
        <row r="6884">
          <cell r="A6884" t="str">
            <v>CIVLA</v>
          </cell>
          <cell r="J6884">
            <v>0</v>
          </cell>
        </row>
        <row r="6885">
          <cell r="A6885" t="str">
            <v>CIVLA</v>
          </cell>
          <cell r="J6885">
            <v>0</v>
          </cell>
        </row>
        <row r="6886">
          <cell r="A6886" t="str">
            <v>CIVLA</v>
          </cell>
          <cell r="J6886">
            <v>0</v>
          </cell>
        </row>
        <row r="6887">
          <cell r="A6887" t="str">
            <v>CIVLA</v>
          </cell>
          <cell r="J6887">
            <v>0</v>
          </cell>
        </row>
        <row r="6888">
          <cell r="A6888" t="str">
            <v>CIVLA</v>
          </cell>
          <cell r="J6888">
            <v>0</v>
          </cell>
        </row>
        <row r="6889">
          <cell r="A6889" t="str">
            <v>CIVLA</v>
          </cell>
          <cell r="J6889">
            <v>0</v>
          </cell>
        </row>
        <row r="6890">
          <cell r="A6890" t="str">
            <v>CIVLA</v>
          </cell>
          <cell r="J6890">
            <v>0</v>
          </cell>
        </row>
        <row r="6891">
          <cell r="A6891" t="str">
            <v>CIVLA</v>
          </cell>
          <cell r="J6891">
            <v>0</v>
          </cell>
        </row>
        <row r="6892">
          <cell r="A6892" t="str">
            <v>CIVLA</v>
          </cell>
          <cell r="J6892">
            <v>0</v>
          </cell>
        </row>
        <row r="6893">
          <cell r="A6893" t="str">
            <v>CIVLA</v>
          </cell>
          <cell r="J6893">
            <v>0</v>
          </cell>
        </row>
        <row r="6894">
          <cell r="A6894" t="str">
            <v>CIVLA</v>
          </cell>
          <cell r="J6894">
            <v>0</v>
          </cell>
        </row>
        <row r="6895">
          <cell r="A6895" t="str">
            <v>CIVLA</v>
          </cell>
          <cell r="J6895">
            <v>0</v>
          </cell>
        </row>
        <row r="6896">
          <cell r="A6896" t="str">
            <v>CIVLA</v>
          </cell>
          <cell r="J6896">
            <v>0</v>
          </cell>
        </row>
        <row r="6897">
          <cell r="A6897" t="str">
            <v>CIVLA</v>
          </cell>
          <cell r="J6897">
            <v>0</v>
          </cell>
        </row>
        <row r="6898">
          <cell r="A6898" t="str">
            <v>CIVLA</v>
          </cell>
          <cell r="J6898">
            <v>0</v>
          </cell>
        </row>
        <row r="6899">
          <cell r="A6899" t="str">
            <v>CIVLA</v>
          </cell>
          <cell r="J6899">
            <v>0</v>
          </cell>
        </row>
        <row r="6900">
          <cell r="A6900" t="str">
            <v>CIVLA</v>
          </cell>
          <cell r="J6900">
            <v>0</v>
          </cell>
        </row>
        <row r="6901">
          <cell r="A6901" t="str">
            <v>CIVLA</v>
          </cell>
          <cell r="J6901">
            <v>0</v>
          </cell>
        </row>
        <row r="6902">
          <cell r="A6902" t="str">
            <v>CIVLA</v>
          </cell>
          <cell r="J6902">
            <v>0</v>
          </cell>
        </row>
        <row r="6903">
          <cell r="A6903" t="str">
            <v>CIVLA</v>
          </cell>
          <cell r="J6903">
            <v>0</v>
          </cell>
        </row>
        <row r="6904">
          <cell r="A6904" t="str">
            <v>CIVLA</v>
          </cell>
          <cell r="J6904">
            <v>0</v>
          </cell>
        </row>
        <row r="6905">
          <cell r="A6905" t="str">
            <v>CIVLA</v>
          </cell>
          <cell r="J6905">
            <v>0</v>
          </cell>
        </row>
        <row r="6906">
          <cell r="A6906" t="str">
            <v>CIVLA</v>
          </cell>
          <cell r="J6906">
            <v>0</v>
          </cell>
        </row>
        <row r="6907">
          <cell r="A6907" t="str">
            <v>CIVLA</v>
          </cell>
          <cell r="J6907">
            <v>0</v>
          </cell>
        </row>
        <row r="6908">
          <cell r="A6908" t="str">
            <v>CIVLA</v>
          </cell>
          <cell r="J6908">
            <v>0</v>
          </cell>
        </row>
        <row r="6909">
          <cell r="A6909" t="str">
            <v>CIVLA</v>
          </cell>
          <cell r="J6909">
            <v>0</v>
          </cell>
        </row>
        <row r="6910">
          <cell r="A6910" t="str">
            <v>CIVLA</v>
          </cell>
          <cell r="J6910">
            <v>0</v>
          </cell>
        </row>
        <row r="6911">
          <cell r="A6911" t="str">
            <v>CIVLA</v>
          </cell>
          <cell r="J6911">
            <v>0</v>
          </cell>
        </row>
        <row r="6912">
          <cell r="A6912" t="str">
            <v>CIVLA</v>
          </cell>
          <cell r="J6912">
            <v>0</v>
          </cell>
        </row>
        <row r="6913">
          <cell r="A6913" t="str">
            <v>CIVLA</v>
          </cell>
          <cell r="J6913">
            <v>0</v>
          </cell>
        </row>
        <row r="6914">
          <cell r="A6914" t="str">
            <v>CIVLA</v>
          </cell>
          <cell r="J6914">
            <v>0</v>
          </cell>
        </row>
        <row r="6915">
          <cell r="A6915" t="str">
            <v>CIVLA</v>
          </cell>
          <cell r="J6915">
            <v>0</v>
          </cell>
        </row>
        <row r="6916">
          <cell r="A6916" t="str">
            <v>CIVLA</v>
          </cell>
          <cell r="J6916">
            <v>0</v>
          </cell>
        </row>
        <row r="6917">
          <cell r="A6917" t="str">
            <v>CIVLA</v>
          </cell>
          <cell r="J6917">
            <v>0</v>
          </cell>
        </row>
        <row r="6918">
          <cell r="A6918" t="str">
            <v>CIVLA</v>
          </cell>
          <cell r="J6918">
            <v>0</v>
          </cell>
        </row>
        <row r="6919">
          <cell r="A6919" t="str">
            <v>CIVLA</v>
          </cell>
          <cell r="J6919">
            <v>0</v>
          </cell>
        </row>
        <row r="6920">
          <cell r="A6920" t="str">
            <v>CIVLA</v>
          </cell>
          <cell r="J6920">
            <v>0</v>
          </cell>
        </row>
        <row r="6921">
          <cell r="A6921" t="str">
            <v>CIVLA</v>
          </cell>
          <cell r="J6921">
            <v>0</v>
          </cell>
        </row>
        <row r="6922">
          <cell r="A6922" t="str">
            <v>CIVLA</v>
          </cell>
          <cell r="J6922">
            <v>0</v>
          </cell>
        </row>
        <row r="6923">
          <cell r="A6923" t="str">
            <v>CIVLA</v>
          </cell>
          <cell r="J6923">
            <v>0</v>
          </cell>
        </row>
        <row r="6924">
          <cell r="A6924" t="str">
            <v>CIVLA</v>
          </cell>
          <cell r="J6924">
            <v>0</v>
          </cell>
        </row>
        <row r="6925">
          <cell r="A6925" t="str">
            <v>CIVLA</v>
          </cell>
          <cell r="J6925">
            <v>0</v>
          </cell>
        </row>
        <row r="6926">
          <cell r="A6926" t="str">
            <v>CIVLA</v>
          </cell>
          <cell r="J6926">
            <v>0</v>
          </cell>
        </row>
        <row r="6927">
          <cell r="A6927" t="str">
            <v>CIVLA</v>
          </cell>
          <cell r="J6927">
            <v>0</v>
          </cell>
        </row>
        <row r="6928">
          <cell r="A6928" t="str">
            <v>CIVLA</v>
          </cell>
          <cell r="J6928">
            <v>0</v>
          </cell>
        </row>
        <row r="6929">
          <cell r="A6929" t="str">
            <v>CIVLA</v>
          </cell>
          <cell r="J6929">
            <v>0</v>
          </cell>
        </row>
        <row r="6930">
          <cell r="A6930" t="str">
            <v>CIVLA</v>
          </cell>
          <cell r="J6930">
            <v>0</v>
          </cell>
        </row>
        <row r="6931">
          <cell r="A6931" t="str">
            <v>CIVLA</v>
          </cell>
          <cell r="J6931">
            <v>0</v>
          </cell>
        </row>
        <row r="6932">
          <cell r="A6932" t="str">
            <v>CIVLA</v>
          </cell>
          <cell r="J6932">
            <v>0</v>
          </cell>
        </row>
        <row r="6933">
          <cell r="A6933" t="str">
            <v>CIVLA</v>
          </cell>
          <cell r="J6933">
            <v>0</v>
          </cell>
        </row>
        <row r="6934">
          <cell r="A6934" t="str">
            <v>CIVLA</v>
          </cell>
          <cell r="J6934">
            <v>0</v>
          </cell>
        </row>
        <row r="6935">
          <cell r="A6935" t="str">
            <v>CIVLA</v>
          </cell>
          <cell r="J6935">
            <v>0</v>
          </cell>
        </row>
        <row r="6936">
          <cell r="A6936" t="str">
            <v>CIVLA</v>
          </cell>
          <cell r="J6936">
            <v>0</v>
          </cell>
        </row>
        <row r="6937">
          <cell r="A6937" t="str">
            <v>CIVLA</v>
          </cell>
          <cell r="J6937">
            <v>0</v>
          </cell>
        </row>
        <row r="6938">
          <cell r="A6938" t="str">
            <v>CIVLA</v>
          </cell>
          <cell r="J6938">
            <v>0</v>
          </cell>
        </row>
        <row r="6939">
          <cell r="A6939" t="str">
            <v>CIVLA</v>
          </cell>
          <cell r="J6939">
            <v>0</v>
          </cell>
        </row>
        <row r="6940">
          <cell r="A6940" t="str">
            <v>CIVLA</v>
          </cell>
          <cell r="J6940">
            <v>0</v>
          </cell>
        </row>
        <row r="6941">
          <cell r="A6941" t="str">
            <v>CIVLA</v>
          </cell>
          <cell r="J6941">
            <v>0</v>
          </cell>
        </row>
        <row r="6942">
          <cell r="A6942" t="str">
            <v>CIVLA</v>
          </cell>
          <cell r="J6942">
            <v>0</v>
          </cell>
        </row>
        <row r="6943">
          <cell r="A6943" t="str">
            <v>CIVLA</v>
          </cell>
          <cell r="J6943">
            <v>0</v>
          </cell>
        </row>
        <row r="6944">
          <cell r="A6944" t="str">
            <v>CIVLA</v>
          </cell>
          <cell r="J6944">
            <v>0</v>
          </cell>
        </row>
        <row r="6945">
          <cell r="A6945" t="str">
            <v>CIVLA</v>
          </cell>
          <cell r="J6945">
            <v>0</v>
          </cell>
        </row>
        <row r="6946">
          <cell r="A6946" t="str">
            <v>CIVLA</v>
          </cell>
          <cell r="J6946">
            <v>0</v>
          </cell>
        </row>
        <row r="6947">
          <cell r="A6947" t="str">
            <v>CIVLA</v>
          </cell>
          <cell r="J6947">
            <v>0</v>
          </cell>
        </row>
        <row r="6948">
          <cell r="A6948" t="str">
            <v>CIVLA</v>
          </cell>
          <cell r="J6948">
            <v>0</v>
          </cell>
        </row>
        <row r="6949">
          <cell r="A6949" t="str">
            <v>CIVLA</v>
          </cell>
          <cell r="J6949">
            <v>0</v>
          </cell>
        </row>
        <row r="6950">
          <cell r="A6950" t="str">
            <v>CIVLA</v>
          </cell>
          <cell r="J6950">
            <v>0</v>
          </cell>
        </row>
        <row r="6951">
          <cell r="A6951" t="str">
            <v>CIVLA</v>
          </cell>
          <cell r="J6951">
            <v>0</v>
          </cell>
        </row>
        <row r="6952">
          <cell r="A6952" t="str">
            <v>CIVLA</v>
          </cell>
          <cell r="J6952">
            <v>0</v>
          </cell>
        </row>
        <row r="6953">
          <cell r="A6953" t="str">
            <v>CIVLA</v>
          </cell>
          <cell r="J6953">
            <v>0</v>
          </cell>
        </row>
        <row r="6954">
          <cell r="A6954" t="str">
            <v>CIVLA</v>
          </cell>
          <cell r="J6954">
            <v>0</v>
          </cell>
        </row>
        <row r="6955">
          <cell r="A6955" t="str">
            <v>CIVLA</v>
          </cell>
          <cell r="J6955">
            <v>0</v>
          </cell>
        </row>
        <row r="6956">
          <cell r="A6956" t="str">
            <v>CIVLA</v>
          </cell>
          <cell r="J6956">
            <v>0</v>
          </cell>
        </row>
        <row r="6957">
          <cell r="A6957" t="str">
            <v>CIVLA</v>
          </cell>
          <cell r="J6957">
            <v>0</v>
          </cell>
        </row>
        <row r="6958">
          <cell r="A6958" t="str">
            <v>CIVLA</v>
          </cell>
          <cell r="J6958">
            <v>0</v>
          </cell>
        </row>
        <row r="6959">
          <cell r="A6959" t="str">
            <v>CIVLA</v>
          </cell>
          <cell r="J6959">
            <v>0</v>
          </cell>
        </row>
        <row r="6960">
          <cell r="A6960" t="str">
            <v>CIVLA</v>
          </cell>
          <cell r="J6960">
            <v>0</v>
          </cell>
        </row>
        <row r="6961">
          <cell r="A6961" t="str">
            <v>CIVLA</v>
          </cell>
          <cell r="J6961">
            <v>0</v>
          </cell>
        </row>
        <row r="6962">
          <cell r="A6962" t="str">
            <v>CIVLA</v>
          </cell>
          <cell r="J6962">
            <v>0</v>
          </cell>
        </row>
        <row r="6963">
          <cell r="A6963" t="str">
            <v>CIVLA</v>
          </cell>
          <cell r="J6963">
            <v>0</v>
          </cell>
        </row>
        <row r="6964">
          <cell r="A6964" t="str">
            <v>CIVLA</v>
          </cell>
          <cell r="J6964">
            <v>0</v>
          </cell>
        </row>
        <row r="6965">
          <cell r="A6965" t="str">
            <v>CIVLA</v>
          </cell>
          <cell r="J6965">
            <v>0</v>
          </cell>
        </row>
        <row r="6966">
          <cell r="A6966" t="str">
            <v>CIVLA</v>
          </cell>
          <cell r="J6966">
            <v>0</v>
          </cell>
        </row>
        <row r="6967">
          <cell r="A6967" t="str">
            <v>CIVLA</v>
          </cell>
          <cell r="J6967">
            <v>0</v>
          </cell>
        </row>
        <row r="6968">
          <cell r="A6968" t="str">
            <v>CIVLA</v>
          </cell>
          <cell r="J6968">
            <v>0</v>
          </cell>
        </row>
        <row r="6969">
          <cell r="A6969" t="str">
            <v>CIVLA</v>
          </cell>
          <cell r="J6969">
            <v>0</v>
          </cell>
        </row>
        <row r="6970">
          <cell r="A6970" t="str">
            <v>CIVLA</v>
          </cell>
          <cell r="J6970">
            <v>0</v>
          </cell>
        </row>
        <row r="6971">
          <cell r="A6971" t="str">
            <v>CIVLA</v>
          </cell>
          <cell r="J6971">
            <v>0</v>
          </cell>
        </row>
        <row r="6972">
          <cell r="A6972" t="str">
            <v>CIVLA</v>
          </cell>
          <cell r="J6972">
            <v>0</v>
          </cell>
        </row>
        <row r="6973">
          <cell r="A6973" t="str">
            <v>CIVLA</v>
          </cell>
          <cell r="J6973">
            <v>0</v>
          </cell>
        </row>
        <row r="6974">
          <cell r="A6974" t="str">
            <v>CIVLA</v>
          </cell>
          <cell r="J6974">
            <v>0</v>
          </cell>
        </row>
        <row r="6975">
          <cell r="A6975" t="str">
            <v>CIVLA</v>
          </cell>
          <cell r="J6975">
            <v>0</v>
          </cell>
        </row>
        <row r="6976">
          <cell r="A6976" t="str">
            <v>CIVLA</v>
          </cell>
          <cell r="J6976">
            <v>0</v>
          </cell>
        </row>
        <row r="6977">
          <cell r="A6977" t="str">
            <v>CIVLA</v>
          </cell>
          <cell r="J6977">
            <v>0</v>
          </cell>
        </row>
        <row r="6978">
          <cell r="A6978" t="str">
            <v>CIVLA</v>
          </cell>
          <cell r="J6978">
            <v>0</v>
          </cell>
        </row>
        <row r="6979">
          <cell r="A6979" t="str">
            <v>CIVLA</v>
          </cell>
          <cell r="J6979">
            <v>0</v>
          </cell>
        </row>
        <row r="6980">
          <cell r="A6980" t="str">
            <v>CIVLA</v>
          </cell>
          <cell r="J6980">
            <v>0</v>
          </cell>
        </row>
        <row r="6981">
          <cell r="A6981" t="str">
            <v>CIVLA</v>
          </cell>
          <cell r="J6981">
            <v>0</v>
          </cell>
        </row>
        <row r="6982">
          <cell r="A6982" t="str">
            <v>CIVLA</v>
          </cell>
          <cell r="J6982">
            <v>0</v>
          </cell>
        </row>
        <row r="6983">
          <cell r="A6983" t="str">
            <v>CIVLA</v>
          </cell>
          <cell r="J6983">
            <v>0</v>
          </cell>
        </row>
        <row r="6984">
          <cell r="A6984" t="str">
            <v>CIVLA</v>
          </cell>
          <cell r="J6984">
            <v>0</v>
          </cell>
        </row>
        <row r="6985">
          <cell r="A6985" t="str">
            <v>CIVLA</v>
          </cell>
          <cell r="J6985">
            <v>0</v>
          </cell>
        </row>
        <row r="6986">
          <cell r="A6986" t="str">
            <v>CIVLA</v>
          </cell>
          <cell r="J6986">
            <v>0</v>
          </cell>
        </row>
        <row r="6987">
          <cell r="A6987" t="str">
            <v>CIVLA</v>
          </cell>
          <cell r="J6987">
            <v>0</v>
          </cell>
        </row>
        <row r="6988">
          <cell r="A6988" t="str">
            <v>CIVLA</v>
          </cell>
          <cell r="J6988">
            <v>0</v>
          </cell>
        </row>
        <row r="6989">
          <cell r="A6989" t="str">
            <v>CIVLA</v>
          </cell>
          <cell r="J6989">
            <v>0</v>
          </cell>
        </row>
        <row r="6990">
          <cell r="A6990" t="str">
            <v>CIVLA</v>
          </cell>
          <cell r="J6990">
            <v>0</v>
          </cell>
        </row>
        <row r="6991">
          <cell r="A6991" t="str">
            <v>CIVLA</v>
          </cell>
          <cell r="J6991">
            <v>0</v>
          </cell>
        </row>
        <row r="6992">
          <cell r="A6992" t="str">
            <v>CIVLA</v>
          </cell>
          <cell r="J6992">
            <v>0</v>
          </cell>
        </row>
        <row r="6993">
          <cell r="A6993" t="str">
            <v>CIVLA</v>
          </cell>
          <cell r="J6993">
            <v>0</v>
          </cell>
        </row>
        <row r="6994">
          <cell r="A6994" t="str">
            <v>CIVLA</v>
          </cell>
          <cell r="J6994">
            <v>0</v>
          </cell>
        </row>
        <row r="6995">
          <cell r="A6995" t="str">
            <v>CIVLA</v>
          </cell>
          <cell r="J6995">
            <v>0</v>
          </cell>
        </row>
        <row r="6996">
          <cell r="A6996" t="str">
            <v>CIVLA</v>
          </cell>
          <cell r="J6996">
            <v>0</v>
          </cell>
        </row>
        <row r="6997">
          <cell r="A6997" t="str">
            <v>CIVLA</v>
          </cell>
          <cell r="J6997">
            <v>0</v>
          </cell>
        </row>
        <row r="6998">
          <cell r="A6998" t="str">
            <v>CIVLA</v>
          </cell>
          <cell r="J6998">
            <v>0</v>
          </cell>
        </row>
        <row r="6999">
          <cell r="A6999" t="str">
            <v>CIVLA</v>
          </cell>
          <cell r="J6999">
            <v>0</v>
          </cell>
        </row>
        <row r="7000">
          <cell r="A7000" t="str">
            <v>CIVLA</v>
          </cell>
          <cell r="J7000">
            <v>0</v>
          </cell>
        </row>
        <row r="7001">
          <cell r="A7001" t="str">
            <v>CIVLA</v>
          </cell>
          <cell r="J7001">
            <v>0</v>
          </cell>
        </row>
        <row r="7002">
          <cell r="A7002" t="str">
            <v>CIVLA</v>
          </cell>
          <cell r="J7002">
            <v>0</v>
          </cell>
        </row>
        <row r="7003">
          <cell r="A7003" t="str">
            <v>CIVLA</v>
          </cell>
          <cell r="J7003">
            <v>0</v>
          </cell>
        </row>
        <row r="7004">
          <cell r="A7004" t="str">
            <v>CIVLA</v>
          </cell>
          <cell r="J7004">
            <v>0</v>
          </cell>
        </row>
        <row r="7005">
          <cell r="A7005" t="str">
            <v>CIVLA</v>
          </cell>
          <cell r="J7005">
            <v>0</v>
          </cell>
        </row>
        <row r="7006">
          <cell r="A7006" t="str">
            <v>CIVLA</v>
          </cell>
          <cell r="J7006">
            <v>0</v>
          </cell>
        </row>
        <row r="7007">
          <cell r="A7007" t="str">
            <v>CIVLA</v>
          </cell>
          <cell r="J7007">
            <v>0</v>
          </cell>
        </row>
        <row r="7008">
          <cell r="A7008" t="str">
            <v>CIVLA</v>
          </cell>
          <cell r="J7008">
            <v>0</v>
          </cell>
        </row>
        <row r="7009">
          <cell r="A7009" t="str">
            <v>CIVLA</v>
          </cell>
          <cell r="J7009">
            <v>0</v>
          </cell>
        </row>
        <row r="7010">
          <cell r="A7010" t="str">
            <v>CIVLA</v>
          </cell>
          <cell r="J7010">
            <v>0</v>
          </cell>
        </row>
        <row r="7011">
          <cell r="A7011" t="str">
            <v>CIVLA</v>
          </cell>
          <cell r="J7011">
            <v>0</v>
          </cell>
        </row>
        <row r="7012">
          <cell r="A7012" t="str">
            <v>CIVLA</v>
          </cell>
          <cell r="J7012">
            <v>0</v>
          </cell>
        </row>
        <row r="7013">
          <cell r="A7013" t="str">
            <v>CIVLA</v>
          </cell>
          <cell r="J7013">
            <v>0</v>
          </cell>
        </row>
        <row r="7014">
          <cell r="A7014" t="str">
            <v>CIVLA</v>
          </cell>
          <cell r="J7014">
            <v>0</v>
          </cell>
        </row>
        <row r="7015">
          <cell r="A7015" t="str">
            <v>CIVLA</v>
          </cell>
          <cell r="J7015">
            <v>0</v>
          </cell>
        </row>
        <row r="7016">
          <cell r="A7016" t="str">
            <v>CIVLA</v>
          </cell>
          <cell r="J7016">
            <v>0</v>
          </cell>
        </row>
        <row r="7017">
          <cell r="A7017" t="str">
            <v>CIVLA</v>
          </cell>
          <cell r="J7017">
            <v>0</v>
          </cell>
        </row>
        <row r="7018">
          <cell r="A7018" t="str">
            <v>CIVLA</v>
          </cell>
          <cell r="J7018">
            <v>0</v>
          </cell>
        </row>
        <row r="7019">
          <cell r="A7019" t="str">
            <v>CIVLA</v>
          </cell>
          <cell r="J7019">
            <v>0</v>
          </cell>
        </row>
        <row r="7020">
          <cell r="A7020" t="str">
            <v>CIVLA</v>
          </cell>
          <cell r="J7020">
            <v>0</v>
          </cell>
        </row>
        <row r="7021">
          <cell r="A7021" t="str">
            <v>CIVLA</v>
          </cell>
          <cell r="J7021">
            <v>0</v>
          </cell>
        </row>
        <row r="7022">
          <cell r="A7022" t="str">
            <v>CIVLA</v>
          </cell>
          <cell r="J7022">
            <v>0</v>
          </cell>
        </row>
        <row r="7023">
          <cell r="A7023" t="str">
            <v>CIVLA</v>
          </cell>
          <cell r="J7023">
            <v>0</v>
          </cell>
        </row>
        <row r="7024">
          <cell r="A7024" t="str">
            <v>CIVLA</v>
          </cell>
          <cell r="J7024">
            <v>0</v>
          </cell>
        </row>
        <row r="7025">
          <cell r="A7025" t="str">
            <v>CIVLA</v>
          </cell>
          <cell r="J7025">
            <v>0</v>
          </cell>
        </row>
        <row r="7026">
          <cell r="A7026" t="str">
            <v>CIVLA</v>
          </cell>
          <cell r="J7026">
            <v>0</v>
          </cell>
        </row>
        <row r="7027">
          <cell r="A7027" t="str">
            <v>CIVLA</v>
          </cell>
          <cell r="J7027">
            <v>0</v>
          </cell>
        </row>
        <row r="7028">
          <cell r="A7028" t="str">
            <v>CIVLA</v>
          </cell>
          <cell r="J7028">
            <v>0</v>
          </cell>
        </row>
        <row r="7029">
          <cell r="A7029" t="str">
            <v>CIVLA</v>
          </cell>
          <cell r="J7029">
            <v>0</v>
          </cell>
        </row>
        <row r="7030">
          <cell r="A7030" t="str">
            <v>CIVLA</v>
          </cell>
          <cell r="J7030">
            <v>0</v>
          </cell>
        </row>
        <row r="7031">
          <cell r="A7031" t="str">
            <v>CIVLA</v>
          </cell>
          <cell r="J7031">
            <v>0</v>
          </cell>
        </row>
        <row r="7032">
          <cell r="A7032" t="str">
            <v>CIVLA</v>
          </cell>
          <cell r="J7032">
            <v>0</v>
          </cell>
        </row>
        <row r="7033">
          <cell r="A7033" t="str">
            <v>CIVLA</v>
          </cell>
          <cell r="J7033">
            <v>0</v>
          </cell>
        </row>
        <row r="7034">
          <cell r="A7034" t="str">
            <v>CIVLA</v>
          </cell>
          <cell r="J7034">
            <v>0</v>
          </cell>
        </row>
        <row r="7035">
          <cell r="A7035" t="str">
            <v>CIVLA</v>
          </cell>
          <cell r="J7035">
            <v>0</v>
          </cell>
        </row>
        <row r="7036">
          <cell r="A7036" t="str">
            <v>CIVLA</v>
          </cell>
          <cell r="J7036">
            <v>0</v>
          </cell>
        </row>
        <row r="7037">
          <cell r="A7037" t="str">
            <v>CIVLA</v>
          </cell>
          <cell r="J7037">
            <v>0</v>
          </cell>
        </row>
        <row r="7038">
          <cell r="A7038" t="str">
            <v>CIVLA</v>
          </cell>
          <cell r="J7038">
            <v>0</v>
          </cell>
        </row>
        <row r="7039">
          <cell r="A7039" t="str">
            <v>CIVLA</v>
          </cell>
          <cell r="J7039">
            <v>0</v>
          </cell>
        </row>
        <row r="7040">
          <cell r="A7040" t="str">
            <v>CIVLA</v>
          </cell>
          <cell r="J7040">
            <v>0</v>
          </cell>
        </row>
        <row r="7041">
          <cell r="A7041" t="str">
            <v>CIVLA</v>
          </cell>
          <cell r="J7041">
            <v>0</v>
          </cell>
        </row>
        <row r="7042">
          <cell r="A7042" t="str">
            <v>CIVLA</v>
          </cell>
          <cell r="J7042">
            <v>0</v>
          </cell>
        </row>
        <row r="7043">
          <cell r="A7043" t="str">
            <v>CIVLA</v>
          </cell>
          <cell r="J7043">
            <v>0</v>
          </cell>
        </row>
        <row r="7044">
          <cell r="A7044" t="str">
            <v>CIVLA</v>
          </cell>
          <cell r="J7044">
            <v>0</v>
          </cell>
        </row>
        <row r="7045">
          <cell r="A7045" t="str">
            <v>CIVLA</v>
          </cell>
          <cell r="J7045">
            <v>0</v>
          </cell>
        </row>
        <row r="7046">
          <cell r="A7046" t="str">
            <v>CIVLA</v>
          </cell>
          <cell r="J7046">
            <v>0</v>
          </cell>
        </row>
        <row r="7047">
          <cell r="A7047" t="str">
            <v>CIVLA</v>
          </cell>
          <cell r="J7047">
            <v>0</v>
          </cell>
        </row>
        <row r="7048">
          <cell r="A7048" t="str">
            <v>CIVLA</v>
          </cell>
          <cell r="J7048">
            <v>0</v>
          </cell>
        </row>
        <row r="7049">
          <cell r="A7049" t="str">
            <v>CIVLA</v>
          </cell>
          <cell r="J7049">
            <v>0</v>
          </cell>
        </row>
        <row r="7050">
          <cell r="A7050" t="str">
            <v>CIVLA</v>
          </cell>
          <cell r="J7050">
            <v>0</v>
          </cell>
        </row>
        <row r="7051">
          <cell r="A7051" t="str">
            <v>CIVLA</v>
          </cell>
          <cell r="J7051">
            <v>0</v>
          </cell>
        </row>
        <row r="7052">
          <cell r="A7052" t="str">
            <v>CIVLA</v>
          </cell>
          <cell r="J7052">
            <v>0</v>
          </cell>
        </row>
        <row r="7053">
          <cell r="A7053" t="str">
            <v>CIVLA</v>
          </cell>
          <cell r="J7053">
            <v>0</v>
          </cell>
        </row>
        <row r="7054">
          <cell r="A7054" t="str">
            <v>CIVLA</v>
          </cell>
          <cell r="J7054">
            <v>0</v>
          </cell>
        </row>
        <row r="7055">
          <cell r="A7055" t="str">
            <v>CIVLA</v>
          </cell>
          <cell r="J7055">
            <v>0</v>
          </cell>
        </row>
        <row r="7056">
          <cell r="A7056" t="str">
            <v>CIVLA</v>
          </cell>
          <cell r="J7056">
            <v>0</v>
          </cell>
        </row>
        <row r="7057">
          <cell r="A7057" t="str">
            <v>CIVLA</v>
          </cell>
          <cell r="J7057">
            <v>0</v>
          </cell>
        </row>
        <row r="7058">
          <cell r="A7058" t="str">
            <v>CIVLA</v>
          </cell>
          <cell r="J7058">
            <v>0</v>
          </cell>
        </row>
        <row r="7059">
          <cell r="A7059" t="str">
            <v>CIVLA</v>
          </cell>
          <cell r="J7059">
            <v>0</v>
          </cell>
        </row>
        <row r="7060">
          <cell r="A7060" t="str">
            <v>CIVLA</v>
          </cell>
          <cell r="J7060">
            <v>0</v>
          </cell>
        </row>
        <row r="7061">
          <cell r="A7061" t="str">
            <v>CIVLA</v>
          </cell>
          <cell r="J7061">
            <v>0</v>
          </cell>
        </row>
        <row r="7062">
          <cell r="A7062" t="str">
            <v>CIVLA</v>
          </cell>
          <cell r="J7062">
            <v>0</v>
          </cell>
        </row>
        <row r="7063">
          <cell r="A7063" t="str">
            <v>CIVLA</v>
          </cell>
          <cell r="J7063">
            <v>0</v>
          </cell>
        </row>
        <row r="7064">
          <cell r="A7064" t="str">
            <v>CIVLA</v>
          </cell>
          <cell r="J7064">
            <v>0</v>
          </cell>
        </row>
        <row r="7065">
          <cell r="A7065" t="str">
            <v>CIVLA</v>
          </cell>
          <cell r="J7065">
            <v>0</v>
          </cell>
        </row>
        <row r="7066">
          <cell r="A7066" t="str">
            <v>CIVLA</v>
          </cell>
          <cell r="J7066">
            <v>0</v>
          </cell>
        </row>
        <row r="7067">
          <cell r="A7067" t="str">
            <v>CIVLA</v>
          </cell>
          <cell r="J7067">
            <v>0</v>
          </cell>
        </row>
        <row r="7068">
          <cell r="A7068" t="str">
            <v>CIVLA</v>
          </cell>
          <cell r="J7068">
            <v>0</v>
          </cell>
        </row>
        <row r="7069">
          <cell r="A7069" t="str">
            <v>CIVLA</v>
          </cell>
          <cell r="J7069">
            <v>0</v>
          </cell>
        </row>
        <row r="7070">
          <cell r="A7070" t="str">
            <v>CIVLA</v>
          </cell>
          <cell r="J7070">
            <v>0</v>
          </cell>
        </row>
        <row r="7071">
          <cell r="A7071" t="str">
            <v>CIVLA</v>
          </cell>
          <cell r="J7071">
            <v>0</v>
          </cell>
        </row>
        <row r="7072">
          <cell r="A7072" t="str">
            <v>CIVLA</v>
          </cell>
          <cell r="J7072">
            <v>0</v>
          </cell>
        </row>
        <row r="7073">
          <cell r="A7073" t="str">
            <v>CIVLA</v>
          </cell>
          <cell r="J7073">
            <v>0</v>
          </cell>
        </row>
        <row r="7074">
          <cell r="A7074" t="str">
            <v>CIVLA</v>
          </cell>
          <cell r="J7074">
            <v>0</v>
          </cell>
        </row>
        <row r="7075">
          <cell r="A7075" t="str">
            <v>CIVLA</v>
          </cell>
          <cell r="J7075">
            <v>0</v>
          </cell>
        </row>
        <row r="7076">
          <cell r="A7076" t="str">
            <v>CIVLA</v>
          </cell>
          <cell r="J7076">
            <v>0</v>
          </cell>
        </row>
        <row r="7077">
          <cell r="A7077" t="str">
            <v>CIVLA</v>
          </cell>
          <cell r="J7077">
            <v>0</v>
          </cell>
        </row>
        <row r="7078">
          <cell r="A7078" t="str">
            <v>CIVLA</v>
          </cell>
          <cell r="J7078">
            <v>0</v>
          </cell>
        </row>
        <row r="7079">
          <cell r="A7079" t="str">
            <v>CIVLA</v>
          </cell>
          <cell r="J7079">
            <v>0</v>
          </cell>
        </row>
        <row r="7080">
          <cell r="A7080" t="str">
            <v>CIVLA</v>
          </cell>
          <cell r="J7080">
            <v>0</v>
          </cell>
        </row>
        <row r="7081">
          <cell r="A7081" t="str">
            <v>CIVLA</v>
          </cell>
          <cell r="J7081">
            <v>0</v>
          </cell>
        </row>
        <row r="7082">
          <cell r="A7082" t="str">
            <v>CIVLA</v>
          </cell>
          <cell r="J7082">
            <v>0</v>
          </cell>
        </row>
        <row r="7083">
          <cell r="A7083" t="str">
            <v>CIVLA</v>
          </cell>
          <cell r="J7083">
            <v>0</v>
          </cell>
        </row>
        <row r="7084">
          <cell r="A7084" t="str">
            <v>CIVLA</v>
          </cell>
          <cell r="J7084">
            <v>0</v>
          </cell>
        </row>
        <row r="7085">
          <cell r="A7085" t="str">
            <v>CIVLA</v>
          </cell>
          <cell r="J7085">
            <v>0</v>
          </cell>
        </row>
        <row r="7086">
          <cell r="A7086" t="str">
            <v>CIVLA</v>
          </cell>
          <cell r="J7086">
            <v>0</v>
          </cell>
        </row>
        <row r="7087">
          <cell r="A7087" t="str">
            <v>CIVLA</v>
          </cell>
          <cell r="J7087">
            <v>0</v>
          </cell>
        </row>
        <row r="7088">
          <cell r="A7088" t="str">
            <v>CIVLA</v>
          </cell>
          <cell r="J7088">
            <v>0</v>
          </cell>
        </row>
        <row r="7089">
          <cell r="A7089" t="str">
            <v>CIVLA</v>
          </cell>
          <cell r="J7089">
            <v>0</v>
          </cell>
        </row>
        <row r="7090">
          <cell r="A7090" t="str">
            <v>CIVLA</v>
          </cell>
          <cell r="J7090">
            <v>0</v>
          </cell>
        </row>
        <row r="7091">
          <cell r="A7091" t="str">
            <v>CIVLA</v>
          </cell>
          <cell r="J7091">
            <v>0</v>
          </cell>
        </row>
        <row r="7092">
          <cell r="A7092" t="str">
            <v>CIVLA</v>
          </cell>
          <cell r="J7092">
            <v>0</v>
          </cell>
        </row>
        <row r="7093">
          <cell r="A7093" t="str">
            <v>CIVLA</v>
          </cell>
          <cell r="J7093">
            <v>0</v>
          </cell>
        </row>
        <row r="7094">
          <cell r="A7094" t="str">
            <v>CIVLA</v>
          </cell>
          <cell r="J7094">
            <v>0</v>
          </cell>
        </row>
        <row r="7095">
          <cell r="A7095" t="str">
            <v>CIVLA</v>
          </cell>
          <cell r="J7095">
            <v>0</v>
          </cell>
        </row>
        <row r="7096">
          <cell r="A7096" t="str">
            <v>CIVLA</v>
          </cell>
          <cell r="J7096">
            <v>0</v>
          </cell>
        </row>
        <row r="7097">
          <cell r="A7097" t="str">
            <v>CIVLA</v>
          </cell>
          <cell r="J7097">
            <v>0</v>
          </cell>
        </row>
        <row r="7098">
          <cell r="A7098" t="str">
            <v>CIVLA</v>
          </cell>
          <cell r="J7098">
            <v>0</v>
          </cell>
        </row>
        <row r="7099">
          <cell r="A7099" t="str">
            <v>CIVLA</v>
          </cell>
          <cell r="J7099">
            <v>0</v>
          </cell>
        </row>
        <row r="7100">
          <cell r="A7100" t="str">
            <v>CIVLA</v>
          </cell>
          <cell r="J7100">
            <v>0</v>
          </cell>
        </row>
        <row r="7101">
          <cell r="A7101" t="str">
            <v>CIVLA</v>
          </cell>
          <cell r="J7101">
            <v>0</v>
          </cell>
        </row>
        <row r="7102">
          <cell r="A7102" t="str">
            <v>CIVLA</v>
          </cell>
          <cell r="J7102">
            <v>0</v>
          </cell>
        </row>
        <row r="7103">
          <cell r="A7103" t="str">
            <v>CIVLA</v>
          </cell>
          <cell r="J7103">
            <v>0</v>
          </cell>
        </row>
        <row r="7104">
          <cell r="A7104" t="str">
            <v>CIVLA</v>
          </cell>
          <cell r="J7104">
            <v>0</v>
          </cell>
        </row>
        <row r="7105">
          <cell r="A7105" t="str">
            <v>CIVLA</v>
          </cell>
          <cell r="J7105">
            <v>0</v>
          </cell>
        </row>
        <row r="7106">
          <cell r="A7106" t="str">
            <v>CIVLA</v>
          </cell>
          <cell r="J7106">
            <v>0</v>
          </cell>
        </row>
        <row r="7107">
          <cell r="A7107" t="str">
            <v>CIVLA</v>
          </cell>
          <cell r="J7107">
            <v>0</v>
          </cell>
        </row>
        <row r="7108">
          <cell r="A7108" t="str">
            <v>CIVLA</v>
          </cell>
          <cell r="J7108">
            <v>0</v>
          </cell>
        </row>
        <row r="7109">
          <cell r="A7109" t="str">
            <v>CIVLA</v>
          </cell>
          <cell r="J7109">
            <v>0</v>
          </cell>
        </row>
        <row r="7110">
          <cell r="A7110" t="str">
            <v>CIVLA</v>
          </cell>
          <cell r="J7110">
            <v>0</v>
          </cell>
        </row>
        <row r="7111">
          <cell r="A7111" t="str">
            <v>CIVLA</v>
          </cell>
          <cell r="J7111">
            <v>0</v>
          </cell>
        </row>
        <row r="7112">
          <cell r="A7112" t="str">
            <v>CIVLA</v>
          </cell>
          <cell r="J7112">
            <v>0</v>
          </cell>
        </row>
        <row r="7113">
          <cell r="A7113" t="str">
            <v>CIVLA</v>
          </cell>
          <cell r="J7113">
            <v>0</v>
          </cell>
        </row>
        <row r="7114">
          <cell r="A7114" t="str">
            <v>CIVLA</v>
          </cell>
          <cell r="J7114">
            <v>0</v>
          </cell>
        </row>
        <row r="7115">
          <cell r="A7115" t="str">
            <v>CIVLA</v>
          </cell>
          <cell r="J7115">
            <v>0</v>
          </cell>
        </row>
        <row r="7116">
          <cell r="A7116" t="str">
            <v>CIVLA</v>
          </cell>
          <cell r="J7116">
            <v>0</v>
          </cell>
        </row>
        <row r="7117">
          <cell r="A7117" t="str">
            <v>CIVLA</v>
          </cell>
          <cell r="J7117">
            <v>0</v>
          </cell>
        </row>
        <row r="7118">
          <cell r="A7118" t="str">
            <v>CIVLA</v>
          </cell>
          <cell r="J7118">
            <v>0</v>
          </cell>
        </row>
        <row r="7119">
          <cell r="A7119" t="str">
            <v>CIVLA</v>
          </cell>
          <cell r="J7119">
            <v>0</v>
          </cell>
        </row>
        <row r="7120">
          <cell r="A7120" t="str">
            <v>CIVLA</v>
          </cell>
          <cell r="J7120">
            <v>0</v>
          </cell>
        </row>
        <row r="7121">
          <cell r="A7121" t="str">
            <v>CIVLA</v>
          </cell>
          <cell r="J7121">
            <v>0</v>
          </cell>
        </row>
        <row r="7122">
          <cell r="A7122" t="str">
            <v>CIVLA</v>
          </cell>
          <cell r="J7122">
            <v>0</v>
          </cell>
        </row>
        <row r="7123">
          <cell r="A7123" t="str">
            <v>CIVLA</v>
          </cell>
          <cell r="J7123">
            <v>0</v>
          </cell>
        </row>
        <row r="7124">
          <cell r="A7124" t="str">
            <v>CIVLA</v>
          </cell>
          <cell r="J7124">
            <v>0</v>
          </cell>
        </row>
        <row r="7125">
          <cell r="A7125" t="str">
            <v>CIVLA</v>
          </cell>
          <cell r="J7125">
            <v>0</v>
          </cell>
        </row>
        <row r="7126">
          <cell r="A7126" t="str">
            <v>CIVLA</v>
          </cell>
          <cell r="J7126">
            <v>0</v>
          </cell>
        </row>
        <row r="7127">
          <cell r="A7127" t="str">
            <v>CIVLA</v>
          </cell>
          <cell r="J7127">
            <v>0</v>
          </cell>
        </row>
        <row r="7128">
          <cell r="A7128" t="str">
            <v>CIVLA</v>
          </cell>
          <cell r="J7128">
            <v>0</v>
          </cell>
        </row>
        <row r="7129">
          <cell r="A7129" t="str">
            <v>CIVLA</v>
          </cell>
          <cell r="J7129">
            <v>0</v>
          </cell>
        </row>
        <row r="7130">
          <cell r="A7130" t="str">
            <v>CIVLA</v>
          </cell>
          <cell r="J7130">
            <v>0</v>
          </cell>
        </row>
        <row r="7131">
          <cell r="A7131" t="str">
            <v>CIVLA</v>
          </cell>
          <cell r="J7131">
            <v>0</v>
          </cell>
        </row>
        <row r="7132">
          <cell r="A7132" t="str">
            <v>CIVLA</v>
          </cell>
          <cell r="J7132">
            <v>0</v>
          </cell>
        </row>
        <row r="7133">
          <cell r="A7133" t="str">
            <v>CIVLA</v>
          </cell>
          <cell r="J7133">
            <v>0</v>
          </cell>
        </row>
        <row r="7134">
          <cell r="A7134" t="str">
            <v>CIVLA</v>
          </cell>
          <cell r="J7134">
            <v>0</v>
          </cell>
        </row>
        <row r="7135">
          <cell r="A7135" t="str">
            <v>CIVLA</v>
          </cell>
          <cell r="J7135">
            <v>0</v>
          </cell>
        </row>
        <row r="7136">
          <cell r="A7136" t="str">
            <v>CIVLA</v>
          </cell>
          <cell r="J7136">
            <v>0</v>
          </cell>
        </row>
        <row r="7137">
          <cell r="A7137" t="str">
            <v>CIVLA</v>
          </cell>
          <cell r="J7137">
            <v>0</v>
          </cell>
        </row>
        <row r="7138">
          <cell r="A7138" t="str">
            <v>CIVLA</v>
          </cell>
          <cell r="J7138">
            <v>0</v>
          </cell>
        </row>
        <row r="7139">
          <cell r="A7139" t="str">
            <v>CIVLA</v>
          </cell>
          <cell r="J7139">
            <v>0</v>
          </cell>
        </row>
        <row r="7140">
          <cell r="A7140" t="str">
            <v>CIVLA</v>
          </cell>
          <cell r="J7140">
            <v>0</v>
          </cell>
        </row>
        <row r="7141">
          <cell r="A7141" t="str">
            <v>CIVLA</v>
          </cell>
          <cell r="J7141">
            <v>0</v>
          </cell>
        </row>
        <row r="7142">
          <cell r="A7142" t="str">
            <v>CIVLA</v>
          </cell>
          <cell r="J7142">
            <v>0</v>
          </cell>
        </row>
        <row r="7143">
          <cell r="A7143" t="str">
            <v>CIVLA</v>
          </cell>
          <cell r="J7143">
            <v>0</v>
          </cell>
        </row>
        <row r="7144">
          <cell r="A7144" t="str">
            <v>CIVLA</v>
          </cell>
          <cell r="J7144">
            <v>0</v>
          </cell>
        </row>
        <row r="7145">
          <cell r="A7145" t="str">
            <v>CIVLA</v>
          </cell>
          <cell r="J7145">
            <v>0</v>
          </cell>
        </row>
        <row r="7146">
          <cell r="A7146" t="str">
            <v>CIVLA</v>
          </cell>
          <cell r="J7146">
            <v>0</v>
          </cell>
        </row>
        <row r="7147">
          <cell r="A7147" t="str">
            <v>CIVLA</v>
          </cell>
          <cell r="J7147">
            <v>0</v>
          </cell>
        </row>
        <row r="7148">
          <cell r="A7148" t="str">
            <v>CIVLA</v>
          </cell>
          <cell r="J7148">
            <v>0</v>
          </cell>
        </row>
        <row r="7149">
          <cell r="A7149" t="str">
            <v>CIVLA</v>
          </cell>
          <cell r="J7149">
            <v>0</v>
          </cell>
        </row>
        <row r="7150">
          <cell r="A7150" t="str">
            <v>CIVLA</v>
          </cell>
          <cell r="J7150">
            <v>0</v>
          </cell>
        </row>
        <row r="7151">
          <cell r="A7151" t="str">
            <v>CIVLA</v>
          </cell>
          <cell r="J7151">
            <v>0</v>
          </cell>
        </row>
        <row r="7152">
          <cell r="A7152" t="str">
            <v>CIVLA</v>
          </cell>
          <cell r="J7152">
            <v>0</v>
          </cell>
        </row>
        <row r="7153">
          <cell r="A7153" t="str">
            <v>CIVLA</v>
          </cell>
          <cell r="J7153">
            <v>0</v>
          </cell>
        </row>
        <row r="7154">
          <cell r="A7154" t="str">
            <v>CIVLA</v>
          </cell>
          <cell r="J7154">
            <v>0</v>
          </cell>
        </row>
        <row r="7155">
          <cell r="A7155" t="str">
            <v>CIVLA</v>
          </cell>
          <cell r="J7155">
            <v>0</v>
          </cell>
        </row>
        <row r="7156">
          <cell r="A7156" t="str">
            <v>CIVLA</v>
          </cell>
          <cell r="J7156">
            <v>0</v>
          </cell>
        </row>
        <row r="7157">
          <cell r="A7157" t="str">
            <v>CIVLA</v>
          </cell>
          <cell r="J7157">
            <v>0</v>
          </cell>
        </row>
        <row r="7158">
          <cell r="A7158" t="str">
            <v>CIVLA</v>
          </cell>
          <cell r="J7158">
            <v>0</v>
          </cell>
        </row>
        <row r="7159">
          <cell r="A7159" t="str">
            <v>CIVLA</v>
          </cell>
          <cell r="J7159">
            <v>0</v>
          </cell>
        </row>
        <row r="7160">
          <cell r="A7160" t="str">
            <v>CIVLA</v>
          </cell>
          <cell r="J7160">
            <v>0</v>
          </cell>
        </row>
        <row r="7161">
          <cell r="A7161" t="str">
            <v>CIVLA</v>
          </cell>
          <cell r="J7161">
            <v>0</v>
          </cell>
        </row>
        <row r="7162">
          <cell r="A7162" t="str">
            <v>CIVLA</v>
          </cell>
          <cell r="J7162">
            <v>0</v>
          </cell>
        </row>
        <row r="7163">
          <cell r="A7163" t="str">
            <v>CIVLA</v>
          </cell>
          <cell r="J7163">
            <v>0</v>
          </cell>
        </row>
        <row r="7164">
          <cell r="A7164" t="str">
            <v>CIVLA</v>
          </cell>
          <cell r="J7164">
            <v>0</v>
          </cell>
        </row>
        <row r="7165">
          <cell r="A7165" t="str">
            <v>CIVLA</v>
          </cell>
          <cell r="J7165">
            <v>0</v>
          </cell>
        </row>
        <row r="7166">
          <cell r="A7166" t="str">
            <v>CIVLA</v>
          </cell>
          <cell r="J7166">
            <v>0</v>
          </cell>
        </row>
        <row r="7167">
          <cell r="A7167" t="str">
            <v>CIVLA</v>
          </cell>
          <cell r="J7167">
            <v>0</v>
          </cell>
        </row>
        <row r="7168">
          <cell r="A7168" t="str">
            <v>CIVLA</v>
          </cell>
          <cell r="J7168">
            <v>0</v>
          </cell>
        </row>
        <row r="7169">
          <cell r="A7169" t="str">
            <v>CIVLA</v>
          </cell>
          <cell r="J7169">
            <v>0</v>
          </cell>
        </row>
        <row r="7170">
          <cell r="A7170" t="str">
            <v>CIVLA</v>
          </cell>
          <cell r="J7170">
            <v>0</v>
          </cell>
        </row>
        <row r="7171">
          <cell r="A7171" t="str">
            <v>CIVLA</v>
          </cell>
          <cell r="J7171">
            <v>0</v>
          </cell>
        </row>
        <row r="7172">
          <cell r="A7172" t="str">
            <v>CIVLA</v>
          </cell>
          <cell r="J7172">
            <v>0</v>
          </cell>
        </row>
        <row r="7173">
          <cell r="A7173" t="str">
            <v>CIVLA</v>
          </cell>
          <cell r="J7173">
            <v>0</v>
          </cell>
        </row>
        <row r="7174">
          <cell r="A7174" t="str">
            <v>CIVLA</v>
          </cell>
          <cell r="J7174">
            <v>0</v>
          </cell>
        </row>
        <row r="7175">
          <cell r="A7175" t="str">
            <v>CIVLA</v>
          </cell>
          <cell r="J7175">
            <v>0</v>
          </cell>
        </row>
        <row r="7176">
          <cell r="A7176" t="str">
            <v>CIVLA</v>
          </cell>
          <cell r="J7176">
            <v>0</v>
          </cell>
        </row>
        <row r="7177">
          <cell r="A7177" t="str">
            <v>CIVLA</v>
          </cell>
          <cell r="J7177">
            <v>0</v>
          </cell>
        </row>
        <row r="7178">
          <cell r="A7178" t="str">
            <v>CIVLA</v>
          </cell>
          <cell r="J7178">
            <v>0</v>
          </cell>
        </row>
        <row r="7179">
          <cell r="A7179" t="str">
            <v>CIVLA</v>
          </cell>
          <cell r="J7179">
            <v>0</v>
          </cell>
        </row>
        <row r="7180">
          <cell r="A7180" t="str">
            <v>CIVLA</v>
          </cell>
          <cell r="J7180">
            <v>0</v>
          </cell>
        </row>
        <row r="7181">
          <cell r="A7181" t="str">
            <v>CIVLA</v>
          </cell>
          <cell r="J7181">
            <v>0</v>
          </cell>
        </row>
        <row r="7182">
          <cell r="A7182" t="str">
            <v>CIVLA</v>
          </cell>
          <cell r="J7182">
            <v>0</v>
          </cell>
        </row>
        <row r="7183">
          <cell r="A7183" t="str">
            <v>CIVLA</v>
          </cell>
          <cell r="J7183">
            <v>0</v>
          </cell>
        </row>
        <row r="7184">
          <cell r="A7184" t="str">
            <v>CIVLA</v>
          </cell>
          <cell r="J7184">
            <v>0</v>
          </cell>
        </row>
        <row r="7185">
          <cell r="A7185" t="str">
            <v>CIVLA</v>
          </cell>
          <cell r="J7185">
            <v>0</v>
          </cell>
        </row>
        <row r="7186">
          <cell r="A7186" t="str">
            <v>CIVLA</v>
          </cell>
          <cell r="J7186">
            <v>0</v>
          </cell>
        </row>
        <row r="7187">
          <cell r="A7187" t="str">
            <v>CIVLA</v>
          </cell>
          <cell r="J7187">
            <v>0</v>
          </cell>
        </row>
        <row r="7188">
          <cell r="A7188" t="str">
            <v>CIVLA</v>
          </cell>
          <cell r="J7188">
            <v>0</v>
          </cell>
        </row>
        <row r="7189">
          <cell r="A7189" t="str">
            <v>CIVLA</v>
          </cell>
          <cell r="J7189">
            <v>0</v>
          </cell>
        </row>
        <row r="7190">
          <cell r="A7190" t="str">
            <v>CIVLA</v>
          </cell>
          <cell r="J7190">
            <v>0</v>
          </cell>
        </row>
        <row r="7191">
          <cell r="A7191" t="str">
            <v>CIVLA</v>
          </cell>
          <cell r="J7191">
            <v>0</v>
          </cell>
        </row>
        <row r="7192">
          <cell r="A7192" t="str">
            <v>CIVLA</v>
          </cell>
          <cell r="J7192">
            <v>0</v>
          </cell>
        </row>
        <row r="7193">
          <cell r="A7193" t="str">
            <v>CIVLA</v>
          </cell>
          <cell r="J7193">
            <v>0</v>
          </cell>
        </row>
        <row r="7194">
          <cell r="A7194" t="str">
            <v>CIVLA</v>
          </cell>
          <cell r="J7194">
            <v>0</v>
          </cell>
        </row>
        <row r="7195">
          <cell r="A7195" t="str">
            <v>CIVLA</v>
          </cell>
          <cell r="J7195">
            <v>0</v>
          </cell>
        </row>
        <row r="7196">
          <cell r="A7196" t="str">
            <v>CIVLA</v>
          </cell>
          <cell r="J7196">
            <v>0</v>
          </cell>
        </row>
        <row r="7197">
          <cell r="A7197" t="str">
            <v>CIVLA</v>
          </cell>
          <cell r="J7197">
            <v>0</v>
          </cell>
        </row>
        <row r="7198">
          <cell r="A7198" t="str">
            <v>CIVLA</v>
          </cell>
          <cell r="J7198">
            <v>0</v>
          </cell>
        </row>
        <row r="7199">
          <cell r="A7199" t="str">
            <v>CIVLA</v>
          </cell>
          <cell r="J7199">
            <v>0</v>
          </cell>
        </row>
        <row r="7200">
          <cell r="A7200" t="str">
            <v>CIVLA</v>
          </cell>
          <cell r="J7200">
            <v>0</v>
          </cell>
        </row>
        <row r="7201">
          <cell r="A7201" t="str">
            <v>CIVLA</v>
          </cell>
          <cell r="J7201">
            <v>0</v>
          </cell>
        </row>
        <row r="7202">
          <cell r="A7202" t="str">
            <v>CIVLA</v>
          </cell>
          <cell r="J7202">
            <v>0</v>
          </cell>
        </row>
        <row r="7203">
          <cell r="A7203" t="str">
            <v>CIVLA</v>
          </cell>
          <cell r="J7203">
            <v>0</v>
          </cell>
        </row>
        <row r="7204">
          <cell r="A7204" t="str">
            <v>CIVLA</v>
          </cell>
          <cell r="J7204">
            <v>0</v>
          </cell>
        </row>
        <row r="7205">
          <cell r="A7205" t="str">
            <v>CIVLA</v>
          </cell>
          <cell r="J7205">
            <v>0</v>
          </cell>
        </row>
        <row r="7206">
          <cell r="A7206" t="str">
            <v>CIVLA</v>
          </cell>
          <cell r="J7206">
            <v>0</v>
          </cell>
        </row>
        <row r="7207">
          <cell r="A7207" t="str">
            <v>CIVLA</v>
          </cell>
          <cell r="J7207">
            <v>0</v>
          </cell>
        </row>
        <row r="7208">
          <cell r="A7208" t="str">
            <v>CIVLA</v>
          </cell>
          <cell r="J7208">
            <v>0</v>
          </cell>
        </row>
        <row r="7209">
          <cell r="A7209" t="str">
            <v>CIVLA</v>
          </cell>
          <cell r="J7209">
            <v>0</v>
          </cell>
        </row>
        <row r="7210">
          <cell r="A7210" t="str">
            <v>CIVLA</v>
          </cell>
          <cell r="J7210">
            <v>0</v>
          </cell>
        </row>
        <row r="7211">
          <cell r="A7211" t="str">
            <v>CIVLA</v>
          </cell>
          <cell r="J7211">
            <v>0</v>
          </cell>
        </row>
        <row r="7212">
          <cell r="A7212" t="str">
            <v>CIVLA</v>
          </cell>
          <cell r="J7212">
            <v>0</v>
          </cell>
        </row>
        <row r="7213">
          <cell r="A7213" t="str">
            <v>CIVLA</v>
          </cell>
          <cell r="J7213">
            <v>0</v>
          </cell>
        </row>
        <row r="7214">
          <cell r="A7214" t="str">
            <v>CIVLA</v>
          </cell>
          <cell r="J7214">
            <v>0</v>
          </cell>
        </row>
        <row r="7215">
          <cell r="A7215" t="str">
            <v>CIVLA</v>
          </cell>
          <cell r="J7215">
            <v>0</v>
          </cell>
        </row>
        <row r="7216">
          <cell r="A7216" t="str">
            <v>CIVLA</v>
          </cell>
          <cell r="J7216">
            <v>0</v>
          </cell>
        </row>
        <row r="7217">
          <cell r="A7217" t="str">
            <v>CIVLA</v>
          </cell>
          <cell r="J7217">
            <v>0</v>
          </cell>
        </row>
        <row r="7218">
          <cell r="A7218" t="str">
            <v>CIVLA</v>
          </cell>
          <cell r="J7218">
            <v>0</v>
          </cell>
        </row>
        <row r="7219">
          <cell r="A7219" t="str">
            <v>CIVLA</v>
          </cell>
          <cell r="J7219">
            <v>0</v>
          </cell>
        </row>
        <row r="7220">
          <cell r="A7220" t="str">
            <v>CIVLA</v>
          </cell>
          <cell r="J7220">
            <v>0</v>
          </cell>
        </row>
        <row r="7221">
          <cell r="A7221" t="str">
            <v>CIVLA</v>
          </cell>
          <cell r="J7221">
            <v>0</v>
          </cell>
        </row>
        <row r="7222">
          <cell r="A7222" t="str">
            <v>CIVLA</v>
          </cell>
          <cell r="J7222">
            <v>0</v>
          </cell>
        </row>
        <row r="7223">
          <cell r="A7223" t="str">
            <v>CIVLA</v>
          </cell>
          <cell r="J7223">
            <v>0</v>
          </cell>
        </row>
        <row r="7224">
          <cell r="A7224" t="str">
            <v>CIVLA</v>
          </cell>
          <cell r="J7224">
            <v>0</v>
          </cell>
        </row>
        <row r="7225">
          <cell r="A7225" t="str">
            <v>CIVLA</v>
          </cell>
          <cell r="J7225">
            <v>0</v>
          </cell>
        </row>
        <row r="7226">
          <cell r="A7226" t="str">
            <v>CIVLA</v>
          </cell>
          <cell r="J7226">
            <v>0</v>
          </cell>
        </row>
        <row r="7227">
          <cell r="A7227" t="str">
            <v>CIVLA</v>
          </cell>
          <cell r="J7227">
            <v>0</v>
          </cell>
        </row>
        <row r="7228">
          <cell r="A7228" t="str">
            <v>CIVLA</v>
          </cell>
          <cell r="J7228">
            <v>0</v>
          </cell>
        </row>
        <row r="7229">
          <cell r="A7229" t="str">
            <v>CIVLA</v>
          </cell>
          <cell r="J7229">
            <v>0</v>
          </cell>
        </row>
        <row r="7230">
          <cell r="A7230" t="str">
            <v>CIVLA</v>
          </cell>
          <cell r="J7230">
            <v>0</v>
          </cell>
        </row>
        <row r="7231">
          <cell r="A7231" t="str">
            <v>CIVLA</v>
          </cell>
          <cell r="J7231">
            <v>0</v>
          </cell>
        </row>
        <row r="7232">
          <cell r="A7232" t="str">
            <v>CIVLA</v>
          </cell>
          <cell r="J7232">
            <v>0</v>
          </cell>
        </row>
        <row r="7233">
          <cell r="A7233" t="str">
            <v>CIVLA</v>
          </cell>
          <cell r="J7233">
            <v>0</v>
          </cell>
        </row>
        <row r="7234">
          <cell r="A7234" t="str">
            <v>CIVLA</v>
          </cell>
          <cell r="J7234">
            <v>0</v>
          </cell>
        </row>
        <row r="7235">
          <cell r="A7235" t="str">
            <v>CIVLA</v>
          </cell>
          <cell r="J7235">
            <v>0</v>
          </cell>
        </row>
        <row r="7236">
          <cell r="A7236" t="str">
            <v>CIVLA</v>
          </cell>
          <cell r="J7236">
            <v>0</v>
          </cell>
        </row>
        <row r="7237">
          <cell r="A7237" t="str">
            <v>CIVLA</v>
          </cell>
          <cell r="J7237">
            <v>0</v>
          </cell>
        </row>
        <row r="7238">
          <cell r="A7238" t="str">
            <v>CIVLA</v>
          </cell>
          <cell r="J7238">
            <v>0</v>
          </cell>
        </row>
        <row r="7239">
          <cell r="A7239" t="str">
            <v>CIVLA</v>
          </cell>
          <cell r="J7239">
            <v>0</v>
          </cell>
        </row>
        <row r="7240">
          <cell r="A7240" t="str">
            <v>CIVLA</v>
          </cell>
          <cell r="J7240">
            <v>0</v>
          </cell>
        </row>
        <row r="7241">
          <cell r="A7241" t="str">
            <v>CIVLA</v>
          </cell>
          <cell r="J7241">
            <v>0</v>
          </cell>
        </row>
        <row r="7242">
          <cell r="A7242" t="str">
            <v>CIVLA</v>
          </cell>
          <cell r="J7242">
            <v>0</v>
          </cell>
        </row>
        <row r="7243">
          <cell r="A7243" t="str">
            <v>CIVLA</v>
          </cell>
          <cell r="J7243">
            <v>0</v>
          </cell>
        </row>
        <row r="7244">
          <cell r="A7244" t="str">
            <v>CIVLA</v>
          </cell>
          <cell r="J7244">
            <v>0</v>
          </cell>
        </row>
        <row r="7245">
          <cell r="A7245" t="str">
            <v>CIVLA</v>
          </cell>
          <cell r="J7245">
            <v>0</v>
          </cell>
        </row>
        <row r="7246">
          <cell r="A7246" t="str">
            <v>CIVLA</v>
          </cell>
          <cell r="J7246">
            <v>0</v>
          </cell>
        </row>
        <row r="7247">
          <cell r="A7247" t="str">
            <v>CIVLA</v>
          </cell>
          <cell r="J7247">
            <v>0</v>
          </cell>
        </row>
        <row r="7248">
          <cell r="A7248" t="str">
            <v>CIVLA</v>
          </cell>
          <cell r="J7248">
            <v>0</v>
          </cell>
        </row>
        <row r="7249">
          <cell r="A7249" t="str">
            <v>CIVLA</v>
          </cell>
          <cell r="J7249">
            <v>0</v>
          </cell>
        </row>
        <row r="7250">
          <cell r="A7250" t="str">
            <v>CIVLA</v>
          </cell>
          <cell r="J7250">
            <v>0</v>
          </cell>
        </row>
        <row r="7251">
          <cell r="A7251" t="str">
            <v>CIVLA</v>
          </cell>
          <cell r="J7251">
            <v>0</v>
          </cell>
        </row>
        <row r="7252">
          <cell r="A7252" t="str">
            <v>CIVLA</v>
          </cell>
          <cell r="J7252">
            <v>0</v>
          </cell>
        </row>
        <row r="7253">
          <cell r="A7253" t="str">
            <v>CIVLA</v>
          </cell>
          <cell r="J7253">
            <v>0</v>
          </cell>
        </row>
        <row r="7254">
          <cell r="A7254" t="str">
            <v>CIVLA</v>
          </cell>
          <cell r="J7254">
            <v>0</v>
          </cell>
        </row>
        <row r="7255">
          <cell r="A7255" t="str">
            <v>CIVLA</v>
          </cell>
          <cell r="J7255">
            <v>0</v>
          </cell>
        </row>
        <row r="7256">
          <cell r="A7256" t="str">
            <v>CIVLA</v>
          </cell>
          <cell r="J7256">
            <v>0</v>
          </cell>
        </row>
        <row r="7257">
          <cell r="A7257" t="str">
            <v>CIVLA</v>
          </cell>
          <cell r="J7257">
            <v>0</v>
          </cell>
        </row>
        <row r="7258">
          <cell r="A7258" t="str">
            <v>CIVLA</v>
          </cell>
          <cell r="J7258">
            <v>0</v>
          </cell>
        </row>
        <row r="7259">
          <cell r="A7259" t="str">
            <v>CIVLA</v>
          </cell>
          <cell r="J7259">
            <v>0</v>
          </cell>
        </row>
        <row r="7260">
          <cell r="A7260" t="str">
            <v>CIVLA</v>
          </cell>
          <cell r="J7260">
            <v>0</v>
          </cell>
        </row>
        <row r="7261">
          <cell r="A7261" t="str">
            <v>CIVLA</v>
          </cell>
          <cell r="J7261">
            <v>0</v>
          </cell>
        </row>
        <row r="7262">
          <cell r="A7262" t="str">
            <v>CIVLA</v>
          </cell>
          <cell r="J7262">
            <v>0</v>
          </cell>
        </row>
        <row r="7263">
          <cell r="A7263" t="str">
            <v>CIVLA</v>
          </cell>
          <cell r="J7263">
            <v>0</v>
          </cell>
        </row>
        <row r="7264">
          <cell r="A7264" t="str">
            <v>CIVLA</v>
          </cell>
          <cell r="J7264">
            <v>0</v>
          </cell>
        </row>
        <row r="7265">
          <cell r="A7265" t="str">
            <v>CIVLA</v>
          </cell>
          <cell r="J7265">
            <v>0</v>
          </cell>
        </row>
        <row r="7266">
          <cell r="A7266" t="str">
            <v>CIVLA</v>
          </cell>
          <cell r="J7266">
            <v>0</v>
          </cell>
        </row>
        <row r="7267">
          <cell r="A7267" t="str">
            <v>CIVLA</v>
          </cell>
          <cell r="J7267">
            <v>0</v>
          </cell>
        </row>
        <row r="7268">
          <cell r="A7268" t="str">
            <v>CIVLA</v>
          </cell>
          <cell r="J7268">
            <v>0</v>
          </cell>
        </row>
        <row r="7269">
          <cell r="A7269" t="str">
            <v>CIVLA</v>
          </cell>
          <cell r="J7269">
            <v>0</v>
          </cell>
        </row>
        <row r="7270">
          <cell r="A7270" t="str">
            <v>CIVLA</v>
          </cell>
          <cell r="J7270">
            <v>0</v>
          </cell>
        </row>
        <row r="7271">
          <cell r="A7271" t="str">
            <v>CIVLA</v>
          </cell>
          <cell r="J7271">
            <v>0</v>
          </cell>
        </row>
        <row r="7272">
          <cell r="A7272" t="str">
            <v>CIVLA</v>
          </cell>
          <cell r="J7272">
            <v>0</v>
          </cell>
        </row>
        <row r="7273">
          <cell r="A7273" t="str">
            <v>CIVLA</v>
          </cell>
          <cell r="J7273">
            <v>0</v>
          </cell>
        </row>
        <row r="7274">
          <cell r="A7274" t="str">
            <v>CIVLA</v>
          </cell>
          <cell r="J7274">
            <v>0</v>
          </cell>
        </row>
        <row r="7275">
          <cell r="A7275" t="str">
            <v>CIVLA</v>
          </cell>
          <cell r="J7275">
            <v>0</v>
          </cell>
        </row>
        <row r="7276">
          <cell r="A7276" t="str">
            <v>CIVLA</v>
          </cell>
          <cell r="J7276">
            <v>0</v>
          </cell>
        </row>
        <row r="7277">
          <cell r="A7277" t="str">
            <v>CIVLA</v>
          </cell>
          <cell r="J7277">
            <v>0</v>
          </cell>
        </row>
        <row r="7278">
          <cell r="A7278" t="str">
            <v>CIVLA</v>
          </cell>
          <cell r="J7278">
            <v>0</v>
          </cell>
        </row>
        <row r="7279">
          <cell r="A7279" t="str">
            <v>CIVLA</v>
          </cell>
          <cell r="J7279">
            <v>0</v>
          </cell>
        </row>
        <row r="7280">
          <cell r="A7280" t="str">
            <v>CIVLA</v>
          </cell>
          <cell r="J7280">
            <v>0</v>
          </cell>
        </row>
        <row r="7281">
          <cell r="A7281" t="str">
            <v>CIVLA</v>
          </cell>
          <cell r="J7281">
            <v>0</v>
          </cell>
        </row>
        <row r="7282">
          <cell r="A7282" t="str">
            <v>CIVLA</v>
          </cell>
          <cell r="J7282">
            <v>0</v>
          </cell>
        </row>
        <row r="7283">
          <cell r="A7283" t="str">
            <v>CIVLA</v>
          </cell>
          <cell r="J7283">
            <v>0</v>
          </cell>
        </row>
        <row r="7284">
          <cell r="A7284" t="str">
            <v>CIVLA</v>
          </cell>
          <cell r="J7284">
            <v>0</v>
          </cell>
        </row>
        <row r="7285">
          <cell r="A7285" t="str">
            <v>CIVLA</v>
          </cell>
          <cell r="J7285">
            <v>0</v>
          </cell>
        </row>
        <row r="7286">
          <cell r="A7286" t="str">
            <v>CIVLA</v>
          </cell>
          <cell r="J7286">
            <v>0</v>
          </cell>
        </row>
        <row r="7287">
          <cell r="A7287" t="str">
            <v>CIVLA</v>
          </cell>
          <cell r="J7287">
            <v>0</v>
          </cell>
        </row>
        <row r="7288">
          <cell r="A7288" t="str">
            <v>CIVLA</v>
          </cell>
          <cell r="J7288">
            <v>0</v>
          </cell>
        </row>
        <row r="7289">
          <cell r="A7289" t="str">
            <v>CIVLA</v>
          </cell>
          <cell r="J7289">
            <v>0</v>
          </cell>
        </row>
        <row r="7290">
          <cell r="A7290" t="str">
            <v>CIVLA</v>
          </cell>
          <cell r="J7290">
            <v>0</v>
          </cell>
        </row>
        <row r="7291">
          <cell r="A7291" t="str">
            <v>CIVLA</v>
          </cell>
          <cell r="J7291">
            <v>0</v>
          </cell>
        </row>
        <row r="7292">
          <cell r="A7292" t="str">
            <v>CIVLA</v>
          </cell>
          <cell r="J7292">
            <v>0</v>
          </cell>
        </row>
        <row r="7293">
          <cell r="A7293" t="str">
            <v>CIVLA</v>
          </cell>
          <cell r="J7293">
            <v>0</v>
          </cell>
        </row>
        <row r="7294">
          <cell r="A7294" t="str">
            <v>CIVLA</v>
          </cell>
          <cell r="J7294">
            <v>0</v>
          </cell>
        </row>
        <row r="7295">
          <cell r="A7295" t="str">
            <v>CIVLA</v>
          </cell>
          <cell r="J7295">
            <v>0</v>
          </cell>
        </row>
        <row r="7296">
          <cell r="A7296" t="str">
            <v>CIVLA</v>
          </cell>
          <cell r="J7296">
            <v>0</v>
          </cell>
        </row>
        <row r="7297">
          <cell r="A7297" t="str">
            <v>CIVLA</v>
          </cell>
          <cell r="J7297">
            <v>0</v>
          </cell>
        </row>
        <row r="7298">
          <cell r="A7298" t="str">
            <v>CIVLA</v>
          </cell>
          <cell r="J7298">
            <v>0</v>
          </cell>
        </row>
        <row r="7299">
          <cell r="A7299" t="str">
            <v>CIVLA</v>
          </cell>
          <cell r="J7299">
            <v>0</v>
          </cell>
        </row>
        <row r="7300">
          <cell r="A7300" t="str">
            <v>CIVLA</v>
          </cell>
          <cell r="J7300">
            <v>0</v>
          </cell>
        </row>
        <row r="7301">
          <cell r="A7301" t="str">
            <v>CIVLA</v>
          </cell>
          <cell r="J7301">
            <v>0</v>
          </cell>
        </row>
        <row r="7302">
          <cell r="A7302" t="str">
            <v>CIVLA</v>
          </cell>
          <cell r="J7302">
            <v>0</v>
          </cell>
        </row>
        <row r="7303">
          <cell r="A7303" t="str">
            <v>CIVLA</v>
          </cell>
          <cell r="J7303">
            <v>0</v>
          </cell>
        </row>
        <row r="7304">
          <cell r="A7304" t="str">
            <v>CIVLA</v>
          </cell>
          <cell r="J7304">
            <v>0</v>
          </cell>
        </row>
        <row r="7305">
          <cell r="A7305" t="str">
            <v>CIVLA</v>
          </cell>
          <cell r="J7305">
            <v>0</v>
          </cell>
        </row>
        <row r="7306">
          <cell r="A7306" t="str">
            <v>CIVLA</v>
          </cell>
          <cell r="J7306">
            <v>0</v>
          </cell>
        </row>
        <row r="7307">
          <cell r="A7307" t="str">
            <v>CIVLA</v>
          </cell>
          <cell r="J7307">
            <v>0</v>
          </cell>
        </row>
        <row r="7308">
          <cell r="A7308" t="str">
            <v>CIVLA</v>
          </cell>
          <cell r="J7308">
            <v>0</v>
          </cell>
        </row>
        <row r="7309">
          <cell r="A7309" t="str">
            <v>CIVLA</v>
          </cell>
          <cell r="J7309">
            <v>0</v>
          </cell>
        </row>
        <row r="7310">
          <cell r="A7310" t="str">
            <v>CIVLA</v>
          </cell>
          <cell r="J7310">
            <v>0</v>
          </cell>
        </row>
        <row r="7311">
          <cell r="A7311" t="str">
            <v>CIVLA</v>
          </cell>
          <cell r="J7311">
            <v>0</v>
          </cell>
        </row>
        <row r="7312">
          <cell r="A7312" t="str">
            <v>CIVLA</v>
          </cell>
          <cell r="J7312">
            <v>0</v>
          </cell>
        </row>
        <row r="7313">
          <cell r="A7313" t="str">
            <v>CIVLA</v>
          </cell>
          <cell r="J7313">
            <v>0</v>
          </cell>
        </row>
        <row r="7314">
          <cell r="A7314" t="str">
            <v>CIVLA</v>
          </cell>
          <cell r="J7314">
            <v>0</v>
          </cell>
        </row>
        <row r="7315">
          <cell r="A7315" t="str">
            <v>CIVLA</v>
          </cell>
          <cell r="J7315">
            <v>0</v>
          </cell>
        </row>
        <row r="7316">
          <cell r="A7316" t="str">
            <v>CIVLA</v>
          </cell>
          <cell r="J7316">
            <v>0</v>
          </cell>
        </row>
        <row r="7317">
          <cell r="A7317" t="str">
            <v>CIVLA</v>
          </cell>
          <cell r="J7317">
            <v>0</v>
          </cell>
        </row>
        <row r="7318">
          <cell r="A7318" t="str">
            <v>CIVLA</v>
          </cell>
          <cell r="J7318">
            <v>0</v>
          </cell>
        </row>
        <row r="7319">
          <cell r="A7319" t="str">
            <v>CIVLA</v>
          </cell>
          <cell r="J7319">
            <v>0</v>
          </cell>
        </row>
        <row r="7320">
          <cell r="A7320" t="str">
            <v>CIVLA</v>
          </cell>
          <cell r="J7320">
            <v>0</v>
          </cell>
        </row>
        <row r="7321">
          <cell r="A7321" t="str">
            <v>CIVLA</v>
          </cell>
          <cell r="J7321">
            <v>0</v>
          </cell>
        </row>
        <row r="7322">
          <cell r="A7322" t="str">
            <v>CIVLA</v>
          </cell>
          <cell r="J7322">
            <v>0</v>
          </cell>
        </row>
        <row r="7323">
          <cell r="A7323" t="str">
            <v>CIVLA</v>
          </cell>
          <cell r="J7323">
            <v>0</v>
          </cell>
        </row>
        <row r="7324">
          <cell r="A7324" t="str">
            <v>CIVLA</v>
          </cell>
          <cell r="J7324">
            <v>0</v>
          </cell>
        </row>
        <row r="7325">
          <cell r="A7325" t="str">
            <v>CIVLA</v>
          </cell>
          <cell r="J7325">
            <v>0</v>
          </cell>
        </row>
        <row r="7326">
          <cell r="A7326" t="str">
            <v>CIVLA</v>
          </cell>
          <cell r="J7326">
            <v>0</v>
          </cell>
        </row>
        <row r="7327">
          <cell r="A7327" t="str">
            <v>CIVLA</v>
          </cell>
          <cell r="J7327">
            <v>0</v>
          </cell>
        </row>
        <row r="7328">
          <cell r="A7328" t="str">
            <v>CIVLA</v>
          </cell>
          <cell r="J7328">
            <v>0</v>
          </cell>
        </row>
        <row r="7329">
          <cell r="A7329" t="str">
            <v>CIVLA</v>
          </cell>
          <cell r="J7329">
            <v>0</v>
          </cell>
        </row>
        <row r="7330">
          <cell r="A7330" t="str">
            <v>CIVLA</v>
          </cell>
          <cell r="J7330">
            <v>0</v>
          </cell>
        </row>
        <row r="7331">
          <cell r="A7331" t="str">
            <v>CIVLA</v>
          </cell>
          <cell r="J7331">
            <v>0</v>
          </cell>
        </row>
        <row r="7332">
          <cell r="A7332" t="str">
            <v>CIVLA</v>
          </cell>
          <cell r="J7332">
            <v>0</v>
          </cell>
        </row>
        <row r="7333">
          <cell r="A7333" t="str">
            <v>CIVLA</v>
          </cell>
          <cell r="J7333">
            <v>0</v>
          </cell>
        </row>
        <row r="7334">
          <cell r="A7334" t="str">
            <v>CIVLA</v>
          </cell>
          <cell r="J7334">
            <v>0</v>
          </cell>
        </row>
        <row r="7335">
          <cell r="A7335" t="str">
            <v>CIVLA</v>
          </cell>
          <cell r="J7335">
            <v>0</v>
          </cell>
        </row>
        <row r="7336">
          <cell r="A7336" t="str">
            <v>CIVLA</v>
          </cell>
          <cell r="J7336">
            <v>0</v>
          </cell>
        </row>
        <row r="7337">
          <cell r="A7337" t="str">
            <v>CIVLA</v>
          </cell>
          <cell r="J7337">
            <v>0</v>
          </cell>
        </row>
        <row r="7338">
          <cell r="A7338" t="str">
            <v>CIVLA</v>
          </cell>
          <cell r="J7338">
            <v>0</v>
          </cell>
        </row>
        <row r="7339">
          <cell r="A7339" t="str">
            <v>CIVLA</v>
          </cell>
          <cell r="J7339">
            <v>0</v>
          </cell>
        </row>
        <row r="7340">
          <cell r="A7340" t="str">
            <v>CIVLA</v>
          </cell>
          <cell r="J7340">
            <v>0</v>
          </cell>
        </row>
        <row r="7341">
          <cell r="A7341" t="str">
            <v>CIVLA</v>
          </cell>
          <cell r="J7341">
            <v>0</v>
          </cell>
        </row>
        <row r="7342">
          <cell r="A7342" t="str">
            <v>CIVLA</v>
          </cell>
          <cell r="J7342">
            <v>0</v>
          </cell>
        </row>
        <row r="7343">
          <cell r="A7343" t="str">
            <v>CIVLA</v>
          </cell>
          <cell r="J7343">
            <v>0</v>
          </cell>
        </row>
        <row r="7344">
          <cell r="A7344" t="str">
            <v>CIVLA</v>
          </cell>
          <cell r="J7344">
            <v>0</v>
          </cell>
        </row>
        <row r="7345">
          <cell r="A7345" t="str">
            <v>CIVLA</v>
          </cell>
          <cell r="J7345">
            <v>0</v>
          </cell>
        </row>
        <row r="7346">
          <cell r="A7346" t="str">
            <v>CIVLA</v>
          </cell>
          <cell r="J7346">
            <v>0</v>
          </cell>
        </row>
        <row r="7347">
          <cell r="A7347" t="str">
            <v>CIVLA</v>
          </cell>
          <cell r="J7347">
            <v>0</v>
          </cell>
        </row>
        <row r="7348">
          <cell r="A7348" t="str">
            <v>CIVLA</v>
          </cell>
          <cell r="J7348">
            <v>0</v>
          </cell>
        </row>
        <row r="7349">
          <cell r="A7349" t="str">
            <v>CIVLA</v>
          </cell>
          <cell r="J7349">
            <v>0</v>
          </cell>
        </row>
        <row r="7350">
          <cell r="A7350" t="str">
            <v>CIVLA</v>
          </cell>
          <cell r="J7350">
            <v>0</v>
          </cell>
        </row>
        <row r="7351">
          <cell r="A7351" t="str">
            <v>CIVLA</v>
          </cell>
          <cell r="J7351">
            <v>0</v>
          </cell>
        </row>
        <row r="7352">
          <cell r="A7352" t="str">
            <v>CIVLA</v>
          </cell>
          <cell r="J7352">
            <v>0</v>
          </cell>
        </row>
        <row r="7353">
          <cell r="A7353" t="str">
            <v>CIVLA</v>
          </cell>
          <cell r="J7353">
            <v>0</v>
          </cell>
        </row>
        <row r="7354">
          <cell r="A7354" t="str">
            <v>CIVLA</v>
          </cell>
          <cell r="J7354">
            <v>0</v>
          </cell>
        </row>
        <row r="7355">
          <cell r="A7355" t="str">
            <v>CIVLA</v>
          </cell>
          <cell r="J7355">
            <v>0</v>
          </cell>
        </row>
        <row r="7356">
          <cell r="A7356" t="str">
            <v>CIVLA</v>
          </cell>
          <cell r="J7356">
            <v>0</v>
          </cell>
        </row>
        <row r="7357">
          <cell r="A7357" t="str">
            <v>CIVLA</v>
          </cell>
          <cell r="J7357">
            <v>0</v>
          </cell>
        </row>
        <row r="7358">
          <cell r="A7358" t="str">
            <v>CIVLA</v>
          </cell>
          <cell r="J7358">
            <v>0</v>
          </cell>
        </row>
        <row r="7359">
          <cell r="A7359" t="str">
            <v>CIVLA</v>
          </cell>
          <cell r="J7359">
            <v>0</v>
          </cell>
        </row>
        <row r="7360">
          <cell r="A7360" t="str">
            <v>CIVLA</v>
          </cell>
          <cell r="J7360">
            <v>0</v>
          </cell>
        </row>
        <row r="7361">
          <cell r="A7361" t="str">
            <v>CIVLA</v>
          </cell>
          <cell r="J7361">
            <v>0</v>
          </cell>
        </row>
        <row r="7362">
          <cell r="A7362" t="str">
            <v>CIVLA</v>
          </cell>
          <cell r="J7362">
            <v>0</v>
          </cell>
        </row>
        <row r="7363">
          <cell r="A7363" t="str">
            <v>CIVLA</v>
          </cell>
          <cell r="J7363">
            <v>0</v>
          </cell>
        </row>
        <row r="7364">
          <cell r="A7364" t="str">
            <v>CIVLA</v>
          </cell>
          <cell r="J7364">
            <v>0</v>
          </cell>
        </row>
        <row r="7365">
          <cell r="A7365" t="str">
            <v>CIVLA</v>
          </cell>
          <cell r="J7365">
            <v>0</v>
          </cell>
        </row>
        <row r="7366">
          <cell r="A7366" t="str">
            <v>CIVLA</v>
          </cell>
          <cell r="J7366">
            <v>0</v>
          </cell>
        </row>
        <row r="7367">
          <cell r="A7367" t="str">
            <v>CIVLA</v>
          </cell>
          <cell r="J7367">
            <v>0</v>
          </cell>
        </row>
        <row r="7368">
          <cell r="A7368" t="str">
            <v>CIVLA</v>
          </cell>
          <cell r="J7368">
            <v>0</v>
          </cell>
        </row>
        <row r="7369">
          <cell r="A7369" t="str">
            <v>CIVLA</v>
          </cell>
          <cell r="J7369">
            <v>0</v>
          </cell>
        </row>
        <row r="7370">
          <cell r="A7370" t="str">
            <v>CIVLA</v>
          </cell>
          <cell r="J7370">
            <v>0</v>
          </cell>
        </row>
        <row r="7371">
          <cell r="A7371" t="str">
            <v>CIVLA</v>
          </cell>
          <cell r="J7371">
            <v>0</v>
          </cell>
        </row>
        <row r="7372">
          <cell r="A7372" t="str">
            <v>CIVLA</v>
          </cell>
          <cell r="J7372">
            <v>0</v>
          </cell>
        </row>
        <row r="7373">
          <cell r="A7373" t="str">
            <v>CIVLA</v>
          </cell>
          <cell r="J7373">
            <v>0</v>
          </cell>
        </row>
        <row r="7374">
          <cell r="A7374" t="str">
            <v>CIVLA</v>
          </cell>
          <cell r="J7374">
            <v>0</v>
          </cell>
        </row>
        <row r="7375">
          <cell r="A7375" t="str">
            <v>CIVLA</v>
          </cell>
          <cell r="J7375">
            <v>0</v>
          </cell>
        </row>
        <row r="7376">
          <cell r="A7376" t="str">
            <v>CIVLA</v>
          </cell>
          <cell r="J7376">
            <v>0</v>
          </cell>
        </row>
        <row r="7377">
          <cell r="A7377" t="str">
            <v>CIVLA</v>
          </cell>
          <cell r="J7377">
            <v>0</v>
          </cell>
        </row>
        <row r="7378">
          <cell r="A7378" t="str">
            <v>CIVLA</v>
          </cell>
          <cell r="J7378">
            <v>0</v>
          </cell>
        </row>
        <row r="7379">
          <cell r="A7379" t="str">
            <v>CIVLA</v>
          </cell>
          <cell r="J7379">
            <v>0</v>
          </cell>
        </row>
        <row r="7380">
          <cell r="A7380" t="str">
            <v>CIVLA</v>
          </cell>
          <cell r="J7380">
            <v>0</v>
          </cell>
        </row>
        <row r="7381">
          <cell r="A7381" t="str">
            <v>CIVLA</v>
          </cell>
          <cell r="J7381">
            <v>0</v>
          </cell>
        </row>
        <row r="7382">
          <cell r="A7382" t="str">
            <v>CIVLA</v>
          </cell>
          <cell r="J7382">
            <v>0</v>
          </cell>
        </row>
        <row r="7383">
          <cell r="A7383" t="str">
            <v>CIVLA</v>
          </cell>
          <cell r="J7383">
            <v>0</v>
          </cell>
        </row>
        <row r="7384">
          <cell r="A7384" t="str">
            <v>CIVLA</v>
          </cell>
          <cell r="J7384">
            <v>0</v>
          </cell>
        </row>
        <row r="7385">
          <cell r="A7385" t="str">
            <v>CIVLA</v>
          </cell>
          <cell r="J7385">
            <v>0</v>
          </cell>
        </row>
        <row r="7386">
          <cell r="A7386" t="str">
            <v>CIVLA</v>
          </cell>
          <cell r="J7386">
            <v>0</v>
          </cell>
        </row>
        <row r="7387">
          <cell r="A7387" t="str">
            <v>CIVLA</v>
          </cell>
          <cell r="J7387">
            <v>0</v>
          </cell>
        </row>
        <row r="7388">
          <cell r="A7388" t="str">
            <v>CIVLA</v>
          </cell>
          <cell r="J7388">
            <v>0</v>
          </cell>
        </row>
        <row r="7389">
          <cell r="A7389" t="str">
            <v>CIVLA</v>
          </cell>
          <cell r="J7389">
            <v>0</v>
          </cell>
        </row>
        <row r="7390">
          <cell r="A7390" t="str">
            <v>CIVLA</v>
          </cell>
          <cell r="J7390">
            <v>0</v>
          </cell>
        </row>
        <row r="7391">
          <cell r="A7391" t="str">
            <v>CIVLA</v>
          </cell>
          <cell r="J7391">
            <v>0</v>
          </cell>
        </row>
        <row r="7392">
          <cell r="A7392" t="str">
            <v>CIVLA</v>
          </cell>
          <cell r="J7392">
            <v>0</v>
          </cell>
        </row>
        <row r="7393">
          <cell r="A7393" t="str">
            <v>CIVLA</v>
          </cell>
          <cell r="J7393">
            <v>0</v>
          </cell>
        </row>
        <row r="7394">
          <cell r="A7394" t="str">
            <v>CIVLA</v>
          </cell>
          <cell r="J7394">
            <v>0</v>
          </cell>
        </row>
        <row r="7395">
          <cell r="A7395" t="str">
            <v>CIVLA</v>
          </cell>
          <cell r="J7395">
            <v>0</v>
          </cell>
        </row>
        <row r="7396">
          <cell r="A7396" t="str">
            <v>CIVLA</v>
          </cell>
          <cell r="J7396">
            <v>0</v>
          </cell>
        </row>
        <row r="7397">
          <cell r="A7397" t="str">
            <v>CIVLA</v>
          </cell>
          <cell r="J7397">
            <v>0</v>
          </cell>
        </row>
        <row r="7398">
          <cell r="A7398" t="str">
            <v>CIVLA</v>
          </cell>
          <cell r="J7398">
            <v>0</v>
          </cell>
        </row>
        <row r="7399">
          <cell r="A7399" t="str">
            <v>CIVLA</v>
          </cell>
          <cell r="J7399">
            <v>0</v>
          </cell>
        </row>
        <row r="7400">
          <cell r="A7400" t="str">
            <v>CIVLA</v>
          </cell>
          <cell r="J7400">
            <v>0</v>
          </cell>
        </row>
        <row r="7401">
          <cell r="A7401" t="str">
            <v>CIVLA</v>
          </cell>
          <cell r="J7401">
            <v>0</v>
          </cell>
        </row>
        <row r="7402">
          <cell r="A7402" t="str">
            <v>CIVLA</v>
          </cell>
          <cell r="J7402">
            <v>0</v>
          </cell>
        </row>
        <row r="7403">
          <cell r="A7403" t="str">
            <v>CIVLA</v>
          </cell>
          <cell r="J7403">
            <v>0</v>
          </cell>
        </row>
        <row r="7404">
          <cell r="A7404" t="str">
            <v>CIVLA</v>
          </cell>
          <cell r="J7404">
            <v>0</v>
          </cell>
        </row>
        <row r="7405">
          <cell r="A7405" t="str">
            <v>CIVLA</v>
          </cell>
          <cell r="J7405">
            <v>0</v>
          </cell>
        </row>
        <row r="7406">
          <cell r="A7406" t="str">
            <v>CIVLA</v>
          </cell>
          <cell r="J7406">
            <v>0</v>
          </cell>
        </row>
        <row r="7407">
          <cell r="A7407" t="str">
            <v>CIVLA</v>
          </cell>
          <cell r="J7407">
            <v>0</v>
          </cell>
        </row>
        <row r="7408">
          <cell r="A7408" t="str">
            <v>CIVLA</v>
          </cell>
          <cell r="J7408">
            <v>0</v>
          </cell>
        </row>
        <row r="7409">
          <cell r="A7409" t="str">
            <v>CIVLA</v>
          </cell>
          <cell r="J7409">
            <v>0</v>
          </cell>
        </row>
        <row r="7410">
          <cell r="A7410" t="str">
            <v>CIVLA</v>
          </cell>
          <cell r="J7410">
            <v>0</v>
          </cell>
        </row>
        <row r="7411">
          <cell r="A7411" t="str">
            <v>CIVLA</v>
          </cell>
          <cell r="J7411">
            <v>0</v>
          </cell>
        </row>
        <row r="7412">
          <cell r="A7412" t="str">
            <v>CIVLA</v>
          </cell>
          <cell r="J7412">
            <v>0</v>
          </cell>
        </row>
        <row r="7413">
          <cell r="A7413" t="str">
            <v>CIVLA</v>
          </cell>
          <cell r="J7413">
            <v>0</v>
          </cell>
        </row>
        <row r="7414">
          <cell r="A7414" t="str">
            <v>CIVLA</v>
          </cell>
          <cell r="J7414">
            <v>0</v>
          </cell>
        </row>
        <row r="7415">
          <cell r="A7415" t="str">
            <v>CIVLA</v>
          </cell>
          <cell r="J7415">
            <v>0</v>
          </cell>
        </row>
        <row r="7416">
          <cell r="A7416" t="str">
            <v>CIVLA</v>
          </cell>
          <cell r="J7416">
            <v>0</v>
          </cell>
        </row>
        <row r="7417">
          <cell r="A7417" t="str">
            <v>CIVLA</v>
          </cell>
          <cell r="J7417">
            <v>0</v>
          </cell>
        </row>
        <row r="7418">
          <cell r="A7418" t="str">
            <v>CIVLA</v>
          </cell>
          <cell r="J7418">
            <v>0</v>
          </cell>
        </row>
        <row r="7419">
          <cell r="A7419" t="str">
            <v>CIVLA</v>
          </cell>
          <cell r="J7419">
            <v>0</v>
          </cell>
        </row>
        <row r="7420">
          <cell r="A7420" t="str">
            <v>CIVLA</v>
          </cell>
          <cell r="J7420">
            <v>0</v>
          </cell>
        </row>
        <row r="7421">
          <cell r="A7421" t="str">
            <v>CIVLA</v>
          </cell>
          <cell r="J7421">
            <v>0</v>
          </cell>
        </row>
        <row r="7422">
          <cell r="A7422" t="str">
            <v>CIVLA</v>
          </cell>
          <cell r="J7422">
            <v>0</v>
          </cell>
        </row>
        <row r="7423">
          <cell r="A7423" t="str">
            <v>CIVLA</v>
          </cell>
          <cell r="J7423">
            <v>0</v>
          </cell>
        </row>
        <row r="7424">
          <cell r="A7424" t="str">
            <v>CIVLA</v>
          </cell>
          <cell r="J7424">
            <v>0</v>
          </cell>
        </row>
        <row r="7425">
          <cell r="A7425" t="str">
            <v>CIVLA</v>
          </cell>
          <cell r="J7425">
            <v>0</v>
          </cell>
        </row>
        <row r="7426">
          <cell r="A7426" t="str">
            <v>CIVLA</v>
          </cell>
          <cell r="J7426">
            <v>0</v>
          </cell>
        </row>
        <row r="7427">
          <cell r="A7427" t="str">
            <v>CIVLA</v>
          </cell>
          <cell r="J7427">
            <v>0</v>
          </cell>
        </row>
        <row r="7428">
          <cell r="A7428" t="str">
            <v>CIVLA</v>
          </cell>
          <cell r="J7428">
            <v>0</v>
          </cell>
        </row>
        <row r="7429">
          <cell r="A7429" t="str">
            <v>CIVLA</v>
          </cell>
          <cell r="J7429">
            <v>0</v>
          </cell>
        </row>
        <row r="7430">
          <cell r="A7430" t="str">
            <v>CIVLA</v>
          </cell>
          <cell r="J7430">
            <v>0</v>
          </cell>
        </row>
        <row r="7431">
          <cell r="A7431" t="str">
            <v>CIVLA</v>
          </cell>
          <cell r="J7431">
            <v>0</v>
          </cell>
        </row>
        <row r="7432">
          <cell r="A7432" t="str">
            <v>CIVLA</v>
          </cell>
          <cell r="J7432">
            <v>0</v>
          </cell>
        </row>
        <row r="7433">
          <cell r="A7433" t="str">
            <v>CIVLA</v>
          </cell>
          <cell r="J7433">
            <v>0</v>
          </cell>
        </row>
        <row r="7434">
          <cell r="A7434" t="str">
            <v>CIVLA</v>
          </cell>
          <cell r="J7434">
            <v>0</v>
          </cell>
        </row>
        <row r="7435">
          <cell r="A7435" t="str">
            <v>CIVLA</v>
          </cell>
          <cell r="J7435">
            <v>0</v>
          </cell>
        </row>
        <row r="7436">
          <cell r="A7436" t="str">
            <v>CIVLA</v>
          </cell>
          <cell r="J7436">
            <v>0</v>
          </cell>
        </row>
        <row r="7437">
          <cell r="A7437" t="str">
            <v>CIVLA</v>
          </cell>
          <cell r="J7437">
            <v>0</v>
          </cell>
        </row>
        <row r="7438">
          <cell r="A7438" t="str">
            <v>CIVLA</v>
          </cell>
          <cell r="J7438">
            <v>0</v>
          </cell>
        </row>
        <row r="7439">
          <cell r="A7439" t="str">
            <v>CIVLA</v>
          </cell>
          <cell r="J7439">
            <v>0</v>
          </cell>
        </row>
        <row r="7440">
          <cell r="A7440" t="str">
            <v>CIVLA</v>
          </cell>
          <cell r="J7440">
            <v>0</v>
          </cell>
        </row>
        <row r="7441">
          <cell r="A7441" t="str">
            <v>CIVLA</v>
          </cell>
          <cell r="J7441">
            <v>0</v>
          </cell>
        </row>
        <row r="7442">
          <cell r="A7442" t="str">
            <v>CIVLA</v>
          </cell>
          <cell r="J7442">
            <v>0</v>
          </cell>
        </row>
        <row r="7443">
          <cell r="A7443" t="str">
            <v>CIVLA</v>
          </cell>
          <cell r="J7443">
            <v>0</v>
          </cell>
        </row>
        <row r="7444">
          <cell r="A7444" t="str">
            <v>CIVLA</v>
          </cell>
          <cell r="J7444">
            <v>0</v>
          </cell>
        </row>
        <row r="7445">
          <cell r="A7445" t="str">
            <v>CIVLA</v>
          </cell>
          <cell r="J7445">
            <v>0</v>
          </cell>
        </row>
        <row r="7446">
          <cell r="A7446" t="str">
            <v>CIVLA</v>
          </cell>
          <cell r="J7446">
            <v>0</v>
          </cell>
        </row>
        <row r="7447">
          <cell r="A7447" t="str">
            <v>CIVLA</v>
          </cell>
          <cell r="J7447">
            <v>0</v>
          </cell>
        </row>
        <row r="7448">
          <cell r="A7448" t="str">
            <v>CIVLA</v>
          </cell>
          <cell r="J7448">
            <v>0</v>
          </cell>
        </row>
        <row r="7449">
          <cell r="A7449" t="str">
            <v>CIVLA</v>
          </cell>
          <cell r="J7449">
            <v>0</v>
          </cell>
        </row>
        <row r="7450">
          <cell r="A7450" t="str">
            <v>CIVLA</v>
          </cell>
          <cell r="J7450">
            <v>0</v>
          </cell>
        </row>
        <row r="7451">
          <cell r="A7451" t="str">
            <v>CIVLA</v>
          </cell>
          <cell r="J7451">
            <v>0</v>
          </cell>
        </row>
        <row r="7452">
          <cell r="A7452" t="str">
            <v>CIVLA</v>
          </cell>
          <cell r="J7452">
            <v>0</v>
          </cell>
        </row>
        <row r="7453">
          <cell r="A7453" t="str">
            <v>CIVLA</v>
          </cell>
          <cell r="J7453">
            <v>0</v>
          </cell>
        </row>
        <row r="7454">
          <cell r="A7454" t="str">
            <v>CIVLA</v>
          </cell>
          <cell r="J7454">
            <v>0</v>
          </cell>
        </row>
        <row r="7455">
          <cell r="A7455" t="str">
            <v>CIVLA</v>
          </cell>
          <cell r="J7455">
            <v>0</v>
          </cell>
        </row>
        <row r="7456">
          <cell r="A7456" t="str">
            <v>CIVLA</v>
          </cell>
          <cell r="J7456">
            <v>0</v>
          </cell>
        </row>
        <row r="7457">
          <cell r="A7457" t="str">
            <v>CIVLA</v>
          </cell>
          <cell r="J7457">
            <v>0</v>
          </cell>
        </row>
        <row r="7458">
          <cell r="A7458" t="str">
            <v>CIVLA</v>
          </cell>
          <cell r="J7458">
            <v>0</v>
          </cell>
        </row>
        <row r="7459">
          <cell r="A7459" t="str">
            <v>CIVLA</v>
          </cell>
          <cell r="J7459">
            <v>0</v>
          </cell>
        </row>
        <row r="7460">
          <cell r="A7460" t="str">
            <v>CIVLA</v>
          </cell>
          <cell r="J7460">
            <v>0</v>
          </cell>
        </row>
        <row r="7461">
          <cell r="A7461" t="str">
            <v>CIVLA</v>
          </cell>
          <cell r="J7461">
            <v>0</v>
          </cell>
        </row>
        <row r="7462">
          <cell r="A7462" t="str">
            <v>CIVLA</v>
          </cell>
          <cell r="J7462">
            <v>0</v>
          </cell>
        </row>
        <row r="7463">
          <cell r="A7463" t="str">
            <v>CIVLA</v>
          </cell>
          <cell r="J7463">
            <v>0</v>
          </cell>
        </row>
        <row r="7464">
          <cell r="A7464" t="str">
            <v>CIVLA</v>
          </cell>
          <cell r="J7464">
            <v>0</v>
          </cell>
        </row>
        <row r="7465">
          <cell r="A7465" t="str">
            <v>CIVLA</v>
          </cell>
          <cell r="J7465">
            <v>0</v>
          </cell>
        </row>
        <row r="7466">
          <cell r="A7466" t="str">
            <v>CIVLA</v>
          </cell>
          <cell r="J7466">
            <v>0</v>
          </cell>
        </row>
        <row r="7467">
          <cell r="A7467" t="str">
            <v>CIVLA</v>
          </cell>
          <cell r="J7467">
            <v>0</v>
          </cell>
        </row>
        <row r="7468">
          <cell r="A7468" t="str">
            <v>CIVLA</v>
          </cell>
          <cell r="J7468">
            <v>0</v>
          </cell>
        </row>
        <row r="7469">
          <cell r="A7469" t="str">
            <v>CIVLA</v>
          </cell>
          <cell r="J7469">
            <v>0</v>
          </cell>
        </row>
        <row r="7470">
          <cell r="A7470" t="str">
            <v>CIVLA</v>
          </cell>
          <cell r="J7470">
            <v>0</v>
          </cell>
        </row>
        <row r="7471">
          <cell r="A7471" t="str">
            <v>CIVLA</v>
          </cell>
          <cell r="J7471">
            <v>0</v>
          </cell>
        </row>
        <row r="7472">
          <cell r="A7472" t="str">
            <v>CIVLA</v>
          </cell>
          <cell r="J7472">
            <v>0</v>
          </cell>
        </row>
        <row r="7473">
          <cell r="A7473" t="str">
            <v>CIVLA</v>
          </cell>
          <cell r="J7473">
            <v>0</v>
          </cell>
        </row>
        <row r="7474">
          <cell r="A7474" t="str">
            <v>CIVLA</v>
          </cell>
          <cell r="J7474">
            <v>0</v>
          </cell>
        </row>
        <row r="7475">
          <cell r="A7475" t="str">
            <v>CIVLA</v>
          </cell>
          <cell r="J7475">
            <v>0</v>
          </cell>
        </row>
        <row r="7476">
          <cell r="A7476" t="str">
            <v>CIVLA</v>
          </cell>
          <cell r="J7476">
            <v>0</v>
          </cell>
        </row>
        <row r="7477">
          <cell r="A7477" t="str">
            <v>CIVLA</v>
          </cell>
          <cell r="J7477">
            <v>0</v>
          </cell>
        </row>
        <row r="7478">
          <cell r="A7478" t="str">
            <v>CIVLA</v>
          </cell>
          <cell r="J7478">
            <v>0</v>
          </cell>
        </row>
        <row r="7479">
          <cell r="A7479" t="str">
            <v>CIVLA</v>
          </cell>
          <cell r="J7479">
            <v>0</v>
          </cell>
        </row>
        <row r="7480">
          <cell r="A7480" t="str">
            <v>CIVLA</v>
          </cell>
          <cell r="J7480">
            <v>0</v>
          </cell>
        </row>
        <row r="7481">
          <cell r="A7481" t="str">
            <v>CIVLA</v>
          </cell>
          <cell r="J7481">
            <v>0</v>
          </cell>
        </row>
        <row r="7482">
          <cell r="A7482" t="str">
            <v>CIVLA</v>
          </cell>
          <cell r="J7482">
            <v>0</v>
          </cell>
        </row>
        <row r="7483">
          <cell r="A7483" t="str">
            <v>CIVLA</v>
          </cell>
          <cell r="J7483">
            <v>0</v>
          </cell>
        </row>
        <row r="7484">
          <cell r="A7484" t="str">
            <v>CIVLA</v>
          </cell>
          <cell r="J7484">
            <v>0</v>
          </cell>
        </row>
        <row r="7485">
          <cell r="A7485" t="str">
            <v>CIVLA</v>
          </cell>
          <cell r="J7485">
            <v>0</v>
          </cell>
        </row>
        <row r="7486">
          <cell r="A7486" t="str">
            <v>CIVLA</v>
          </cell>
          <cell r="J7486">
            <v>0</v>
          </cell>
        </row>
        <row r="7487">
          <cell r="A7487" t="str">
            <v>CIVLA</v>
          </cell>
          <cell r="J7487">
            <v>0</v>
          </cell>
        </row>
        <row r="7488">
          <cell r="A7488" t="str">
            <v>CIVLA</v>
          </cell>
          <cell r="J7488">
            <v>0</v>
          </cell>
        </row>
        <row r="7489">
          <cell r="A7489" t="str">
            <v>CIVLA</v>
          </cell>
          <cell r="J7489">
            <v>0</v>
          </cell>
        </row>
        <row r="7490">
          <cell r="A7490" t="str">
            <v>CIVLA</v>
          </cell>
          <cell r="J7490">
            <v>0</v>
          </cell>
        </row>
        <row r="7491">
          <cell r="A7491" t="str">
            <v>CIVLA</v>
          </cell>
          <cell r="J7491">
            <v>0</v>
          </cell>
        </row>
        <row r="7492">
          <cell r="A7492" t="str">
            <v>CIVLA</v>
          </cell>
          <cell r="J7492">
            <v>0</v>
          </cell>
        </row>
        <row r="7493">
          <cell r="A7493" t="str">
            <v>CIVLA</v>
          </cell>
          <cell r="J7493">
            <v>0</v>
          </cell>
        </row>
        <row r="7494">
          <cell r="A7494" t="str">
            <v>CIVLA</v>
          </cell>
          <cell r="J7494">
            <v>0</v>
          </cell>
        </row>
        <row r="7495">
          <cell r="A7495" t="str">
            <v>CIVLA</v>
          </cell>
          <cell r="J7495">
            <v>0</v>
          </cell>
        </row>
        <row r="7496">
          <cell r="A7496" t="str">
            <v>CIVLA</v>
          </cell>
          <cell r="J7496">
            <v>0</v>
          </cell>
        </row>
        <row r="7497">
          <cell r="A7497" t="str">
            <v>CIVLA</v>
          </cell>
          <cell r="J7497">
            <v>0</v>
          </cell>
        </row>
        <row r="7498">
          <cell r="A7498" t="str">
            <v>CIVLA</v>
          </cell>
          <cell r="J7498">
            <v>0</v>
          </cell>
        </row>
        <row r="7499">
          <cell r="A7499" t="str">
            <v>CIVLA</v>
          </cell>
          <cell r="J7499">
            <v>0</v>
          </cell>
        </row>
        <row r="7500">
          <cell r="A7500" t="str">
            <v>CIVLA</v>
          </cell>
          <cell r="J7500">
            <v>0</v>
          </cell>
        </row>
        <row r="7501">
          <cell r="A7501" t="str">
            <v>CIVLA</v>
          </cell>
          <cell r="J7501">
            <v>0</v>
          </cell>
        </row>
        <row r="7502">
          <cell r="A7502" t="str">
            <v>CIVLA</v>
          </cell>
          <cell r="J7502">
            <v>0</v>
          </cell>
        </row>
        <row r="7503">
          <cell r="A7503" t="str">
            <v>CIVLA</v>
          </cell>
          <cell r="J7503">
            <v>0</v>
          </cell>
        </row>
        <row r="7504">
          <cell r="A7504" t="str">
            <v>CIVLA</v>
          </cell>
          <cell r="J7504">
            <v>0</v>
          </cell>
        </row>
        <row r="7505">
          <cell r="A7505" t="str">
            <v>CIVLA</v>
          </cell>
          <cell r="J7505">
            <v>0</v>
          </cell>
        </row>
        <row r="7506">
          <cell r="A7506" t="str">
            <v>CIVLA</v>
          </cell>
          <cell r="J7506">
            <v>0</v>
          </cell>
        </row>
        <row r="7507">
          <cell r="A7507" t="str">
            <v>CIVLA</v>
          </cell>
          <cell r="J7507">
            <v>0</v>
          </cell>
        </row>
        <row r="7508">
          <cell r="A7508" t="str">
            <v>CIVLA</v>
          </cell>
          <cell r="J7508">
            <v>0</v>
          </cell>
        </row>
        <row r="7509">
          <cell r="A7509" t="str">
            <v>CIVLA</v>
          </cell>
          <cell r="J7509">
            <v>0</v>
          </cell>
        </row>
        <row r="7510">
          <cell r="A7510" t="str">
            <v>CIVLA</v>
          </cell>
          <cell r="J7510">
            <v>0</v>
          </cell>
        </row>
        <row r="7511">
          <cell r="A7511" t="str">
            <v>CIVLA</v>
          </cell>
          <cell r="J7511">
            <v>0</v>
          </cell>
        </row>
        <row r="7512">
          <cell r="A7512" t="str">
            <v>CIVLA</v>
          </cell>
          <cell r="J7512">
            <v>0</v>
          </cell>
        </row>
        <row r="7513">
          <cell r="A7513" t="str">
            <v>CIVLA</v>
          </cell>
          <cell r="J7513">
            <v>0</v>
          </cell>
        </row>
        <row r="7514">
          <cell r="A7514" t="str">
            <v>CIVLA</v>
          </cell>
          <cell r="J7514">
            <v>0</v>
          </cell>
        </row>
        <row r="7515">
          <cell r="A7515" t="str">
            <v>CIVLA</v>
          </cell>
          <cell r="J7515">
            <v>0</v>
          </cell>
        </row>
        <row r="7516">
          <cell r="A7516" t="str">
            <v>CIVLA</v>
          </cell>
          <cell r="J7516">
            <v>0</v>
          </cell>
        </row>
        <row r="7517">
          <cell r="A7517" t="str">
            <v>CIVLA</v>
          </cell>
          <cell r="J7517">
            <v>0</v>
          </cell>
        </row>
        <row r="7518">
          <cell r="A7518" t="str">
            <v>CIVLA</v>
          </cell>
          <cell r="J7518">
            <v>0</v>
          </cell>
        </row>
        <row r="7519">
          <cell r="A7519" t="str">
            <v>CIVLA</v>
          </cell>
          <cell r="J7519">
            <v>0</v>
          </cell>
        </row>
        <row r="7520">
          <cell r="A7520" t="str">
            <v>CIVLA</v>
          </cell>
          <cell r="J7520">
            <v>0</v>
          </cell>
        </row>
        <row r="7521">
          <cell r="A7521" t="str">
            <v>CIVLA</v>
          </cell>
          <cell r="J7521">
            <v>0</v>
          </cell>
        </row>
        <row r="7522">
          <cell r="A7522" t="str">
            <v>CIVLA</v>
          </cell>
          <cell r="J7522">
            <v>0</v>
          </cell>
        </row>
        <row r="7523">
          <cell r="A7523" t="str">
            <v>CIVLA</v>
          </cell>
          <cell r="J7523">
            <v>0</v>
          </cell>
        </row>
        <row r="7524">
          <cell r="A7524" t="str">
            <v>CIVLA</v>
          </cell>
          <cell r="J7524">
            <v>0</v>
          </cell>
        </row>
        <row r="7525">
          <cell r="A7525" t="str">
            <v>CIVLA</v>
          </cell>
          <cell r="J7525">
            <v>0</v>
          </cell>
        </row>
        <row r="7526">
          <cell r="A7526" t="str">
            <v>CIVLA</v>
          </cell>
          <cell r="J7526">
            <v>0</v>
          </cell>
        </row>
        <row r="7527">
          <cell r="A7527" t="str">
            <v>CIVLA</v>
          </cell>
          <cell r="J7527">
            <v>0</v>
          </cell>
        </row>
        <row r="7528">
          <cell r="A7528" t="str">
            <v>CIVLA</v>
          </cell>
          <cell r="J7528">
            <v>0</v>
          </cell>
        </row>
        <row r="7529">
          <cell r="A7529" t="str">
            <v>CIVLA</v>
          </cell>
          <cell r="J7529">
            <v>0</v>
          </cell>
        </row>
        <row r="7530">
          <cell r="A7530" t="str">
            <v>CIVLA</v>
          </cell>
          <cell r="J7530">
            <v>0</v>
          </cell>
        </row>
        <row r="7531">
          <cell r="A7531" t="str">
            <v>CIVLA</v>
          </cell>
          <cell r="J7531">
            <v>0</v>
          </cell>
        </row>
        <row r="7532">
          <cell r="A7532" t="str">
            <v>CIVLA</v>
          </cell>
          <cell r="J7532">
            <v>0</v>
          </cell>
        </row>
        <row r="7533">
          <cell r="A7533" t="str">
            <v>CIVLA</v>
          </cell>
          <cell r="J7533">
            <v>0</v>
          </cell>
        </row>
        <row r="7534">
          <cell r="A7534" t="str">
            <v>CIVLA</v>
          </cell>
          <cell r="J7534">
            <v>0</v>
          </cell>
        </row>
        <row r="7535">
          <cell r="A7535" t="str">
            <v>CIVLA</v>
          </cell>
          <cell r="J7535">
            <v>0</v>
          </cell>
        </row>
        <row r="7536">
          <cell r="A7536" t="str">
            <v>CIVLA</v>
          </cell>
          <cell r="J7536">
            <v>0</v>
          </cell>
        </row>
        <row r="7537">
          <cell r="A7537" t="str">
            <v>CIVLA</v>
          </cell>
          <cell r="J7537">
            <v>0</v>
          </cell>
        </row>
        <row r="7538">
          <cell r="A7538" t="str">
            <v>CIVLA</v>
          </cell>
          <cell r="J7538">
            <v>0</v>
          </cell>
        </row>
        <row r="7539">
          <cell r="A7539" t="str">
            <v>CIVLA</v>
          </cell>
          <cell r="J7539">
            <v>0</v>
          </cell>
        </row>
        <row r="7540">
          <cell r="A7540" t="str">
            <v>CIVLA</v>
          </cell>
          <cell r="J7540">
            <v>0</v>
          </cell>
        </row>
        <row r="7541">
          <cell r="A7541" t="str">
            <v>CIVLA</v>
          </cell>
          <cell r="J7541">
            <v>0</v>
          </cell>
        </row>
        <row r="7542">
          <cell r="A7542" t="str">
            <v>CIVLA</v>
          </cell>
          <cell r="J7542">
            <v>0</v>
          </cell>
        </row>
        <row r="7543">
          <cell r="A7543" t="str">
            <v>CIVLA</v>
          </cell>
          <cell r="J7543">
            <v>0</v>
          </cell>
        </row>
        <row r="7544">
          <cell r="A7544" t="str">
            <v>CIVLA</v>
          </cell>
          <cell r="J7544">
            <v>0</v>
          </cell>
        </row>
        <row r="7545">
          <cell r="A7545" t="str">
            <v>CIVLA</v>
          </cell>
          <cell r="J7545">
            <v>0</v>
          </cell>
        </row>
        <row r="7546">
          <cell r="A7546" t="str">
            <v>CIVLA</v>
          </cell>
          <cell r="J7546">
            <v>0</v>
          </cell>
        </row>
        <row r="7547">
          <cell r="A7547" t="str">
            <v>CIVLA</v>
          </cell>
          <cell r="J7547">
            <v>0</v>
          </cell>
        </row>
        <row r="7548">
          <cell r="A7548" t="str">
            <v>CIVLA</v>
          </cell>
          <cell r="J7548">
            <v>0</v>
          </cell>
        </row>
        <row r="7549">
          <cell r="A7549" t="str">
            <v>CIVLA</v>
          </cell>
          <cell r="J7549">
            <v>0</v>
          </cell>
        </row>
        <row r="7550">
          <cell r="A7550" t="str">
            <v>CIVLA</v>
          </cell>
          <cell r="J7550">
            <v>0</v>
          </cell>
        </row>
        <row r="7551">
          <cell r="A7551" t="str">
            <v>CIVLA</v>
          </cell>
          <cell r="J7551">
            <v>0</v>
          </cell>
        </row>
        <row r="7552">
          <cell r="A7552" t="str">
            <v>CIVLA</v>
          </cell>
          <cell r="J7552">
            <v>0</v>
          </cell>
        </row>
        <row r="7553">
          <cell r="A7553" t="str">
            <v>CIVLA</v>
          </cell>
          <cell r="J7553">
            <v>0</v>
          </cell>
        </row>
        <row r="7554">
          <cell r="A7554" t="str">
            <v>CIVLA</v>
          </cell>
          <cell r="J7554">
            <v>0</v>
          </cell>
        </row>
        <row r="7555">
          <cell r="A7555" t="str">
            <v>CIVLA</v>
          </cell>
          <cell r="J7555">
            <v>0</v>
          </cell>
        </row>
        <row r="7556">
          <cell r="A7556" t="str">
            <v>CIVLA</v>
          </cell>
          <cell r="J7556">
            <v>0</v>
          </cell>
        </row>
        <row r="7557">
          <cell r="A7557" t="str">
            <v>CIVLA</v>
          </cell>
          <cell r="J7557">
            <v>0</v>
          </cell>
        </row>
        <row r="7558">
          <cell r="A7558" t="str">
            <v>CIVLA</v>
          </cell>
          <cell r="J7558">
            <v>0</v>
          </cell>
        </row>
        <row r="7559">
          <cell r="A7559" t="str">
            <v>CIVLA</v>
          </cell>
          <cell r="J7559">
            <v>0</v>
          </cell>
        </row>
        <row r="7560">
          <cell r="A7560" t="str">
            <v>CIVLA</v>
          </cell>
          <cell r="J7560">
            <v>0</v>
          </cell>
        </row>
        <row r="7561">
          <cell r="A7561" t="str">
            <v>CIVLA</v>
          </cell>
          <cell r="J7561">
            <v>0</v>
          </cell>
        </row>
        <row r="7562">
          <cell r="A7562" t="str">
            <v>CIVLA</v>
          </cell>
          <cell r="J7562">
            <v>0</v>
          </cell>
        </row>
        <row r="7563">
          <cell r="A7563" t="str">
            <v>CIVLA</v>
          </cell>
          <cell r="J7563">
            <v>0</v>
          </cell>
        </row>
        <row r="7564">
          <cell r="A7564" t="str">
            <v>CIVLA</v>
          </cell>
          <cell r="J7564">
            <v>0</v>
          </cell>
        </row>
        <row r="7565">
          <cell r="A7565" t="str">
            <v>CIVLA</v>
          </cell>
          <cell r="J7565">
            <v>0</v>
          </cell>
        </row>
        <row r="7566">
          <cell r="A7566" t="str">
            <v>CIVLA</v>
          </cell>
          <cell r="J7566">
            <v>0</v>
          </cell>
        </row>
        <row r="7567">
          <cell r="A7567" t="str">
            <v>CIVLA</v>
          </cell>
          <cell r="J7567">
            <v>0</v>
          </cell>
        </row>
        <row r="7568">
          <cell r="A7568" t="str">
            <v>CIVLA</v>
          </cell>
          <cell r="J7568">
            <v>0</v>
          </cell>
        </row>
        <row r="7569">
          <cell r="A7569" t="str">
            <v>CIVLA</v>
          </cell>
          <cell r="J7569">
            <v>0</v>
          </cell>
        </row>
        <row r="7570">
          <cell r="A7570" t="str">
            <v>CIVLA</v>
          </cell>
          <cell r="J7570">
            <v>0</v>
          </cell>
        </row>
        <row r="7571">
          <cell r="A7571" t="str">
            <v>CIVLA</v>
          </cell>
          <cell r="J7571">
            <v>0</v>
          </cell>
        </row>
        <row r="7572">
          <cell r="A7572" t="str">
            <v>CIVLA</v>
          </cell>
          <cell r="J7572">
            <v>0</v>
          </cell>
        </row>
        <row r="7573">
          <cell r="A7573" t="str">
            <v>CIVLA</v>
          </cell>
          <cell r="J7573">
            <v>0</v>
          </cell>
        </row>
        <row r="7574">
          <cell r="A7574" t="str">
            <v>CIVLA</v>
          </cell>
          <cell r="J7574">
            <v>0</v>
          </cell>
        </row>
        <row r="7575">
          <cell r="A7575" t="str">
            <v>CIVLA</v>
          </cell>
          <cell r="J7575">
            <v>0</v>
          </cell>
        </row>
        <row r="7576">
          <cell r="A7576" t="str">
            <v>CIVLA</v>
          </cell>
          <cell r="J7576">
            <v>0</v>
          </cell>
        </row>
        <row r="7577">
          <cell r="A7577" t="str">
            <v>CIVLA</v>
          </cell>
          <cell r="J7577">
            <v>0</v>
          </cell>
        </row>
        <row r="7578">
          <cell r="A7578" t="str">
            <v>CIVLA</v>
          </cell>
          <cell r="J7578">
            <v>0</v>
          </cell>
        </row>
        <row r="7579">
          <cell r="A7579" t="str">
            <v>CIVLA</v>
          </cell>
          <cell r="J7579">
            <v>0</v>
          </cell>
        </row>
        <row r="7580">
          <cell r="A7580" t="str">
            <v>CIVLA</v>
          </cell>
          <cell r="J7580">
            <v>0</v>
          </cell>
        </row>
        <row r="7581">
          <cell r="A7581" t="str">
            <v>CIVLA</v>
          </cell>
          <cell r="J7581">
            <v>0</v>
          </cell>
        </row>
        <row r="7582">
          <cell r="A7582" t="str">
            <v>CIVLA</v>
          </cell>
          <cell r="J7582">
            <v>0</v>
          </cell>
        </row>
        <row r="7583">
          <cell r="A7583" t="str">
            <v>CIVLA</v>
          </cell>
          <cell r="J7583">
            <v>0</v>
          </cell>
        </row>
        <row r="7584">
          <cell r="A7584" t="str">
            <v>CIVLA</v>
          </cell>
          <cell r="J7584">
            <v>0</v>
          </cell>
        </row>
        <row r="7585">
          <cell r="A7585" t="str">
            <v>CIVLA</v>
          </cell>
          <cell r="J7585">
            <v>0</v>
          </cell>
        </row>
        <row r="7586">
          <cell r="A7586" t="str">
            <v>CIVLA</v>
          </cell>
          <cell r="J7586">
            <v>0</v>
          </cell>
        </row>
        <row r="7587">
          <cell r="A7587" t="str">
            <v>CIVLA</v>
          </cell>
          <cell r="J7587">
            <v>0</v>
          </cell>
        </row>
        <row r="7588">
          <cell r="A7588" t="str">
            <v>CIVLA</v>
          </cell>
          <cell r="J7588">
            <v>0</v>
          </cell>
        </row>
        <row r="7589">
          <cell r="A7589" t="str">
            <v>CIVLA</v>
          </cell>
          <cell r="J7589">
            <v>0</v>
          </cell>
        </row>
        <row r="7590">
          <cell r="A7590" t="str">
            <v>CIVLA</v>
          </cell>
          <cell r="J7590">
            <v>0</v>
          </cell>
        </row>
        <row r="7591">
          <cell r="A7591" t="str">
            <v>CIVLA</v>
          </cell>
          <cell r="J7591">
            <v>0</v>
          </cell>
        </row>
        <row r="7592">
          <cell r="A7592" t="str">
            <v>CIVLA</v>
          </cell>
          <cell r="J7592">
            <v>0</v>
          </cell>
        </row>
        <row r="7593">
          <cell r="A7593" t="str">
            <v>CIVLA</v>
          </cell>
          <cell r="J7593">
            <v>0</v>
          </cell>
        </row>
        <row r="7594">
          <cell r="A7594" t="str">
            <v>CIVLA</v>
          </cell>
          <cell r="J7594">
            <v>0</v>
          </cell>
        </row>
        <row r="7595">
          <cell r="A7595" t="str">
            <v>CIVLA</v>
          </cell>
          <cell r="J7595">
            <v>0</v>
          </cell>
        </row>
        <row r="7596">
          <cell r="A7596" t="str">
            <v>CIVLA</v>
          </cell>
          <cell r="J7596">
            <v>0</v>
          </cell>
        </row>
        <row r="7597">
          <cell r="A7597" t="str">
            <v>CIVLA</v>
          </cell>
          <cell r="J7597">
            <v>0</v>
          </cell>
        </row>
        <row r="7598">
          <cell r="A7598" t="str">
            <v>CIVLA</v>
          </cell>
          <cell r="J7598">
            <v>0</v>
          </cell>
        </row>
        <row r="7599">
          <cell r="A7599" t="str">
            <v>CIVLA</v>
          </cell>
          <cell r="J7599">
            <v>0</v>
          </cell>
        </row>
        <row r="7600">
          <cell r="A7600" t="str">
            <v>CIVLA</v>
          </cell>
          <cell r="J7600">
            <v>0</v>
          </cell>
        </row>
        <row r="7601">
          <cell r="A7601" t="str">
            <v>CIVLA</v>
          </cell>
          <cell r="J7601">
            <v>0</v>
          </cell>
        </row>
        <row r="7602">
          <cell r="A7602" t="str">
            <v>CIVLA</v>
          </cell>
          <cell r="J7602">
            <v>0</v>
          </cell>
        </row>
        <row r="7603">
          <cell r="A7603" t="str">
            <v>CIVLA</v>
          </cell>
          <cell r="J7603">
            <v>0</v>
          </cell>
        </row>
        <row r="7604">
          <cell r="A7604" t="str">
            <v>CIVLA</v>
          </cell>
          <cell r="J7604">
            <v>0</v>
          </cell>
        </row>
        <row r="7605">
          <cell r="A7605" t="str">
            <v>CIVLA</v>
          </cell>
          <cell r="J7605">
            <v>0</v>
          </cell>
        </row>
        <row r="7606">
          <cell r="A7606" t="str">
            <v>CIVLA</v>
          </cell>
          <cell r="J7606">
            <v>0</v>
          </cell>
        </row>
        <row r="7607">
          <cell r="A7607" t="str">
            <v>CIVLA</v>
          </cell>
          <cell r="J7607">
            <v>0</v>
          </cell>
        </row>
        <row r="7608">
          <cell r="A7608" t="str">
            <v>CIVLA</v>
          </cell>
          <cell r="J7608">
            <v>0</v>
          </cell>
        </row>
        <row r="7609">
          <cell r="A7609" t="str">
            <v>CIVLA</v>
          </cell>
          <cell r="J7609">
            <v>0</v>
          </cell>
        </row>
        <row r="7610">
          <cell r="A7610" t="str">
            <v>CIVLA</v>
          </cell>
          <cell r="J7610">
            <v>0</v>
          </cell>
        </row>
        <row r="7611">
          <cell r="A7611" t="str">
            <v>CIVLA</v>
          </cell>
          <cell r="J7611">
            <v>0</v>
          </cell>
        </row>
        <row r="7612">
          <cell r="A7612" t="str">
            <v>CIVLA</v>
          </cell>
          <cell r="J7612">
            <v>0</v>
          </cell>
        </row>
        <row r="7613">
          <cell r="A7613" t="str">
            <v>CIVLA</v>
          </cell>
          <cell r="J7613">
            <v>0</v>
          </cell>
        </row>
        <row r="7614">
          <cell r="A7614" t="str">
            <v>CIVLA</v>
          </cell>
          <cell r="J7614">
            <v>0</v>
          </cell>
        </row>
        <row r="7615">
          <cell r="A7615" t="str">
            <v>CIVLA</v>
          </cell>
          <cell r="J7615">
            <v>0</v>
          </cell>
        </row>
        <row r="7616">
          <cell r="A7616" t="str">
            <v>CIVLA</v>
          </cell>
          <cell r="J7616">
            <v>0</v>
          </cell>
        </row>
        <row r="7617">
          <cell r="A7617" t="str">
            <v>CIVLA</v>
          </cell>
          <cell r="J7617">
            <v>0</v>
          </cell>
        </row>
        <row r="7618">
          <cell r="A7618" t="str">
            <v>CIVLA</v>
          </cell>
          <cell r="J7618">
            <v>0</v>
          </cell>
        </row>
        <row r="7619">
          <cell r="A7619" t="str">
            <v>CIVLA</v>
          </cell>
          <cell r="J7619">
            <v>0</v>
          </cell>
        </row>
        <row r="7620">
          <cell r="A7620" t="str">
            <v>CIVLA</v>
          </cell>
          <cell r="J7620">
            <v>0</v>
          </cell>
        </row>
        <row r="7621">
          <cell r="A7621" t="str">
            <v>CIVLA</v>
          </cell>
          <cell r="J7621">
            <v>0</v>
          </cell>
        </row>
        <row r="7622">
          <cell r="A7622" t="str">
            <v>CIVLA</v>
          </cell>
          <cell r="J7622">
            <v>0</v>
          </cell>
        </row>
        <row r="7623">
          <cell r="A7623" t="str">
            <v>CIVLA</v>
          </cell>
          <cell r="J7623">
            <v>0</v>
          </cell>
        </row>
        <row r="7624">
          <cell r="A7624" t="str">
            <v>CIVLA</v>
          </cell>
          <cell r="J7624">
            <v>0</v>
          </cell>
        </row>
        <row r="7625">
          <cell r="A7625" t="str">
            <v>CIVLA</v>
          </cell>
          <cell r="J7625">
            <v>0</v>
          </cell>
        </row>
        <row r="7626">
          <cell r="A7626" t="str">
            <v>CIVLA</v>
          </cell>
          <cell r="J7626">
            <v>0</v>
          </cell>
        </row>
        <row r="7627">
          <cell r="A7627" t="str">
            <v>CIVLA</v>
          </cell>
          <cell r="J7627">
            <v>0</v>
          </cell>
        </row>
        <row r="7628">
          <cell r="A7628" t="str">
            <v>CIVLA</v>
          </cell>
          <cell r="J7628">
            <v>0</v>
          </cell>
        </row>
        <row r="7629">
          <cell r="A7629" t="str">
            <v>CIVLA</v>
          </cell>
          <cell r="J7629">
            <v>0</v>
          </cell>
        </row>
        <row r="7630">
          <cell r="A7630" t="str">
            <v>CIVLA</v>
          </cell>
          <cell r="J7630">
            <v>0</v>
          </cell>
        </row>
        <row r="7631">
          <cell r="A7631" t="str">
            <v>CIVLA</v>
          </cell>
          <cell r="J7631">
            <v>0</v>
          </cell>
        </row>
        <row r="7632">
          <cell r="A7632" t="str">
            <v>CIVLA</v>
          </cell>
          <cell r="J7632">
            <v>0</v>
          </cell>
        </row>
        <row r="7633">
          <cell r="A7633" t="str">
            <v>CIVLA</v>
          </cell>
          <cell r="J7633">
            <v>0</v>
          </cell>
        </row>
        <row r="7634">
          <cell r="A7634" t="str">
            <v>CIVLA</v>
          </cell>
          <cell r="J7634">
            <v>0</v>
          </cell>
        </row>
        <row r="7635">
          <cell r="A7635" t="str">
            <v>CIVLA</v>
          </cell>
          <cell r="J7635">
            <v>0</v>
          </cell>
        </row>
        <row r="7636">
          <cell r="A7636" t="str">
            <v>CIVLA</v>
          </cell>
          <cell r="J7636">
            <v>0</v>
          </cell>
        </row>
        <row r="7637">
          <cell r="A7637" t="str">
            <v>CIVLA</v>
          </cell>
          <cell r="J7637">
            <v>0</v>
          </cell>
        </row>
        <row r="7638">
          <cell r="A7638" t="str">
            <v>CIVLA</v>
          </cell>
          <cell r="J7638">
            <v>0</v>
          </cell>
        </row>
        <row r="7639">
          <cell r="A7639" t="str">
            <v>CIVLA</v>
          </cell>
          <cell r="J7639">
            <v>0</v>
          </cell>
        </row>
        <row r="7640">
          <cell r="A7640" t="str">
            <v>CIVLA</v>
          </cell>
          <cell r="J7640">
            <v>0</v>
          </cell>
        </row>
        <row r="7641">
          <cell r="A7641" t="str">
            <v>CIVLA</v>
          </cell>
          <cell r="J7641">
            <v>0</v>
          </cell>
        </row>
        <row r="7642">
          <cell r="A7642" t="str">
            <v>CIVLA</v>
          </cell>
          <cell r="J7642">
            <v>0</v>
          </cell>
        </row>
        <row r="7643">
          <cell r="A7643" t="str">
            <v>CIVLA</v>
          </cell>
          <cell r="J7643">
            <v>0</v>
          </cell>
        </row>
        <row r="7644">
          <cell r="A7644" t="str">
            <v>CIVLA</v>
          </cell>
          <cell r="J7644">
            <v>0</v>
          </cell>
        </row>
        <row r="7645">
          <cell r="A7645" t="str">
            <v>CIVLA</v>
          </cell>
          <cell r="J7645">
            <v>0</v>
          </cell>
        </row>
        <row r="7646">
          <cell r="A7646" t="str">
            <v>CIVLA</v>
          </cell>
          <cell r="J7646">
            <v>0</v>
          </cell>
        </row>
        <row r="7647">
          <cell r="A7647" t="str">
            <v>CIVLA</v>
          </cell>
          <cell r="J7647">
            <v>0</v>
          </cell>
        </row>
        <row r="7648">
          <cell r="A7648" t="str">
            <v>CIVLA</v>
          </cell>
          <cell r="J7648">
            <v>0</v>
          </cell>
        </row>
        <row r="7649">
          <cell r="A7649" t="str">
            <v>CIVLA</v>
          </cell>
          <cell r="J7649">
            <v>0</v>
          </cell>
        </row>
        <row r="7650">
          <cell r="A7650" t="str">
            <v>CIVLA</v>
          </cell>
          <cell r="J7650">
            <v>0</v>
          </cell>
        </row>
        <row r="7651">
          <cell r="A7651" t="str">
            <v>CIVLA</v>
          </cell>
          <cell r="J7651">
            <v>0</v>
          </cell>
        </row>
        <row r="7652">
          <cell r="A7652" t="str">
            <v>CIVLA</v>
          </cell>
          <cell r="J7652">
            <v>0</v>
          </cell>
        </row>
        <row r="7653">
          <cell r="A7653" t="str">
            <v>CIVLA</v>
          </cell>
          <cell r="J7653">
            <v>0</v>
          </cell>
        </row>
        <row r="7654">
          <cell r="A7654" t="str">
            <v>CIVLA</v>
          </cell>
          <cell r="J7654">
            <v>0</v>
          </cell>
        </row>
        <row r="7655">
          <cell r="A7655" t="str">
            <v>CIVLA</v>
          </cell>
          <cell r="J7655">
            <v>0</v>
          </cell>
        </row>
        <row r="7656">
          <cell r="A7656" t="str">
            <v>CIVLA</v>
          </cell>
          <cell r="J7656">
            <v>0</v>
          </cell>
        </row>
        <row r="7657">
          <cell r="A7657" t="str">
            <v>CIVLA</v>
          </cell>
          <cell r="J7657">
            <v>0</v>
          </cell>
        </row>
        <row r="7658">
          <cell r="A7658" t="str">
            <v>CIVLA</v>
          </cell>
          <cell r="J7658">
            <v>0</v>
          </cell>
        </row>
        <row r="7659">
          <cell r="A7659" t="str">
            <v>CIVLA</v>
          </cell>
          <cell r="J7659">
            <v>0</v>
          </cell>
        </row>
        <row r="7660">
          <cell r="A7660" t="str">
            <v>CIVLA</v>
          </cell>
          <cell r="J7660">
            <v>0</v>
          </cell>
        </row>
        <row r="7661">
          <cell r="A7661" t="str">
            <v>CIVLA</v>
          </cell>
          <cell r="J7661">
            <v>0</v>
          </cell>
        </row>
        <row r="7662">
          <cell r="A7662" t="str">
            <v>CIVLA</v>
          </cell>
          <cell r="J7662">
            <v>0</v>
          </cell>
        </row>
        <row r="7663">
          <cell r="A7663" t="str">
            <v>CIVLA</v>
          </cell>
          <cell r="J7663">
            <v>0</v>
          </cell>
        </row>
        <row r="7664">
          <cell r="A7664" t="str">
            <v>CIVLA</v>
          </cell>
          <cell r="J7664">
            <v>0</v>
          </cell>
        </row>
        <row r="7665">
          <cell r="A7665" t="str">
            <v>CIVLA</v>
          </cell>
          <cell r="J7665">
            <v>0</v>
          </cell>
        </row>
        <row r="7666">
          <cell r="A7666" t="str">
            <v>CIVLA</v>
          </cell>
          <cell r="J7666">
            <v>0</v>
          </cell>
        </row>
        <row r="7667">
          <cell r="A7667" t="str">
            <v>CIVLA</v>
          </cell>
          <cell r="J7667">
            <v>0</v>
          </cell>
        </row>
        <row r="7668">
          <cell r="A7668" t="str">
            <v>CIVLA</v>
          </cell>
          <cell r="J7668">
            <v>0</v>
          </cell>
        </row>
        <row r="7669">
          <cell r="A7669" t="str">
            <v>CIVLA</v>
          </cell>
          <cell r="J7669">
            <v>0</v>
          </cell>
        </row>
        <row r="7670">
          <cell r="A7670" t="str">
            <v>CIVLA</v>
          </cell>
          <cell r="J7670">
            <v>0</v>
          </cell>
        </row>
        <row r="7671">
          <cell r="A7671" t="str">
            <v>CIVLA</v>
          </cell>
          <cell r="J7671">
            <v>0</v>
          </cell>
        </row>
        <row r="7672">
          <cell r="A7672" t="str">
            <v>CIVLA</v>
          </cell>
          <cell r="J7672">
            <v>0</v>
          </cell>
        </row>
        <row r="7673">
          <cell r="A7673" t="str">
            <v>CIVLA</v>
          </cell>
          <cell r="J7673">
            <v>0</v>
          </cell>
        </row>
        <row r="7674">
          <cell r="A7674" t="str">
            <v>CIVLA</v>
          </cell>
          <cell r="J7674">
            <v>0</v>
          </cell>
        </row>
        <row r="7675">
          <cell r="A7675" t="str">
            <v>CIVLA</v>
          </cell>
          <cell r="J7675">
            <v>0</v>
          </cell>
        </row>
        <row r="7676">
          <cell r="A7676" t="str">
            <v>CIVLA</v>
          </cell>
          <cell r="J7676">
            <v>0</v>
          </cell>
        </row>
        <row r="7677">
          <cell r="A7677" t="str">
            <v>CIVLA</v>
          </cell>
          <cell r="J7677">
            <v>0</v>
          </cell>
        </row>
        <row r="7678">
          <cell r="A7678" t="str">
            <v>CIVLA</v>
          </cell>
          <cell r="J7678">
            <v>0</v>
          </cell>
        </row>
        <row r="7679">
          <cell r="A7679" t="str">
            <v>CIVLA</v>
          </cell>
          <cell r="J7679">
            <v>0</v>
          </cell>
        </row>
        <row r="7680">
          <cell r="A7680" t="str">
            <v>CIVLA</v>
          </cell>
          <cell r="J7680">
            <v>0</v>
          </cell>
        </row>
        <row r="7681">
          <cell r="A7681" t="str">
            <v>CIVLA</v>
          </cell>
          <cell r="J7681">
            <v>0</v>
          </cell>
        </row>
        <row r="7682">
          <cell r="A7682" t="str">
            <v>CIVLA</v>
          </cell>
          <cell r="J7682">
            <v>0</v>
          </cell>
        </row>
        <row r="7683">
          <cell r="A7683" t="str">
            <v>CIVLA</v>
          </cell>
          <cell r="J7683">
            <v>0</v>
          </cell>
        </row>
        <row r="7684">
          <cell r="A7684" t="str">
            <v>CIVLA</v>
          </cell>
          <cell r="J7684">
            <v>0</v>
          </cell>
        </row>
        <row r="7685">
          <cell r="A7685" t="str">
            <v>CIVLA</v>
          </cell>
          <cell r="J7685">
            <v>0</v>
          </cell>
        </row>
        <row r="7686">
          <cell r="A7686" t="str">
            <v>CIVLA</v>
          </cell>
          <cell r="J7686">
            <v>0</v>
          </cell>
        </row>
        <row r="7687">
          <cell r="A7687" t="str">
            <v>CIVLA</v>
          </cell>
          <cell r="J7687">
            <v>0</v>
          </cell>
        </row>
        <row r="7688">
          <cell r="A7688" t="str">
            <v>CIVLA</v>
          </cell>
          <cell r="J7688">
            <v>0</v>
          </cell>
        </row>
        <row r="7689">
          <cell r="A7689" t="str">
            <v>CIVLA</v>
          </cell>
          <cell r="J7689">
            <v>0</v>
          </cell>
        </row>
        <row r="7690">
          <cell r="A7690" t="str">
            <v>CIVLA</v>
          </cell>
          <cell r="J7690">
            <v>0</v>
          </cell>
        </row>
        <row r="7691">
          <cell r="A7691" t="str">
            <v>CIVLA</v>
          </cell>
          <cell r="J7691">
            <v>0</v>
          </cell>
        </row>
        <row r="7692">
          <cell r="A7692" t="str">
            <v>CIVLA</v>
          </cell>
          <cell r="J7692">
            <v>0</v>
          </cell>
        </row>
        <row r="7693">
          <cell r="A7693" t="str">
            <v>CIVLA</v>
          </cell>
          <cell r="J7693">
            <v>0</v>
          </cell>
        </row>
        <row r="7694">
          <cell r="A7694" t="str">
            <v>CIVLA</v>
          </cell>
          <cell r="J7694">
            <v>0</v>
          </cell>
        </row>
        <row r="7695">
          <cell r="A7695" t="str">
            <v>CIVLA</v>
          </cell>
          <cell r="J7695">
            <v>0</v>
          </cell>
        </row>
        <row r="7696">
          <cell r="A7696" t="str">
            <v>CIVLA</v>
          </cell>
          <cell r="J7696">
            <v>0</v>
          </cell>
        </row>
        <row r="7697">
          <cell r="A7697" t="str">
            <v>CIVLA</v>
          </cell>
          <cell r="J7697">
            <v>0</v>
          </cell>
        </row>
        <row r="7698">
          <cell r="A7698" t="str">
            <v>CIVLA</v>
          </cell>
          <cell r="J7698">
            <v>0</v>
          </cell>
        </row>
        <row r="7699">
          <cell r="A7699" t="str">
            <v>CIVLA</v>
          </cell>
          <cell r="J7699">
            <v>0</v>
          </cell>
        </row>
        <row r="7700">
          <cell r="A7700" t="str">
            <v>CIVLA</v>
          </cell>
          <cell r="J7700">
            <v>0</v>
          </cell>
        </row>
        <row r="7701">
          <cell r="A7701" t="str">
            <v>CIVLA</v>
          </cell>
          <cell r="J7701">
            <v>0</v>
          </cell>
        </row>
        <row r="7702">
          <cell r="A7702" t="str">
            <v>CIVLA</v>
          </cell>
          <cell r="J7702">
            <v>0</v>
          </cell>
        </row>
        <row r="7703">
          <cell r="A7703" t="str">
            <v>CIVLA</v>
          </cell>
          <cell r="J7703">
            <v>0</v>
          </cell>
        </row>
        <row r="7704">
          <cell r="A7704" t="str">
            <v>CIVLA</v>
          </cell>
          <cell r="J7704">
            <v>0</v>
          </cell>
        </row>
        <row r="7705">
          <cell r="A7705" t="str">
            <v>CIVLA</v>
          </cell>
          <cell r="J7705">
            <v>0</v>
          </cell>
        </row>
        <row r="7706">
          <cell r="A7706" t="str">
            <v>CIVLA</v>
          </cell>
          <cell r="J7706">
            <v>0</v>
          </cell>
        </row>
        <row r="7707">
          <cell r="A7707" t="str">
            <v>CIVLA</v>
          </cell>
          <cell r="J7707">
            <v>0</v>
          </cell>
        </row>
        <row r="7708">
          <cell r="A7708" t="str">
            <v>CIVLA</v>
          </cell>
          <cell r="J7708">
            <v>0</v>
          </cell>
        </row>
        <row r="7709">
          <cell r="A7709" t="str">
            <v>CIVLA</v>
          </cell>
          <cell r="J7709">
            <v>0</v>
          </cell>
        </row>
        <row r="7710">
          <cell r="A7710" t="str">
            <v>CIVLA</v>
          </cell>
          <cell r="J7710">
            <v>0</v>
          </cell>
        </row>
        <row r="7711">
          <cell r="A7711" t="str">
            <v>CIVLA</v>
          </cell>
          <cell r="J7711">
            <v>0</v>
          </cell>
        </row>
        <row r="7712">
          <cell r="A7712" t="str">
            <v>CIVLA</v>
          </cell>
          <cell r="J7712">
            <v>0</v>
          </cell>
        </row>
        <row r="7713">
          <cell r="A7713" t="str">
            <v>CIVLA</v>
          </cell>
          <cell r="J7713">
            <v>0</v>
          </cell>
        </row>
        <row r="7714">
          <cell r="A7714" t="str">
            <v>CIVLA</v>
          </cell>
          <cell r="J7714">
            <v>0</v>
          </cell>
        </row>
        <row r="7715">
          <cell r="A7715" t="str">
            <v>CIVLA</v>
          </cell>
          <cell r="J7715">
            <v>0</v>
          </cell>
        </row>
        <row r="7716">
          <cell r="A7716" t="str">
            <v>CIVLA</v>
          </cell>
          <cell r="J7716">
            <v>0</v>
          </cell>
        </row>
        <row r="7717">
          <cell r="A7717" t="str">
            <v>CIVLA</v>
          </cell>
          <cell r="J7717">
            <v>0</v>
          </cell>
        </row>
        <row r="7718">
          <cell r="A7718" t="str">
            <v>CIVLA</v>
          </cell>
          <cell r="J7718">
            <v>0</v>
          </cell>
        </row>
        <row r="7719">
          <cell r="A7719" t="str">
            <v>CIVLA</v>
          </cell>
          <cell r="J7719">
            <v>0</v>
          </cell>
        </row>
        <row r="7720">
          <cell r="A7720" t="str">
            <v>CIVLA</v>
          </cell>
          <cell r="J7720">
            <v>0</v>
          </cell>
        </row>
        <row r="7721">
          <cell r="A7721" t="str">
            <v>CIVLA</v>
          </cell>
          <cell r="J7721">
            <v>0</v>
          </cell>
        </row>
        <row r="7722">
          <cell r="A7722" t="str">
            <v>CIVLA</v>
          </cell>
          <cell r="J7722">
            <v>0</v>
          </cell>
        </row>
        <row r="7723">
          <cell r="A7723" t="str">
            <v>CIVLA</v>
          </cell>
          <cell r="J7723">
            <v>0</v>
          </cell>
        </row>
        <row r="7724">
          <cell r="A7724" t="str">
            <v>CIVLA</v>
          </cell>
          <cell r="J7724">
            <v>0</v>
          </cell>
        </row>
        <row r="7725">
          <cell r="A7725" t="str">
            <v>CIVLA</v>
          </cell>
          <cell r="J7725">
            <v>0</v>
          </cell>
        </row>
        <row r="7726">
          <cell r="A7726" t="str">
            <v>CIVLA</v>
          </cell>
          <cell r="J7726">
            <v>0</v>
          </cell>
        </row>
        <row r="7727">
          <cell r="A7727" t="str">
            <v>CIVLA</v>
          </cell>
          <cell r="J7727">
            <v>0</v>
          </cell>
        </row>
        <row r="7728">
          <cell r="A7728" t="str">
            <v>CIVLA</v>
          </cell>
          <cell r="J7728">
            <v>0</v>
          </cell>
        </row>
        <row r="7729">
          <cell r="A7729" t="str">
            <v>CIVLA</v>
          </cell>
          <cell r="J7729">
            <v>0</v>
          </cell>
        </row>
        <row r="7730">
          <cell r="A7730" t="str">
            <v>CIVLA</v>
          </cell>
          <cell r="J7730">
            <v>0</v>
          </cell>
        </row>
        <row r="7731">
          <cell r="A7731" t="str">
            <v>CIVLA</v>
          </cell>
          <cell r="J7731">
            <v>0</v>
          </cell>
        </row>
        <row r="7732">
          <cell r="A7732" t="str">
            <v>CIVLA</v>
          </cell>
          <cell r="J7732">
            <v>0</v>
          </cell>
        </row>
        <row r="7733">
          <cell r="A7733" t="str">
            <v>CIVLA</v>
          </cell>
          <cell r="J7733">
            <v>0</v>
          </cell>
        </row>
        <row r="7734">
          <cell r="A7734" t="str">
            <v>CIVLA</v>
          </cell>
          <cell r="J7734">
            <v>0</v>
          </cell>
        </row>
        <row r="7735">
          <cell r="A7735" t="str">
            <v>CIVLA</v>
          </cell>
          <cell r="J7735">
            <v>0</v>
          </cell>
        </row>
        <row r="7736">
          <cell r="A7736" t="str">
            <v>CIVLA</v>
          </cell>
          <cell r="J7736">
            <v>0</v>
          </cell>
        </row>
        <row r="7737">
          <cell r="A7737" t="str">
            <v>CIVLA</v>
          </cell>
          <cell r="J7737">
            <v>0</v>
          </cell>
        </row>
        <row r="7738">
          <cell r="A7738" t="str">
            <v>CIVLA</v>
          </cell>
          <cell r="J7738">
            <v>0</v>
          </cell>
        </row>
        <row r="7739">
          <cell r="A7739" t="str">
            <v>CIVLA</v>
          </cell>
          <cell r="J7739">
            <v>0</v>
          </cell>
        </row>
        <row r="7740">
          <cell r="A7740" t="str">
            <v>CIVLA</v>
          </cell>
          <cell r="J7740">
            <v>0</v>
          </cell>
        </row>
        <row r="7741">
          <cell r="A7741" t="str">
            <v>CIVLA</v>
          </cell>
          <cell r="J7741">
            <v>0</v>
          </cell>
        </row>
        <row r="7742">
          <cell r="A7742" t="str">
            <v>CIVLA</v>
          </cell>
          <cell r="J7742">
            <v>0</v>
          </cell>
        </row>
        <row r="7743">
          <cell r="A7743" t="str">
            <v>CIVLA</v>
          </cell>
          <cell r="J7743">
            <v>0</v>
          </cell>
        </row>
        <row r="7744">
          <cell r="A7744" t="str">
            <v>CIVLA</v>
          </cell>
          <cell r="J7744">
            <v>0</v>
          </cell>
        </row>
        <row r="7745">
          <cell r="A7745" t="str">
            <v>CIVLA</v>
          </cell>
          <cell r="J7745">
            <v>0</v>
          </cell>
        </row>
        <row r="7746">
          <cell r="A7746" t="str">
            <v>CIVLA</v>
          </cell>
          <cell r="J7746">
            <v>0</v>
          </cell>
        </row>
        <row r="7747">
          <cell r="A7747" t="str">
            <v>CIVLA</v>
          </cell>
          <cell r="J7747">
            <v>0</v>
          </cell>
        </row>
        <row r="7748">
          <cell r="A7748" t="str">
            <v>CIVLA</v>
          </cell>
          <cell r="J7748">
            <v>0</v>
          </cell>
        </row>
        <row r="7749">
          <cell r="A7749" t="str">
            <v>CIVLA</v>
          </cell>
          <cell r="J7749">
            <v>0</v>
          </cell>
        </row>
        <row r="7750">
          <cell r="A7750" t="str">
            <v>CIVLA</v>
          </cell>
          <cell r="J7750">
            <v>0</v>
          </cell>
        </row>
        <row r="7751">
          <cell r="A7751" t="str">
            <v>CIVLA</v>
          </cell>
          <cell r="J7751">
            <v>0</v>
          </cell>
        </row>
        <row r="7752">
          <cell r="A7752" t="str">
            <v>CIVLA</v>
          </cell>
          <cell r="J7752">
            <v>0</v>
          </cell>
        </row>
        <row r="7753">
          <cell r="A7753" t="str">
            <v>CIVLA</v>
          </cell>
          <cell r="J7753">
            <v>0</v>
          </cell>
        </row>
        <row r="7754">
          <cell r="A7754" t="str">
            <v>CIVLA</v>
          </cell>
          <cell r="J7754">
            <v>0</v>
          </cell>
        </row>
        <row r="7755">
          <cell r="A7755" t="str">
            <v>CIVLA</v>
          </cell>
          <cell r="J7755">
            <v>0</v>
          </cell>
        </row>
        <row r="7756">
          <cell r="A7756" t="str">
            <v>CIVLA</v>
          </cell>
          <cell r="J7756">
            <v>0</v>
          </cell>
        </row>
        <row r="7757">
          <cell r="A7757" t="str">
            <v>CIVLA</v>
          </cell>
          <cell r="J7757">
            <v>0</v>
          </cell>
        </row>
        <row r="7758">
          <cell r="A7758" t="str">
            <v>CIVLA</v>
          </cell>
          <cell r="J7758">
            <v>0</v>
          </cell>
        </row>
        <row r="7759">
          <cell r="A7759" t="str">
            <v>CIVLA</v>
          </cell>
          <cell r="J7759">
            <v>0</v>
          </cell>
        </row>
        <row r="7760">
          <cell r="A7760" t="str">
            <v>CIVLA</v>
          </cell>
          <cell r="J7760">
            <v>0</v>
          </cell>
        </row>
        <row r="7761">
          <cell r="A7761" t="str">
            <v>CIVLA</v>
          </cell>
          <cell r="J7761">
            <v>0</v>
          </cell>
        </row>
        <row r="7762">
          <cell r="A7762" t="str">
            <v>CIVLA</v>
          </cell>
          <cell r="J7762">
            <v>0</v>
          </cell>
        </row>
        <row r="7763">
          <cell r="A7763" t="str">
            <v>CIVLA</v>
          </cell>
          <cell r="J7763">
            <v>0</v>
          </cell>
        </row>
        <row r="7764">
          <cell r="A7764" t="str">
            <v>CIVLA</v>
          </cell>
          <cell r="J7764">
            <v>0</v>
          </cell>
        </row>
        <row r="7765">
          <cell r="A7765" t="str">
            <v>CIVLA</v>
          </cell>
          <cell r="J7765">
            <v>0</v>
          </cell>
        </row>
        <row r="7766">
          <cell r="A7766" t="str">
            <v>CIVLA</v>
          </cell>
          <cell r="J7766">
            <v>0</v>
          </cell>
        </row>
        <row r="7767">
          <cell r="A7767" t="str">
            <v>CIVLA</v>
          </cell>
          <cell r="J7767">
            <v>0</v>
          </cell>
        </row>
        <row r="7768">
          <cell r="A7768" t="str">
            <v>CIVLA</v>
          </cell>
          <cell r="J7768">
            <v>0</v>
          </cell>
        </row>
        <row r="7769">
          <cell r="A7769" t="str">
            <v>CIVLA</v>
          </cell>
          <cell r="J7769">
            <v>0</v>
          </cell>
        </row>
        <row r="7770">
          <cell r="A7770" t="str">
            <v>CIVLA</v>
          </cell>
          <cell r="J7770">
            <v>0</v>
          </cell>
        </row>
        <row r="7771">
          <cell r="A7771" t="str">
            <v>CIVLA</v>
          </cell>
          <cell r="J7771">
            <v>0</v>
          </cell>
        </row>
        <row r="7772">
          <cell r="A7772" t="str">
            <v>CIVLA</v>
          </cell>
          <cell r="J7772">
            <v>0</v>
          </cell>
        </row>
        <row r="7773">
          <cell r="A7773" t="str">
            <v>CIVLA</v>
          </cell>
          <cell r="J7773">
            <v>0</v>
          </cell>
        </row>
        <row r="7774">
          <cell r="A7774" t="str">
            <v>CIVLA</v>
          </cell>
          <cell r="J7774">
            <v>0</v>
          </cell>
        </row>
        <row r="7775">
          <cell r="A7775" t="str">
            <v>CIVLA</v>
          </cell>
          <cell r="J7775">
            <v>0</v>
          </cell>
        </row>
        <row r="7776">
          <cell r="A7776" t="str">
            <v>CIVLA</v>
          </cell>
          <cell r="J7776">
            <v>0</v>
          </cell>
        </row>
        <row r="7777">
          <cell r="A7777" t="str">
            <v>CIVLA</v>
          </cell>
          <cell r="J7777">
            <v>0</v>
          </cell>
        </row>
        <row r="7778">
          <cell r="A7778" t="str">
            <v>CIVLA</v>
          </cell>
          <cell r="J7778">
            <v>0</v>
          </cell>
        </row>
        <row r="7779">
          <cell r="A7779" t="str">
            <v>CIVLA</v>
          </cell>
          <cell r="J7779">
            <v>0</v>
          </cell>
        </row>
        <row r="7780">
          <cell r="A7780" t="str">
            <v>CIVLA</v>
          </cell>
          <cell r="J7780">
            <v>0</v>
          </cell>
        </row>
        <row r="7781">
          <cell r="A7781" t="str">
            <v>CIVLA</v>
          </cell>
          <cell r="J7781">
            <v>0</v>
          </cell>
        </row>
        <row r="7782">
          <cell r="A7782" t="str">
            <v>CIVLA</v>
          </cell>
          <cell r="J7782">
            <v>0</v>
          </cell>
        </row>
        <row r="7783">
          <cell r="A7783" t="str">
            <v>CIVLA</v>
          </cell>
          <cell r="J7783">
            <v>0</v>
          </cell>
        </row>
        <row r="7784">
          <cell r="A7784" t="str">
            <v>CIVLA</v>
          </cell>
          <cell r="J7784">
            <v>0</v>
          </cell>
        </row>
        <row r="7785">
          <cell r="A7785" t="str">
            <v>CIVLA</v>
          </cell>
          <cell r="J7785">
            <v>0</v>
          </cell>
        </row>
        <row r="7786">
          <cell r="A7786" t="str">
            <v>CIVLA</v>
          </cell>
          <cell r="J7786">
            <v>0</v>
          </cell>
        </row>
        <row r="7787">
          <cell r="A7787" t="str">
            <v>CIVLA</v>
          </cell>
          <cell r="J7787">
            <v>0</v>
          </cell>
        </row>
        <row r="7788">
          <cell r="A7788" t="str">
            <v>CIVLA</v>
          </cell>
          <cell r="J7788">
            <v>0</v>
          </cell>
        </row>
        <row r="7789">
          <cell r="A7789" t="str">
            <v>CIVLA</v>
          </cell>
          <cell r="J7789">
            <v>0</v>
          </cell>
        </row>
        <row r="7790">
          <cell r="A7790" t="str">
            <v>CIVLA</v>
          </cell>
          <cell r="J7790">
            <v>0</v>
          </cell>
        </row>
        <row r="7791">
          <cell r="A7791" t="str">
            <v>CIVLA</v>
          </cell>
          <cell r="J7791">
            <v>0</v>
          </cell>
        </row>
        <row r="7792">
          <cell r="A7792" t="str">
            <v>CIVLA</v>
          </cell>
          <cell r="J7792">
            <v>0</v>
          </cell>
        </row>
        <row r="7793">
          <cell r="A7793" t="str">
            <v>CIVLA</v>
          </cell>
          <cell r="J7793">
            <v>0</v>
          </cell>
        </row>
        <row r="7794">
          <cell r="A7794" t="str">
            <v>CIVLA</v>
          </cell>
          <cell r="J7794">
            <v>0</v>
          </cell>
        </row>
        <row r="7795">
          <cell r="A7795" t="str">
            <v>CIVLA</v>
          </cell>
          <cell r="J7795">
            <v>0</v>
          </cell>
        </row>
        <row r="7796">
          <cell r="A7796" t="str">
            <v>CIVLA</v>
          </cell>
          <cell r="J7796">
            <v>0</v>
          </cell>
        </row>
        <row r="7797">
          <cell r="A7797" t="str">
            <v>CIVLA</v>
          </cell>
          <cell r="J7797">
            <v>0</v>
          </cell>
        </row>
        <row r="7798">
          <cell r="A7798" t="str">
            <v>CIVLA</v>
          </cell>
          <cell r="J7798">
            <v>0</v>
          </cell>
        </row>
        <row r="7799">
          <cell r="A7799" t="str">
            <v>CIVLA</v>
          </cell>
          <cell r="J7799">
            <v>0</v>
          </cell>
        </row>
        <row r="7800">
          <cell r="A7800" t="str">
            <v>CIVLA</v>
          </cell>
          <cell r="J7800">
            <v>0</v>
          </cell>
        </row>
        <row r="7801">
          <cell r="A7801" t="str">
            <v>CIVLA</v>
          </cell>
          <cell r="J7801">
            <v>0</v>
          </cell>
        </row>
        <row r="7802">
          <cell r="A7802" t="str">
            <v>CIVLA</v>
          </cell>
          <cell r="J7802">
            <v>0</v>
          </cell>
        </row>
        <row r="7803">
          <cell r="A7803" t="str">
            <v>CIVLA</v>
          </cell>
          <cell r="J7803">
            <v>0</v>
          </cell>
        </row>
        <row r="7804">
          <cell r="A7804" t="str">
            <v>CIVLA</v>
          </cell>
          <cell r="J7804">
            <v>0</v>
          </cell>
        </row>
        <row r="7805">
          <cell r="A7805" t="str">
            <v>CIVLA</v>
          </cell>
          <cell r="J7805">
            <v>0</v>
          </cell>
        </row>
        <row r="7806">
          <cell r="A7806" t="str">
            <v>CIVLA</v>
          </cell>
          <cell r="J7806">
            <v>0</v>
          </cell>
        </row>
        <row r="7807">
          <cell r="A7807" t="str">
            <v>CIVLA</v>
          </cell>
          <cell r="J7807">
            <v>0</v>
          </cell>
        </row>
        <row r="7808">
          <cell r="A7808" t="str">
            <v>CIVLA</v>
          </cell>
          <cell r="J7808">
            <v>0</v>
          </cell>
        </row>
        <row r="7809">
          <cell r="A7809" t="str">
            <v>CIVLA</v>
          </cell>
          <cell r="J7809">
            <v>0</v>
          </cell>
        </row>
        <row r="7810">
          <cell r="A7810" t="str">
            <v>CIVLA</v>
          </cell>
          <cell r="J7810">
            <v>0</v>
          </cell>
        </row>
        <row r="7811">
          <cell r="A7811" t="str">
            <v>CIVLA</v>
          </cell>
          <cell r="J7811">
            <v>0</v>
          </cell>
        </row>
        <row r="7812">
          <cell r="A7812" t="str">
            <v>CIVLA</v>
          </cell>
          <cell r="J7812">
            <v>0</v>
          </cell>
        </row>
        <row r="7813">
          <cell r="A7813" t="str">
            <v>CIVLA</v>
          </cell>
          <cell r="J7813">
            <v>0</v>
          </cell>
        </row>
        <row r="7814">
          <cell r="A7814" t="str">
            <v>CIVLA</v>
          </cell>
          <cell r="J7814">
            <v>0</v>
          </cell>
        </row>
        <row r="7815">
          <cell r="A7815" t="str">
            <v>CIVLA</v>
          </cell>
          <cell r="J7815">
            <v>0</v>
          </cell>
        </row>
        <row r="7816">
          <cell r="A7816" t="str">
            <v>CIVLA</v>
          </cell>
          <cell r="J7816">
            <v>0</v>
          </cell>
        </row>
        <row r="7817">
          <cell r="A7817" t="str">
            <v>CIVLA</v>
          </cell>
          <cell r="J7817">
            <v>0</v>
          </cell>
        </row>
        <row r="7818">
          <cell r="A7818" t="str">
            <v>CIVLA</v>
          </cell>
          <cell r="J7818">
            <v>0</v>
          </cell>
        </row>
        <row r="7819">
          <cell r="A7819" t="str">
            <v>CIVLA</v>
          </cell>
          <cell r="J7819">
            <v>0</v>
          </cell>
        </row>
        <row r="7820">
          <cell r="A7820" t="str">
            <v>CIVLA</v>
          </cell>
          <cell r="J7820">
            <v>0</v>
          </cell>
        </row>
        <row r="7821">
          <cell r="A7821" t="str">
            <v>CIVLA</v>
          </cell>
          <cell r="J7821">
            <v>0</v>
          </cell>
        </row>
        <row r="7822">
          <cell r="A7822" t="str">
            <v>CIVLA</v>
          </cell>
          <cell r="J7822">
            <v>0</v>
          </cell>
        </row>
        <row r="7823">
          <cell r="A7823" t="str">
            <v>CIVLA</v>
          </cell>
          <cell r="J7823">
            <v>0</v>
          </cell>
        </row>
        <row r="7824">
          <cell r="A7824" t="str">
            <v>CIVLA</v>
          </cell>
          <cell r="J7824">
            <v>0</v>
          </cell>
        </row>
        <row r="7825">
          <cell r="A7825" t="str">
            <v>CIVLA</v>
          </cell>
          <cell r="J7825">
            <v>0</v>
          </cell>
        </row>
        <row r="7826">
          <cell r="A7826" t="str">
            <v>CIVLA</v>
          </cell>
          <cell r="J7826">
            <v>0</v>
          </cell>
        </row>
        <row r="7827">
          <cell r="A7827" t="str">
            <v>CIVLA</v>
          </cell>
          <cell r="J7827">
            <v>0</v>
          </cell>
        </row>
        <row r="7828">
          <cell r="A7828" t="str">
            <v>CIVLA</v>
          </cell>
          <cell r="J7828">
            <v>0</v>
          </cell>
        </row>
        <row r="7829">
          <cell r="A7829" t="str">
            <v>CIVLA</v>
          </cell>
          <cell r="J7829">
            <v>0</v>
          </cell>
        </row>
        <row r="7830">
          <cell r="A7830" t="str">
            <v>CIVLA</v>
          </cell>
          <cell r="J7830">
            <v>0</v>
          </cell>
        </row>
        <row r="7831">
          <cell r="A7831" t="str">
            <v>CIVLA</v>
          </cell>
          <cell r="J7831">
            <v>0</v>
          </cell>
        </row>
        <row r="7832">
          <cell r="A7832" t="str">
            <v>CIVLA</v>
          </cell>
          <cell r="J7832">
            <v>0</v>
          </cell>
        </row>
        <row r="7833">
          <cell r="A7833" t="str">
            <v>CIVLA</v>
          </cell>
          <cell r="J7833">
            <v>0</v>
          </cell>
        </row>
        <row r="7834">
          <cell r="A7834" t="str">
            <v>CIVLA</v>
          </cell>
          <cell r="J7834">
            <v>0</v>
          </cell>
        </row>
        <row r="7835">
          <cell r="A7835" t="str">
            <v>CIVLA</v>
          </cell>
          <cell r="J7835">
            <v>0</v>
          </cell>
        </row>
        <row r="7836">
          <cell r="A7836" t="str">
            <v>CIVLA</v>
          </cell>
          <cell r="J7836">
            <v>0</v>
          </cell>
        </row>
        <row r="7837">
          <cell r="A7837" t="str">
            <v>CIVLA</v>
          </cell>
          <cell r="J7837">
            <v>0</v>
          </cell>
        </row>
        <row r="7838">
          <cell r="A7838" t="str">
            <v>CIVLA</v>
          </cell>
          <cell r="J7838">
            <v>0</v>
          </cell>
        </row>
        <row r="7839">
          <cell r="A7839" t="str">
            <v>CIVLA</v>
          </cell>
          <cell r="J7839">
            <v>0</v>
          </cell>
        </row>
        <row r="7840">
          <cell r="A7840" t="str">
            <v>CIVLA</v>
          </cell>
          <cell r="J7840">
            <v>0</v>
          </cell>
        </row>
        <row r="7841">
          <cell r="A7841" t="str">
            <v>CIVLA</v>
          </cell>
          <cell r="J7841">
            <v>0</v>
          </cell>
        </row>
        <row r="7842">
          <cell r="A7842" t="str">
            <v>CIVLA</v>
          </cell>
          <cell r="J7842">
            <v>0</v>
          </cell>
        </row>
        <row r="7843">
          <cell r="A7843" t="str">
            <v>CIVLA</v>
          </cell>
          <cell r="J7843">
            <v>0</v>
          </cell>
        </row>
        <row r="7844">
          <cell r="A7844" t="str">
            <v>CIVLA</v>
          </cell>
          <cell r="J7844">
            <v>0</v>
          </cell>
        </row>
        <row r="7845">
          <cell r="A7845" t="str">
            <v>CIVLA</v>
          </cell>
          <cell r="J7845">
            <v>0</v>
          </cell>
        </row>
        <row r="7846">
          <cell r="A7846" t="str">
            <v>CIVLA</v>
          </cell>
          <cell r="J7846">
            <v>0</v>
          </cell>
        </row>
        <row r="7847">
          <cell r="A7847" t="str">
            <v>CIVLA</v>
          </cell>
          <cell r="J7847">
            <v>0</v>
          </cell>
        </row>
        <row r="7848">
          <cell r="A7848" t="str">
            <v>CIVLA</v>
          </cell>
          <cell r="J7848">
            <v>0</v>
          </cell>
        </row>
        <row r="7849">
          <cell r="A7849" t="str">
            <v>CIVLA</v>
          </cell>
          <cell r="J7849">
            <v>0</v>
          </cell>
        </row>
        <row r="7850">
          <cell r="A7850" t="str">
            <v>CIVLA</v>
          </cell>
          <cell r="J7850">
            <v>0</v>
          </cell>
        </row>
        <row r="7851">
          <cell r="A7851" t="str">
            <v>CIVLA</v>
          </cell>
          <cell r="J7851">
            <v>0</v>
          </cell>
        </row>
        <row r="7852">
          <cell r="A7852" t="str">
            <v>CIVLA</v>
          </cell>
          <cell r="J7852">
            <v>0</v>
          </cell>
        </row>
        <row r="7853">
          <cell r="A7853" t="str">
            <v>CIVLA</v>
          </cell>
          <cell r="J7853">
            <v>0</v>
          </cell>
        </row>
        <row r="7854">
          <cell r="A7854" t="str">
            <v>CIVLA</v>
          </cell>
          <cell r="J7854">
            <v>0</v>
          </cell>
        </row>
        <row r="7855">
          <cell r="A7855" t="str">
            <v>CIVLA</v>
          </cell>
          <cell r="J7855">
            <v>0</v>
          </cell>
        </row>
        <row r="7856">
          <cell r="A7856" t="str">
            <v>CIVLA</v>
          </cell>
          <cell r="J7856">
            <v>0</v>
          </cell>
        </row>
        <row r="7857">
          <cell r="A7857" t="str">
            <v>CIVLA</v>
          </cell>
          <cell r="J7857">
            <v>0</v>
          </cell>
        </row>
        <row r="7858">
          <cell r="A7858" t="str">
            <v>CIVLA</v>
          </cell>
          <cell r="J7858">
            <v>0</v>
          </cell>
        </row>
        <row r="7859">
          <cell r="A7859" t="str">
            <v>CIVLA</v>
          </cell>
          <cell r="J7859">
            <v>0</v>
          </cell>
        </row>
        <row r="7860">
          <cell r="A7860" t="str">
            <v>CIVLA</v>
          </cell>
          <cell r="J7860">
            <v>0</v>
          </cell>
        </row>
        <row r="7861">
          <cell r="A7861" t="str">
            <v>CIVLA</v>
          </cell>
          <cell r="J7861">
            <v>0</v>
          </cell>
        </row>
        <row r="7862">
          <cell r="A7862" t="str">
            <v>CIVLA</v>
          </cell>
          <cell r="J7862">
            <v>0</v>
          </cell>
        </row>
        <row r="7863">
          <cell r="A7863" t="str">
            <v>CIVLA</v>
          </cell>
          <cell r="J7863">
            <v>0</v>
          </cell>
        </row>
        <row r="7864">
          <cell r="A7864" t="str">
            <v>CIVLA</v>
          </cell>
          <cell r="J7864">
            <v>0</v>
          </cell>
        </row>
        <row r="7865">
          <cell r="A7865" t="str">
            <v>CIVLA</v>
          </cell>
          <cell r="J7865">
            <v>0</v>
          </cell>
        </row>
        <row r="7866">
          <cell r="A7866" t="str">
            <v>CIVLA</v>
          </cell>
          <cell r="J7866">
            <v>0</v>
          </cell>
        </row>
        <row r="7867">
          <cell r="A7867" t="str">
            <v>CIVLA</v>
          </cell>
          <cell r="J7867">
            <v>0</v>
          </cell>
        </row>
        <row r="7868">
          <cell r="A7868" t="str">
            <v>CIVLA</v>
          </cell>
          <cell r="J7868">
            <v>0</v>
          </cell>
        </row>
        <row r="7869">
          <cell r="A7869" t="str">
            <v>CIVLA</v>
          </cell>
          <cell r="J7869">
            <v>0</v>
          </cell>
        </row>
        <row r="7870">
          <cell r="A7870" t="str">
            <v>CIVLA</v>
          </cell>
          <cell r="J7870">
            <v>0</v>
          </cell>
        </row>
        <row r="7871">
          <cell r="A7871" t="str">
            <v>CIVLA</v>
          </cell>
          <cell r="J7871">
            <v>0</v>
          </cell>
        </row>
        <row r="7872">
          <cell r="A7872" t="str">
            <v>CIVLA</v>
          </cell>
          <cell r="J7872">
            <v>0</v>
          </cell>
        </row>
        <row r="7873">
          <cell r="A7873" t="str">
            <v>CIVLA</v>
          </cell>
          <cell r="J7873">
            <v>0</v>
          </cell>
        </row>
        <row r="7874">
          <cell r="A7874" t="str">
            <v>CIVLA</v>
          </cell>
          <cell r="J7874">
            <v>0</v>
          </cell>
        </row>
        <row r="7875">
          <cell r="A7875" t="str">
            <v>CIVLA</v>
          </cell>
          <cell r="J7875">
            <v>0</v>
          </cell>
        </row>
        <row r="7876">
          <cell r="A7876" t="str">
            <v>CIVLA</v>
          </cell>
          <cell r="J7876">
            <v>0</v>
          </cell>
        </row>
        <row r="7877">
          <cell r="A7877" t="str">
            <v>CIVLA</v>
          </cell>
          <cell r="J7877">
            <v>0</v>
          </cell>
        </row>
        <row r="7878">
          <cell r="A7878" t="str">
            <v>CIVLA</v>
          </cell>
          <cell r="J7878">
            <v>0</v>
          </cell>
        </row>
        <row r="7879">
          <cell r="A7879" t="str">
            <v>CIVLA</v>
          </cell>
          <cell r="J7879">
            <v>0</v>
          </cell>
        </row>
        <row r="7880">
          <cell r="A7880" t="str">
            <v>CIVLA</v>
          </cell>
          <cell r="J7880">
            <v>0</v>
          </cell>
        </row>
        <row r="7881">
          <cell r="A7881" t="str">
            <v>CIVLA</v>
          </cell>
          <cell r="J7881">
            <v>0</v>
          </cell>
        </row>
        <row r="7882">
          <cell r="A7882" t="str">
            <v>CIVLA</v>
          </cell>
          <cell r="J7882">
            <v>0</v>
          </cell>
        </row>
        <row r="7883">
          <cell r="A7883" t="str">
            <v>CIVLA</v>
          </cell>
          <cell r="J7883">
            <v>0</v>
          </cell>
        </row>
        <row r="7884">
          <cell r="A7884" t="str">
            <v>CIVLA</v>
          </cell>
          <cell r="J7884">
            <v>0</v>
          </cell>
        </row>
        <row r="7885">
          <cell r="A7885" t="str">
            <v>CIVLA</v>
          </cell>
          <cell r="J7885">
            <v>0</v>
          </cell>
        </row>
        <row r="7886">
          <cell r="A7886" t="str">
            <v>CIVLA</v>
          </cell>
          <cell r="J7886">
            <v>0</v>
          </cell>
        </row>
        <row r="7887">
          <cell r="A7887" t="str">
            <v>CIVLA</v>
          </cell>
          <cell r="J7887">
            <v>0</v>
          </cell>
        </row>
        <row r="7888">
          <cell r="A7888" t="str">
            <v>CIVLA</v>
          </cell>
          <cell r="J7888">
            <v>0</v>
          </cell>
        </row>
        <row r="7889">
          <cell r="A7889" t="str">
            <v>CIVLA</v>
          </cell>
          <cell r="J7889">
            <v>0</v>
          </cell>
        </row>
        <row r="7890">
          <cell r="A7890" t="str">
            <v>CIVLA</v>
          </cell>
          <cell r="J7890">
            <v>0</v>
          </cell>
        </row>
        <row r="7891">
          <cell r="A7891" t="str">
            <v>CIVLA</v>
          </cell>
          <cell r="J7891">
            <v>0</v>
          </cell>
        </row>
        <row r="7892">
          <cell r="A7892" t="str">
            <v>CIVLA</v>
          </cell>
          <cell r="J7892">
            <v>0</v>
          </cell>
        </row>
        <row r="7893">
          <cell r="A7893" t="str">
            <v>CIVLA</v>
          </cell>
          <cell r="J7893">
            <v>0</v>
          </cell>
        </row>
        <row r="7894">
          <cell r="A7894" t="str">
            <v>CIVLA</v>
          </cell>
          <cell r="J7894">
            <v>0</v>
          </cell>
        </row>
        <row r="7895">
          <cell r="A7895" t="str">
            <v>CIVLA</v>
          </cell>
          <cell r="J7895">
            <v>0</v>
          </cell>
        </row>
        <row r="7896">
          <cell r="A7896" t="str">
            <v>CIVLA</v>
          </cell>
          <cell r="J7896">
            <v>0</v>
          </cell>
        </row>
        <row r="7897">
          <cell r="A7897" t="str">
            <v>CIVLA</v>
          </cell>
          <cell r="J7897">
            <v>0</v>
          </cell>
        </row>
        <row r="7898">
          <cell r="A7898" t="str">
            <v>CIVLA</v>
          </cell>
          <cell r="J7898">
            <v>0</v>
          </cell>
        </row>
        <row r="7899">
          <cell r="A7899" t="str">
            <v>CIVLA</v>
          </cell>
          <cell r="J7899">
            <v>0</v>
          </cell>
        </row>
        <row r="7900">
          <cell r="A7900" t="str">
            <v>CIVLA</v>
          </cell>
          <cell r="J7900">
            <v>0</v>
          </cell>
        </row>
        <row r="7901">
          <cell r="A7901" t="str">
            <v>CIVLA</v>
          </cell>
          <cell r="J7901">
            <v>0</v>
          </cell>
        </row>
        <row r="7902">
          <cell r="A7902" t="str">
            <v>CIVLA</v>
          </cell>
          <cell r="J7902">
            <v>0</v>
          </cell>
        </row>
        <row r="7903">
          <cell r="A7903" t="str">
            <v>CIVLA</v>
          </cell>
          <cell r="J7903">
            <v>0</v>
          </cell>
        </row>
        <row r="7904">
          <cell r="A7904" t="str">
            <v>CIVLA</v>
          </cell>
          <cell r="J7904">
            <v>0</v>
          </cell>
        </row>
        <row r="7905">
          <cell r="A7905" t="str">
            <v>CIVLA</v>
          </cell>
          <cell r="J7905">
            <v>0</v>
          </cell>
        </row>
        <row r="7906">
          <cell r="A7906" t="str">
            <v>CIVLA</v>
          </cell>
          <cell r="J7906">
            <v>0</v>
          </cell>
        </row>
        <row r="7907">
          <cell r="A7907" t="str">
            <v>CIVLA</v>
          </cell>
          <cell r="J7907">
            <v>0</v>
          </cell>
        </row>
        <row r="7908">
          <cell r="A7908" t="str">
            <v>CIVLA</v>
          </cell>
          <cell r="J7908">
            <v>0</v>
          </cell>
        </row>
        <row r="7909">
          <cell r="A7909" t="str">
            <v>CIVLA</v>
          </cell>
          <cell r="J7909">
            <v>0</v>
          </cell>
        </row>
        <row r="7910">
          <cell r="A7910" t="str">
            <v>CIVLA</v>
          </cell>
          <cell r="J7910">
            <v>0</v>
          </cell>
        </row>
        <row r="7911">
          <cell r="A7911" t="str">
            <v>CIVLA</v>
          </cell>
          <cell r="J7911">
            <v>0</v>
          </cell>
        </row>
        <row r="7912">
          <cell r="A7912" t="str">
            <v>CIVLA</v>
          </cell>
          <cell r="J7912">
            <v>0</v>
          </cell>
        </row>
        <row r="7913">
          <cell r="A7913" t="str">
            <v>CIVLA</v>
          </cell>
          <cell r="J7913">
            <v>0</v>
          </cell>
        </row>
        <row r="7914">
          <cell r="A7914" t="str">
            <v>CIVLA</v>
          </cell>
          <cell r="J7914">
            <v>0</v>
          </cell>
        </row>
        <row r="7915">
          <cell r="A7915" t="str">
            <v>CIVLA</v>
          </cell>
          <cell r="J7915">
            <v>0</v>
          </cell>
        </row>
        <row r="7916">
          <cell r="A7916" t="str">
            <v>CIVLA</v>
          </cell>
          <cell r="J7916">
            <v>0</v>
          </cell>
        </row>
        <row r="7917">
          <cell r="A7917" t="str">
            <v>CIVLA</v>
          </cell>
          <cell r="J7917">
            <v>0</v>
          </cell>
        </row>
        <row r="7918">
          <cell r="A7918" t="str">
            <v>CIVLA</v>
          </cell>
          <cell r="J7918">
            <v>0</v>
          </cell>
        </row>
        <row r="7919">
          <cell r="A7919" t="str">
            <v>CIVLA</v>
          </cell>
          <cell r="J7919">
            <v>0</v>
          </cell>
        </row>
        <row r="7920">
          <cell r="A7920" t="str">
            <v>CIVLA</v>
          </cell>
          <cell r="J7920">
            <v>0</v>
          </cell>
        </row>
        <row r="7921">
          <cell r="A7921" t="str">
            <v>CIVLA</v>
          </cell>
          <cell r="J7921">
            <v>0</v>
          </cell>
        </row>
        <row r="7922">
          <cell r="A7922" t="str">
            <v>CIVLA</v>
          </cell>
          <cell r="J7922">
            <v>0</v>
          </cell>
        </row>
        <row r="7923">
          <cell r="A7923" t="str">
            <v>CIVLA</v>
          </cell>
          <cell r="J7923">
            <v>0</v>
          </cell>
        </row>
        <row r="7924">
          <cell r="A7924" t="str">
            <v>CIVLA</v>
          </cell>
          <cell r="J7924">
            <v>0</v>
          </cell>
        </row>
        <row r="7925">
          <cell r="A7925" t="str">
            <v>CIVLA</v>
          </cell>
          <cell r="J7925">
            <v>0</v>
          </cell>
        </row>
        <row r="7926">
          <cell r="A7926" t="str">
            <v>CIVLA</v>
          </cell>
          <cell r="J7926">
            <v>0</v>
          </cell>
        </row>
        <row r="7927">
          <cell r="A7927" t="str">
            <v>CIVLA</v>
          </cell>
          <cell r="J7927">
            <v>0</v>
          </cell>
        </row>
        <row r="7928">
          <cell r="A7928" t="str">
            <v>CIVLA</v>
          </cell>
          <cell r="J7928">
            <v>0</v>
          </cell>
        </row>
        <row r="7929">
          <cell r="A7929" t="str">
            <v>CIVLA</v>
          </cell>
          <cell r="J7929">
            <v>0</v>
          </cell>
        </row>
        <row r="7930">
          <cell r="A7930" t="str">
            <v>CIVLA</v>
          </cell>
          <cell r="J7930">
            <v>0</v>
          </cell>
        </row>
        <row r="7931">
          <cell r="A7931" t="str">
            <v>CIVLA</v>
          </cell>
          <cell r="J7931">
            <v>0</v>
          </cell>
        </row>
        <row r="7932">
          <cell r="A7932" t="str">
            <v>CIVLA</v>
          </cell>
          <cell r="J7932">
            <v>0</v>
          </cell>
        </row>
        <row r="7933">
          <cell r="A7933" t="str">
            <v>CIVLA</v>
          </cell>
          <cell r="J7933">
            <v>0</v>
          </cell>
        </row>
        <row r="7934">
          <cell r="A7934" t="str">
            <v>CIVLA</v>
          </cell>
          <cell r="J7934">
            <v>0</v>
          </cell>
        </row>
        <row r="7935">
          <cell r="A7935" t="str">
            <v>CIVLA</v>
          </cell>
          <cell r="J7935">
            <v>0</v>
          </cell>
        </row>
        <row r="7936">
          <cell r="A7936" t="str">
            <v>CIVLA</v>
          </cell>
          <cell r="J7936">
            <v>0</v>
          </cell>
        </row>
        <row r="7937">
          <cell r="A7937" t="str">
            <v>CIVLA</v>
          </cell>
          <cell r="J7937">
            <v>0</v>
          </cell>
        </row>
        <row r="7938">
          <cell r="A7938" t="str">
            <v>CIVLA</v>
          </cell>
          <cell r="J7938">
            <v>0</v>
          </cell>
        </row>
        <row r="7939">
          <cell r="A7939" t="str">
            <v>CIVLA</v>
          </cell>
          <cell r="J7939">
            <v>0</v>
          </cell>
        </row>
        <row r="7940">
          <cell r="A7940" t="str">
            <v>CIVLA</v>
          </cell>
          <cell r="J7940">
            <v>0</v>
          </cell>
        </row>
        <row r="7941">
          <cell r="A7941" t="str">
            <v>CIVLA</v>
          </cell>
          <cell r="J7941">
            <v>0</v>
          </cell>
        </row>
        <row r="7942">
          <cell r="A7942" t="str">
            <v>CIVLA</v>
          </cell>
          <cell r="J7942">
            <v>0</v>
          </cell>
        </row>
        <row r="7943">
          <cell r="A7943" t="str">
            <v>CIVLA</v>
          </cell>
          <cell r="J7943">
            <v>0</v>
          </cell>
        </row>
        <row r="7944">
          <cell r="A7944" t="str">
            <v>CIVLA</v>
          </cell>
          <cell r="J7944">
            <v>0</v>
          </cell>
        </row>
        <row r="7945">
          <cell r="A7945" t="str">
            <v>CIVLA</v>
          </cell>
          <cell r="J7945">
            <v>0</v>
          </cell>
        </row>
        <row r="7946">
          <cell r="A7946" t="str">
            <v>CIVLA</v>
          </cell>
          <cell r="J7946">
            <v>0</v>
          </cell>
        </row>
        <row r="7947">
          <cell r="A7947" t="str">
            <v>CIVLA</v>
          </cell>
          <cell r="J7947">
            <v>0</v>
          </cell>
        </row>
        <row r="7948">
          <cell r="A7948" t="str">
            <v>CIVLA</v>
          </cell>
          <cell r="J7948">
            <v>0</v>
          </cell>
        </row>
        <row r="7949">
          <cell r="A7949" t="str">
            <v>CIVLA</v>
          </cell>
          <cell r="J7949">
            <v>0</v>
          </cell>
        </row>
        <row r="7950">
          <cell r="A7950" t="str">
            <v>CIVLA</v>
          </cell>
          <cell r="J7950">
            <v>0</v>
          </cell>
        </row>
        <row r="7951">
          <cell r="A7951" t="str">
            <v>CIVLA</v>
          </cell>
          <cell r="J7951">
            <v>0</v>
          </cell>
        </row>
        <row r="7952">
          <cell r="A7952" t="str">
            <v>CIVLA</v>
          </cell>
          <cell r="J7952">
            <v>0</v>
          </cell>
        </row>
        <row r="7953">
          <cell r="A7953" t="str">
            <v>CIVLA</v>
          </cell>
          <cell r="J7953">
            <v>0</v>
          </cell>
        </row>
        <row r="7954">
          <cell r="A7954" t="str">
            <v>CIVLA</v>
          </cell>
          <cell r="J7954">
            <v>0</v>
          </cell>
        </row>
        <row r="7955">
          <cell r="A7955" t="str">
            <v>CIVLA</v>
          </cell>
          <cell r="J7955">
            <v>0</v>
          </cell>
        </row>
        <row r="7956">
          <cell r="A7956" t="str">
            <v>CIVLA</v>
          </cell>
          <cell r="J7956">
            <v>0</v>
          </cell>
        </row>
        <row r="7957">
          <cell r="A7957" t="str">
            <v>CIVLA</v>
          </cell>
          <cell r="J7957">
            <v>0</v>
          </cell>
        </row>
        <row r="7958">
          <cell r="A7958" t="str">
            <v>CIVLA</v>
          </cell>
          <cell r="J7958">
            <v>0</v>
          </cell>
        </row>
        <row r="7959">
          <cell r="A7959" t="str">
            <v>CIVLA</v>
          </cell>
          <cell r="J7959">
            <v>0</v>
          </cell>
        </row>
        <row r="7960">
          <cell r="A7960" t="str">
            <v>CIVLA</v>
          </cell>
          <cell r="J7960">
            <v>0</v>
          </cell>
        </row>
        <row r="7961">
          <cell r="A7961" t="str">
            <v>CIVLA</v>
          </cell>
          <cell r="J7961">
            <v>0</v>
          </cell>
        </row>
        <row r="7962">
          <cell r="A7962" t="str">
            <v>CIVLA</v>
          </cell>
          <cell r="J7962">
            <v>0</v>
          </cell>
        </row>
        <row r="7963">
          <cell r="A7963" t="str">
            <v>CIVLA</v>
          </cell>
          <cell r="J7963">
            <v>0</v>
          </cell>
        </row>
        <row r="7964">
          <cell r="A7964" t="str">
            <v>CIVLA</v>
          </cell>
          <cell r="J7964">
            <v>0</v>
          </cell>
        </row>
        <row r="7965">
          <cell r="A7965" t="str">
            <v>CIVLA</v>
          </cell>
          <cell r="J7965">
            <v>0</v>
          </cell>
        </row>
        <row r="7966">
          <cell r="A7966" t="str">
            <v>CIVLA</v>
          </cell>
          <cell r="J7966">
            <v>0</v>
          </cell>
        </row>
        <row r="7967">
          <cell r="A7967" t="str">
            <v>CIVLA</v>
          </cell>
          <cell r="J7967">
            <v>0</v>
          </cell>
        </row>
        <row r="7968">
          <cell r="A7968" t="str">
            <v>CIVLA</v>
          </cell>
          <cell r="J7968">
            <v>0</v>
          </cell>
        </row>
        <row r="7969">
          <cell r="A7969" t="str">
            <v>CIVLA</v>
          </cell>
          <cell r="J7969">
            <v>0</v>
          </cell>
        </row>
        <row r="7970">
          <cell r="A7970" t="str">
            <v>CIVLA</v>
          </cell>
          <cell r="J7970">
            <v>0</v>
          </cell>
        </row>
        <row r="7971">
          <cell r="A7971" t="str">
            <v>CIVLA</v>
          </cell>
          <cell r="J7971">
            <v>0</v>
          </cell>
        </row>
        <row r="7972">
          <cell r="A7972" t="str">
            <v>CIVLA</v>
          </cell>
          <cell r="J7972">
            <v>0</v>
          </cell>
        </row>
        <row r="7973">
          <cell r="A7973" t="str">
            <v>CIVLA</v>
          </cell>
          <cell r="J7973">
            <v>0</v>
          </cell>
        </row>
        <row r="7974">
          <cell r="A7974" t="str">
            <v>CIVLA</v>
          </cell>
          <cell r="J7974">
            <v>0</v>
          </cell>
        </row>
        <row r="7975">
          <cell r="A7975" t="str">
            <v>CIVLA</v>
          </cell>
          <cell r="J7975">
            <v>0</v>
          </cell>
        </row>
        <row r="7976">
          <cell r="A7976" t="str">
            <v>CIVLA</v>
          </cell>
          <cell r="J7976">
            <v>0</v>
          </cell>
        </row>
        <row r="7977">
          <cell r="A7977" t="str">
            <v>CIVLA</v>
          </cell>
          <cell r="J7977">
            <v>0</v>
          </cell>
        </row>
        <row r="7978">
          <cell r="A7978" t="str">
            <v>CIVLA</v>
          </cell>
          <cell r="J7978">
            <v>0</v>
          </cell>
        </row>
        <row r="7979">
          <cell r="A7979" t="str">
            <v>CIVLA</v>
          </cell>
          <cell r="J7979">
            <v>0</v>
          </cell>
        </row>
        <row r="7980">
          <cell r="A7980" t="str">
            <v>CIVLA</v>
          </cell>
          <cell r="J7980">
            <v>0</v>
          </cell>
        </row>
        <row r="7981">
          <cell r="A7981" t="str">
            <v>CIVLA</v>
          </cell>
          <cell r="J7981">
            <v>0</v>
          </cell>
        </row>
        <row r="7982">
          <cell r="A7982" t="str">
            <v>CIVLA</v>
          </cell>
          <cell r="J7982">
            <v>0</v>
          </cell>
        </row>
        <row r="7983">
          <cell r="A7983" t="str">
            <v>CIVLA</v>
          </cell>
          <cell r="J7983">
            <v>0</v>
          </cell>
        </row>
        <row r="7984">
          <cell r="A7984" t="str">
            <v>CIVLA</v>
          </cell>
          <cell r="J7984">
            <v>0</v>
          </cell>
        </row>
        <row r="7985">
          <cell r="A7985" t="str">
            <v>CIVLA</v>
          </cell>
          <cell r="J7985">
            <v>0</v>
          </cell>
        </row>
        <row r="7986">
          <cell r="A7986" t="str">
            <v>CIVLA</v>
          </cell>
          <cell r="J7986">
            <v>0</v>
          </cell>
        </row>
        <row r="7987">
          <cell r="A7987" t="str">
            <v>CIVLA</v>
          </cell>
          <cell r="J7987">
            <v>0</v>
          </cell>
        </row>
        <row r="7988">
          <cell r="A7988" t="str">
            <v>CIVLA</v>
          </cell>
          <cell r="J7988">
            <v>0</v>
          </cell>
        </row>
        <row r="7989">
          <cell r="A7989" t="str">
            <v>CIVLA</v>
          </cell>
          <cell r="J7989">
            <v>0</v>
          </cell>
        </row>
        <row r="7990">
          <cell r="A7990" t="str">
            <v>CIVLA</v>
          </cell>
          <cell r="J7990">
            <v>0</v>
          </cell>
        </row>
        <row r="7991">
          <cell r="A7991" t="str">
            <v>CIVLA</v>
          </cell>
          <cell r="J7991">
            <v>0</v>
          </cell>
        </row>
        <row r="7992">
          <cell r="A7992" t="str">
            <v>CIVLA</v>
          </cell>
          <cell r="J7992">
            <v>0</v>
          </cell>
        </row>
        <row r="7993">
          <cell r="A7993" t="str">
            <v>CIVLA</v>
          </cell>
          <cell r="J7993">
            <v>0</v>
          </cell>
        </row>
        <row r="7994">
          <cell r="A7994" t="str">
            <v>CIVLA</v>
          </cell>
          <cell r="J7994">
            <v>0</v>
          </cell>
        </row>
        <row r="7995">
          <cell r="A7995" t="str">
            <v>CIVLA</v>
          </cell>
          <cell r="J7995">
            <v>0</v>
          </cell>
        </row>
        <row r="7996">
          <cell r="A7996" t="str">
            <v>CIVLA</v>
          </cell>
          <cell r="J7996">
            <v>0</v>
          </cell>
        </row>
        <row r="7997">
          <cell r="A7997" t="str">
            <v>CIVLA</v>
          </cell>
          <cell r="J7997">
            <v>0</v>
          </cell>
        </row>
        <row r="7998">
          <cell r="A7998" t="str">
            <v>CIVLA</v>
          </cell>
          <cell r="J7998">
            <v>0</v>
          </cell>
        </row>
        <row r="7999">
          <cell r="A7999" t="str">
            <v>CIVLA</v>
          </cell>
          <cell r="J7999">
            <v>0</v>
          </cell>
        </row>
        <row r="8000">
          <cell r="A8000" t="str">
            <v>CIVLA</v>
          </cell>
          <cell r="J8000">
            <v>0</v>
          </cell>
        </row>
        <row r="8001">
          <cell r="A8001" t="str">
            <v>CIVLA</v>
          </cell>
          <cell r="J8001">
            <v>0</v>
          </cell>
        </row>
        <row r="8002">
          <cell r="A8002" t="str">
            <v>CIVLA</v>
          </cell>
          <cell r="J8002">
            <v>0</v>
          </cell>
        </row>
        <row r="8003">
          <cell r="A8003" t="str">
            <v>CIVLA</v>
          </cell>
          <cell r="J8003">
            <v>0</v>
          </cell>
        </row>
        <row r="8004">
          <cell r="A8004" t="str">
            <v>CIVLA</v>
          </cell>
          <cell r="J8004">
            <v>0</v>
          </cell>
        </row>
        <row r="8005">
          <cell r="A8005" t="str">
            <v>CIVLA</v>
          </cell>
          <cell r="J8005">
            <v>0</v>
          </cell>
        </row>
        <row r="8006">
          <cell r="A8006" t="str">
            <v>CIVLA</v>
          </cell>
          <cell r="J8006">
            <v>0</v>
          </cell>
        </row>
        <row r="8007">
          <cell r="A8007" t="str">
            <v>CIVLA</v>
          </cell>
          <cell r="J8007">
            <v>0</v>
          </cell>
        </row>
        <row r="8008">
          <cell r="A8008" t="str">
            <v>CIVLA</v>
          </cell>
          <cell r="J8008">
            <v>0</v>
          </cell>
        </row>
        <row r="8009">
          <cell r="A8009" t="str">
            <v>CIVLA</v>
          </cell>
          <cell r="J8009">
            <v>0</v>
          </cell>
        </row>
        <row r="8010">
          <cell r="A8010" t="str">
            <v>CIVLA</v>
          </cell>
          <cell r="J8010">
            <v>0</v>
          </cell>
        </row>
        <row r="8011">
          <cell r="A8011" t="str">
            <v>CIVLA</v>
          </cell>
          <cell r="J8011">
            <v>0</v>
          </cell>
        </row>
        <row r="8012">
          <cell r="A8012" t="str">
            <v>CIVLA</v>
          </cell>
          <cell r="J8012">
            <v>0</v>
          </cell>
        </row>
        <row r="8013">
          <cell r="A8013" t="str">
            <v>CIVLA</v>
          </cell>
          <cell r="J8013">
            <v>0</v>
          </cell>
        </row>
        <row r="8014">
          <cell r="A8014" t="str">
            <v>CIVLA</v>
          </cell>
          <cell r="J8014">
            <v>0</v>
          </cell>
        </row>
        <row r="8015">
          <cell r="A8015" t="str">
            <v>CIVLA</v>
          </cell>
          <cell r="J8015">
            <v>0</v>
          </cell>
        </row>
        <row r="8016">
          <cell r="A8016" t="str">
            <v>CIVLA</v>
          </cell>
          <cell r="J8016">
            <v>0</v>
          </cell>
        </row>
        <row r="8017">
          <cell r="A8017" t="str">
            <v>CIVLA</v>
          </cell>
          <cell r="J8017">
            <v>0</v>
          </cell>
        </row>
        <row r="8018">
          <cell r="A8018" t="str">
            <v>CIVLA</v>
          </cell>
          <cell r="J8018">
            <v>0</v>
          </cell>
        </row>
        <row r="8019">
          <cell r="A8019" t="str">
            <v>CIVLA</v>
          </cell>
          <cell r="J8019">
            <v>0</v>
          </cell>
        </row>
        <row r="8020">
          <cell r="A8020" t="str">
            <v>CIVLA</v>
          </cell>
          <cell r="J8020">
            <v>0</v>
          </cell>
        </row>
        <row r="8021">
          <cell r="A8021" t="str">
            <v>CIVLA</v>
          </cell>
          <cell r="J8021">
            <v>0</v>
          </cell>
        </row>
        <row r="8022">
          <cell r="A8022" t="str">
            <v>CIVLA</v>
          </cell>
          <cell r="J8022">
            <v>0</v>
          </cell>
        </row>
        <row r="8023">
          <cell r="A8023" t="str">
            <v>CIVLA</v>
          </cell>
          <cell r="J8023">
            <v>0</v>
          </cell>
        </row>
        <row r="8024">
          <cell r="A8024" t="str">
            <v>CIVLA</v>
          </cell>
          <cell r="J8024">
            <v>0</v>
          </cell>
        </row>
        <row r="8025">
          <cell r="A8025" t="str">
            <v>CIVLA</v>
          </cell>
          <cell r="J8025">
            <v>0</v>
          </cell>
        </row>
        <row r="8026">
          <cell r="A8026" t="str">
            <v>CIVLA</v>
          </cell>
          <cell r="J8026">
            <v>0</v>
          </cell>
        </row>
        <row r="8027">
          <cell r="A8027" t="str">
            <v>CIVLA</v>
          </cell>
          <cell r="J8027">
            <v>0</v>
          </cell>
        </row>
        <row r="8028">
          <cell r="A8028" t="str">
            <v>CIVLA</v>
          </cell>
          <cell r="J8028">
            <v>0</v>
          </cell>
        </row>
        <row r="8029">
          <cell r="A8029" t="str">
            <v>CIVLA</v>
          </cell>
          <cell r="J8029">
            <v>0</v>
          </cell>
        </row>
        <row r="8030">
          <cell r="A8030" t="str">
            <v>CIVLA</v>
          </cell>
          <cell r="J8030">
            <v>0</v>
          </cell>
        </row>
        <row r="8031">
          <cell r="A8031" t="str">
            <v>CIVLA</v>
          </cell>
          <cell r="J8031">
            <v>0</v>
          </cell>
        </row>
        <row r="8032">
          <cell r="A8032" t="str">
            <v>CIVLA</v>
          </cell>
          <cell r="J8032">
            <v>0</v>
          </cell>
        </row>
        <row r="8033">
          <cell r="A8033" t="str">
            <v>CIVLA</v>
          </cell>
          <cell r="J8033">
            <v>0</v>
          </cell>
        </row>
        <row r="8034">
          <cell r="A8034" t="str">
            <v>CIVLA</v>
          </cell>
          <cell r="J8034">
            <v>0</v>
          </cell>
        </row>
        <row r="8035">
          <cell r="A8035" t="str">
            <v>CIVLA</v>
          </cell>
          <cell r="J8035">
            <v>0</v>
          </cell>
        </row>
        <row r="8036">
          <cell r="A8036" t="str">
            <v>CIVLA</v>
          </cell>
          <cell r="J8036">
            <v>0</v>
          </cell>
        </row>
        <row r="8037">
          <cell r="A8037" t="str">
            <v>CIVLA</v>
          </cell>
          <cell r="J8037">
            <v>0</v>
          </cell>
        </row>
        <row r="8038">
          <cell r="A8038" t="str">
            <v>CIVLA</v>
          </cell>
          <cell r="J8038">
            <v>0</v>
          </cell>
        </row>
        <row r="8039">
          <cell r="A8039" t="str">
            <v>CIVLA</v>
          </cell>
          <cell r="J8039">
            <v>0</v>
          </cell>
        </row>
        <row r="8040">
          <cell r="A8040" t="str">
            <v>CIVLA</v>
          </cell>
          <cell r="J8040">
            <v>0</v>
          </cell>
        </row>
        <row r="8041">
          <cell r="A8041" t="str">
            <v>CIVLA</v>
          </cell>
          <cell r="J8041">
            <v>0</v>
          </cell>
        </row>
        <row r="8042">
          <cell r="A8042" t="str">
            <v>CIVLA</v>
          </cell>
          <cell r="J8042">
            <v>0</v>
          </cell>
        </row>
        <row r="8043">
          <cell r="A8043" t="str">
            <v>CIVLA</v>
          </cell>
          <cell r="J8043">
            <v>0</v>
          </cell>
        </row>
        <row r="8044">
          <cell r="A8044" t="str">
            <v>CIVLA</v>
          </cell>
          <cell r="J8044">
            <v>0</v>
          </cell>
        </row>
        <row r="8045">
          <cell r="A8045" t="str">
            <v>CIVLA</v>
          </cell>
          <cell r="J8045">
            <v>0</v>
          </cell>
        </row>
        <row r="8046">
          <cell r="A8046" t="str">
            <v>CIVLA</v>
          </cell>
          <cell r="J8046">
            <v>0</v>
          </cell>
        </row>
        <row r="8047">
          <cell r="A8047" t="str">
            <v>CIVLA</v>
          </cell>
          <cell r="J8047">
            <v>0</v>
          </cell>
        </row>
        <row r="8048">
          <cell r="A8048" t="str">
            <v>CIVLA</v>
          </cell>
          <cell r="J8048">
            <v>0</v>
          </cell>
        </row>
        <row r="8049">
          <cell r="A8049" t="str">
            <v>CIVLA</v>
          </cell>
          <cell r="J8049">
            <v>0</v>
          </cell>
        </row>
        <row r="8050">
          <cell r="A8050" t="str">
            <v>CIVLA</v>
          </cell>
          <cell r="J8050">
            <v>0</v>
          </cell>
        </row>
        <row r="8051">
          <cell r="A8051" t="str">
            <v>CIVLA</v>
          </cell>
          <cell r="J8051">
            <v>0</v>
          </cell>
        </row>
        <row r="8052">
          <cell r="A8052" t="str">
            <v>CIVLA</v>
          </cell>
          <cell r="J8052">
            <v>0</v>
          </cell>
        </row>
        <row r="8053">
          <cell r="A8053" t="str">
            <v>CIVLA</v>
          </cell>
          <cell r="J8053">
            <v>0</v>
          </cell>
        </row>
        <row r="8054">
          <cell r="A8054" t="str">
            <v>CIVLA</v>
          </cell>
          <cell r="J8054">
            <v>0</v>
          </cell>
        </row>
        <row r="8055">
          <cell r="A8055" t="str">
            <v>CIVLA</v>
          </cell>
          <cell r="J8055">
            <v>0</v>
          </cell>
        </row>
        <row r="8056">
          <cell r="A8056" t="str">
            <v>CIVLA</v>
          </cell>
          <cell r="J8056">
            <v>0</v>
          </cell>
        </row>
        <row r="8057">
          <cell r="A8057" t="str">
            <v>CIVLA</v>
          </cell>
          <cell r="J8057">
            <v>0</v>
          </cell>
        </row>
        <row r="8058">
          <cell r="A8058" t="str">
            <v>CIVLA</v>
          </cell>
          <cell r="J8058">
            <v>0</v>
          </cell>
        </row>
        <row r="8059">
          <cell r="A8059" t="str">
            <v>CIVLA</v>
          </cell>
          <cell r="J8059">
            <v>0</v>
          </cell>
        </row>
        <row r="8060">
          <cell r="A8060" t="str">
            <v>CIVLA</v>
          </cell>
          <cell r="J8060">
            <v>0</v>
          </cell>
        </row>
        <row r="8061">
          <cell r="A8061" t="str">
            <v>CIVLA</v>
          </cell>
          <cell r="J8061">
            <v>0</v>
          </cell>
        </row>
        <row r="8062">
          <cell r="A8062" t="str">
            <v>CIVLA</v>
          </cell>
          <cell r="J8062">
            <v>0</v>
          </cell>
        </row>
        <row r="8063">
          <cell r="A8063" t="str">
            <v>CIVLA</v>
          </cell>
          <cell r="J8063">
            <v>0</v>
          </cell>
        </row>
        <row r="8064">
          <cell r="A8064" t="str">
            <v>CIVLA</v>
          </cell>
          <cell r="J8064">
            <v>0</v>
          </cell>
        </row>
        <row r="8065">
          <cell r="A8065" t="str">
            <v>CIVLA</v>
          </cell>
          <cell r="J8065">
            <v>0</v>
          </cell>
        </row>
        <row r="8066">
          <cell r="A8066" t="str">
            <v>CIVLA</v>
          </cell>
          <cell r="J8066">
            <v>0</v>
          </cell>
        </row>
        <row r="8067">
          <cell r="A8067" t="str">
            <v>CIVLA</v>
          </cell>
          <cell r="J8067">
            <v>0</v>
          </cell>
        </row>
        <row r="8068">
          <cell r="A8068" t="str">
            <v>CIVLA</v>
          </cell>
          <cell r="J8068">
            <v>0</v>
          </cell>
        </row>
        <row r="8069">
          <cell r="A8069" t="str">
            <v>CIVLA</v>
          </cell>
          <cell r="J8069">
            <v>0</v>
          </cell>
        </row>
        <row r="8070">
          <cell r="A8070" t="str">
            <v>CIVLA</v>
          </cell>
          <cell r="J8070">
            <v>0</v>
          </cell>
        </row>
        <row r="8071">
          <cell r="A8071" t="str">
            <v>CIVLA</v>
          </cell>
          <cell r="J8071">
            <v>0</v>
          </cell>
        </row>
        <row r="8072">
          <cell r="A8072" t="str">
            <v>CIVLA</v>
          </cell>
          <cell r="J8072">
            <v>0</v>
          </cell>
        </row>
        <row r="8073">
          <cell r="A8073" t="str">
            <v>CIVLA</v>
          </cell>
          <cell r="J8073">
            <v>0</v>
          </cell>
        </row>
        <row r="8074">
          <cell r="A8074" t="str">
            <v>CIVLA</v>
          </cell>
          <cell r="J8074">
            <v>0</v>
          </cell>
        </row>
        <row r="8075">
          <cell r="A8075" t="str">
            <v>CIVLA</v>
          </cell>
          <cell r="J8075">
            <v>0</v>
          </cell>
        </row>
        <row r="8076">
          <cell r="A8076" t="str">
            <v>CIVLA</v>
          </cell>
          <cell r="J8076">
            <v>0</v>
          </cell>
        </row>
        <row r="8077">
          <cell r="A8077" t="str">
            <v>CIVLA</v>
          </cell>
          <cell r="J8077">
            <v>0</v>
          </cell>
        </row>
        <row r="8078">
          <cell r="A8078" t="str">
            <v>CIVLA</v>
          </cell>
          <cell r="J8078">
            <v>0</v>
          </cell>
        </row>
        <row r="8079">
          <cell r="A8079" t="str">
            <v>CIVLA</v>
          </cell>
          <cell r="J8079">
            <v>0</v>
          </cell>
        </row>
        <row r="8080">
          <cell r="A8080" t="str">
            <v>CIVLA</v>
          </cell>
          <cell r="J8080">
            <v>0</v>
          </cell>
        </row>
        <row r="8081">
          <cell r="A8081" t="str">
            <v>CIVLA</v>
          </cell>
          <cell r="J8081">
            <v>0</v>
          </cell>
        </row>
        <row r="8082">
          <cell r="A8082" t="str">
            <v>CIVLA</v>
          </cell>
          <cell r="J8082">
            <v>0</v>
          </cell>
        </row>
        <row r="8083">
          <cell r="A8083" t="str">
            <v>CIVLA</v>
          </cell>
          <cell r="J8083">
            <v>0</v>
          </cell>
        </row>
        <row r="8084">
          <cell r="A8084" t="str">
            <v>CIVLA</v>
          </cell>
          <cell r="J8084">
            <v>0</v>
          </cell>
        </row>
        <row r="8085">
          <cell r="A8085" t="str">
            <v>CIVLA</v>
          </cell>
          <cell r="J8085">
            <v>0</v>
          </cell>
        </row>
        <row r="8086">
          <cell r="A8086" t="str">
            <v>CIVLA</v>
          </cell>
          <cell r="J8086">
            <v>0</v>
          </cell>
        </row>
        <row r="8087">
          <cell r="A8087" t="str">
            <v>CIVLA</v>
          </cell>
          <cell r="J8087">
            <v>0</v>
          </cell>
        </row>
        <row r="8088">
          <cell r="A8088" t="str">
            <v>CIVLA</v>
          </cell>
          <cell r="J8088">
            <v>0</v>
          </cell>
        </row>
        <row r="8089">
          <cell r="A8089" t="str">
            <v>CIVLA</v>
          </cell>
          <cell r="J8089">
            <v>0</v>
          </cell>
        </row>
        <row r="8090">
          <cell r="A8090" t="str">
            <v>CIVLA</v>
          </cell>
          <cell r="J8090">
            <v>0</v>
          </cell>
        </row>
        <row r="8091">
          <cell r="A8091" t="str">
            <v>CIVLA</v>
          </cell>
          <cell r="J8091">
            <v>0</v>
          </cell>
        </row>
        <row r="8092">
          <cell r="A8092" t="str">
            <v>CIVLA</v>
          </cell>
          <cell r="J8092">
            <v>0</v>
          </cell>
        </row>
        <row r="8093">
          <cell r="A8093" t="str">
            <v>CIVLA</v>
          </cell>
          <cell r="J8093">
            <v>0</v>
          </cell>
        </row>
        <row r="8094">
          <cell r="A8094" t="str">
            <v>CIVLA</v>
          </cell>
          <cell r="J8094">
            <v>0</v>
          </cell>
        </row>
        <row r="8095">
          <cell r="A8095" t="str">
            <v>CIVLA</v>
          </cell>
          <cell r="J8095">
            <v>0</v>
          </cell>
        </row>
        <row r="8096">
          <cell r="A8096" t="str">
            <v>CIVLA</v>
          </cell>
          <cell r="J8096">
            <v>0</v>
          </cell>
        </row>
        <row r="8097">
          <cell r="A8097" t="str">
            <v>CIVLA</v>
          </cell>
          <cell r="J8097">
            <v>0</v>
          </cell>
        </row>
        <row r="8098">
          <cell r="A8098" t="str">
            <v>CIVLA</v>
          </cell>
          <cell r="J8098">
            <v>0</v>
          </cell>
        </row>
        <row r="8099">
          <cell r="A8099" t="str">
            <v>CIVLA</v>
          </cell>
          <cell r="J8099">
            <v>0</v>
          </cell>
        </row>
        <row r="8100">
          <cell r="A8100" t="str">
            <v>CIVLA</v>
          </cell>
          <cell r="J8100">
            <v>0</v>
          </cell>
        </row>
        <row r="8101">
          <cell r="A8101" t="str">
            <v>CIVLA</v>
          </cell>
          <cell r="J8101">
            <v>0</v>
          </cell>
        </row>
        <row r="8102">
          <cell r="A8102" t="str">
            <v>CIVLA</v>
          </cell>
          <cell r="J8102">
            <v>0</v>
          </cell>
        </row>
        <row r="8103">
          <cell r="A8103" t="str">
            <v>CIVLA</v>
          </cell>
          <cell r="J8103">
            <v>0</v>
          </cell>
        </row>
        <row r="8104">
          <cell r="A8104" t="str">
            <v>CIVLA</v>
          </cell>
          <cell r="J8104">
            <v>0</v>
          </cell>
        </row>
        <row r="8105">
          <cell r="A8105" t="str">
            <v>CIVLA</v>
          </cell>
          <cell r="J8105">
            <v>0</v>
          </cell>
        </row>
        <row r="8106">
          <cell r="A8106" t="str">
            <v>CIVLA</v>
          </cell>
          <cell r="J8106">
            <v>0</v>
          </cell>
        </row>
        <row r="8107">
          <cell r="A8107" t="str">
            <v>CIVLA</v>
          </cell>
          <cell r="J8107">
            <v>0</v>
          </cell>
        </row>
        <row r="8108">
          <cell r="A8108" t="str">
            <v>CIVLA</v>
          </cell>
          <cell r="J8108">
            <v>0</v>
          </cell>
        </row>
        <row r="8109">
          <cell r="A8109" t="str">
            <v>CIVLA</v>
          </cell>
          <cell r="J8109">
            <v>0</v>
          </cell>
        </row>
        <row r="8110">
          <cell r="A8110" t="str">
            <v>CIVLA</v>
          </cell>
          <cell r="J8110">
            <v>0</v>
          </cell>
        </row>
        <row r="8111">
          <cell r="A8111" t="str">
            <v>CIVLA</v>
          </cell>
          <cell r="J8111">
            <v>0</v>
          </cell>
        </row>
        <row r="8112">
          <cell r="A8112" t="str">
            <v>CIVLA</v>
          </cell>
          <cell r="J8112">
            <v>0</v>
          </cell>
        </row>
        <row r="8113">
          <cell r="A8113" t="str">
            <v>CIVLA</v>
          </cell>
          <cell r="J8113">
            <v>0</v>
          </cell>
        </row>
        <row r="8114">
          <cell r="A8114" t="str">
            <v>CIVLA</v>
          </cell>
          <cell r="J8114">
            <v>0</v>
          </cell>
        </row>
        <row r="8115">
          <cell r="A8115" t="str">
            <v>CIVLA</v>
          </cell>
          <cell r="J8115">
            <v>0</v>
          </cell>
        </row>
        <row r="8116">
          <cell r="A8116" t="str">
            <v>CIVLA</v>
          </cell>
          <cell r="J8116">
            <v>0</v>
          </cell>
        </row>
        <row r="8117">
          <cell r="A8117" t="str">
            <v>CIVLA</v>
          </cell>
          <cell r="J8117">
            <v>0</v>
          </cell>
        </row>
        <row r="8118">
          <cell r="A8118" t="str">
            <v>CIVLA</v>
          </cell>
          <cell r="J8118">
            <v>0</v>
          </cell>
        </row>
        <row r="8119">
          <cell r="A8119" t="str">
            <v>CIVLA</v>
          </cell>
          <cell r="J8119">
            <v>0</v>
          </cell>
        </row>
        <row r="8120">
          <cell r="A8120" t="str">
            <v>CIVLA</v>
          </cell>
          <cell r="J8120">
            <v>0</v>
          </cell>
        </row>
        <row r="8121">
          <cell r="A8121" t="str">
            <v>CIVLA</v>
          </cell>
          <cell r="J8121">
            <v>0</v>
          </cell>
        </row>
        <row r="8122">
          <cell r="A8122" t="str">
            <v>CIVLA</v>
          </cell>
          <cell r="J8122">
            <v>0</v>
          </cell>
        </row>
        <row r="8123">
          <cell r="A8123" t="str">
            <v>CIVLA</v>
          </cell>
          <cell r="J8123">
            <v>0</v>
          </cell>
        </row>
        <row r="8124">
          <cell r="A8124" t="str">
            <v>CIVLA</v>
          </cell>
          <cell r="J8124">
            <v>0</v>
          </cell>
        </row>
        <row r="8125">
          <cell r="A8125" t="str">
            <v>CIVLA</v>
          </cell>
          <cell r="J8125">
            <v>0</v>
          </cell>
        </row>
        <row r="8126">
          <cell r="A8126" t="str">
            <v>CIVLA</v>
          </cell>
          <cell r="J8126">
            <v>0</v>
          </cell>
        </row>
        <row r="8127">
          <cell r="A8127" t="str">
            <v>CIVLA</v>
          </cell>
          <cell r="J8127">
            <v>0</v>
          </cell>
        </row>
        <row r="8128">
          <cell r="A8128" t="str">
            <v>CIVLA</v>
          </cell>
          <cell r="J8128">
            <v>0</v>
          </cell>
        </row>
        <row r="8129">
          <cell r="A8129" t="str">
            <v>CIVLA</v>
          </cell>
          <cell r="J8129">
            <v>0</v>
          </cell>
        </row>
        <row r="8130">
          <cell r="A8130" t="str">
            <v>CIVLA</v>
          </cell>
          <cell r="J8130">
            <v>0</v>
          </cell>
        </row>
        <row r="8131">
          <cell r="A8131" t="str">
            <v>CIVLA</v>
          </cell>
          <cell r="J8131">
            <v>0</v>
          </cell>
        </row>
        <row r="8132">
          <cell r="A8132" t="str">
            <v>CIVLA</v>
          </cell>
          <cell r="J8132">
            <v>0</v>
          </cell>
        </row>
        <row r="8133">
          <cell r="A8133" t="str">
            <v>CIVLA</v>
          </cell>
          <cell r="J8133">
            <v>0</v>
          </cell>
        </row>
        <row r="8134">
          <cell r="A8134" t="str">
            <v>CIVLA</v>
          </cell>
          <cell r="J8134">
            <v>0</v>
          </cell>
        </row>
        <row r="8135">
          <cell r="A8135" t="str">
            <v>CIVLA</v>
          </cell>
          <cell r="J8135">
            <v>0</v>
          </cell>
        </row>
        <row r="8136">
          <cell r="A8136" t="str">
            <v>CIVLA</v>
          </cell>
          <cell r="J8136">
            <v>0</v>
          </cell>
        </row>
        <row r="8137">
          <cell r="A8137" t="str">
            <v>CIVLA</v>
          </cell>
          <cell r="J8137">
            <v>0</v>
          </cell>
        </row>
        <row r="8138">
          <cell r="A8138" t="str">
            <v>CIVLA</v>
          </cell>
          <cell r="J8138">
            <v>0</v>
          </cell>
        </row>
        <row r="8139">
          <cell r="A8139" t="str">
            <v>CIVLA</v>
          </cell>
          <cell r="J8139">
            <v>0</v>
          </cell>
        </row>
        <row r="8140">
          <cell r="A8140" t="str">
            <v>CIVLA</v>
          </cell>
          <cell r="J8140">
            <v>0</v>
          </cell>
        </row>
        <row r="8141">
          <cell r="A8141" t="str">
            <v>CIVLA</v>
          </cell>
          <cell r="J8141">
            <v>0</v>
          </cell>
        </row>
        <row r="8142">
          <cell r="A8142" t="str">
            <v>CIVLA</v>
          </cell>
          <cell r="J8142">
            <v>0</v>
          </cell>
        </row>
        <row r="8143">
          <cell r="A8143" t="str">
            <v>CIVLA</v>
          </cell>
          <cell r="J8143">
            <v>0</v>
          </cell>
        </row>
        <row r="8144">
          <cell r="A8144" t="str">
            <v>CIVLA</v>
          </cell>
          <cell r="J8144">
            <v>0</v>
          </cell>
        </row>
        <row r="8145">
          <cell r="A8145" t="str">
            <v>CIVLA</v>
          </cell>
          <cell r="J8145">
            <v>0</v>
          </cell>
        </row>
        <row r="8146">
          <cell r="A8146" t="str">
            <v>CIVLA</v>
          </cell>
          <cell r="J8146">
            <v>0</v>
          </cell>
        </row>
        <row r="8147">
          <cell r="A8147" t="str">
            <v>CIVLA</v>
          </cell>
          <cell r="J8147">
            <v>0</v>
          </cell>
        </row>
        <row r="8148">
          <cell r="A8148" t="str">
            <v>CIVLA</v>
          </cell>
          <cell r="J8148">
            <v>0</v>
          </cell>
        </row>
        <row r="8149">
          <cell r="A8149" t="str">
            <v>CIVLA</v>
          </cell>
          <cell r="J8149">
            <v>0</v>
          </cell>
        </row>
        <row r="8150">
          <cell r="A8150" t="str">
            <v>CIVLA</v>
          </cell>
          <cell r="J8150">
            <v>0</v>
          </cell>
        </row>
        <row r="8151">
          <cell r="A8151" t="str">
            <v>CIVLA</v>
          </cell>
          <cell r="J8151">
            <v>0</v>
          </cell>
        </row>
        <row r="8152">
          <cell r="A8152" t="str">
            <v>CIVLA</v>
          </cell>
          <cell r="J8152">
            <v>0</v>
          </cell>
        </row>
        <row r="8153">
          <cell r="A8153" t="str">
            <v>CIVLA</v>
          </cell>
          <cell r="J8153">
            <v>0</v>
          </cell>
        </row>
        <row r="8154">
          <cell r="A8154" t="str">
            <v>CIVLA</v>
          </cell>
          <cell r="J8154">
            <v>0</v>
          </cell>
        </row>
        <row r="8155">
          <cell r="A8155" t="str">
            <v>CIVLA</v>
          </cell>
          <cell r="J8155">
            <v>0</v>
          </cell>
        </row>
        <row r="8156">
          <cell r="A8156" t="str">
            <v>CIVLA</v>
          </cell>
          <cell r="J8156">
            <v>0</v>
          </cell>
        </row>
        <row r="8157">
          <cell r="A8157" t="str">
            <v>CIVLA</v>
          </cell>
          <cell r="J8157">
            <v>0</v>
          </cell>
        </row>
        <row r="8158">
          <cell r="A8158" t="str">
            <v>CIVLA</v>
          </cell>
          <cell r="J8158">
            <v>0</v>
          </cell>
        </row>
        <row r="8159">
          <cell r="A8159" t="str">
            <v>CIVLA</v>
          </cell>
          <cell r="J8159">
            <v>0</v>
          </cell>
        </row>
        <row r="8160">
          <cell r="A8160" t="str">
            <v>CIVLA</v>
          </cell>
          <cell r="J8160">
            <v>0</v>
          </cell>
        </row>
        <row r="8161">
          <cell r="A8161" t="str">
            <v>CIVLA</v>
          </cell>
          <cell r="J8161">
            <v>0</v>
          </cell>
        </row>
        <row r="8162">
          <cell r="A8162" t="str">
            <v>CIVLA</v>
          </cell>
          <cell r="J8162">
            <v>0</v>
          </cell>
        </row>
        <row r="8163">
          <cell r="A8163" t="str">
            <v>CIVLA</v>
          </cell>
          <cell r="J8163">
            <v>0</v>
          </cell>
        </row>
        <row r="8164">
          <cell r="A8164" t="str">
            <v>CIVLA</v>
          </cell>
          <cell r="J8164">
            <v>0</v>
          </cell>
        </row>
        <row r="8165">
          <cell r="A8165" t="str">
            <v>CIVLA</v>
          </cell>
          <cell r="J8165">
            <v>0</v>
          </cell>
        </row>
        <row r="8166">
          <cell r="A8166" t="str">
            <v>CIVLA</v>
          </cell>
          <cell r="J8166">
            <v>0</v>
          </cell>
        </row>
        <row r="8167">
          <cell r="A8167" t="str">
            <v>CIVLA</v>
          </cell>
          <cell r="J8167">
            <v>0</v>
          </cell>
        </row>
        <row r="8168">
          <cell r="A8168" t="str">
            <v>CIVLA</v>
          </cell>
          <cell r="J8168">
            <v>0</v>
          </cell>
        </row>
        <row r="8169">
          <cell r="A8169" t="str">
            <v>CIVLA</v>
          </cell>
          <cell r="J8169">
            <v>0</v>
          </cell>
        </row>
        <row r="8170">
          <cell r="A8170" t="str">
            <v>CIVLA</v>
          </cell>
          <cell r="J8170">
            <v>0</v>
          </cell>
        </row>
        <row r="8171">
          <cell r="A8171" t="str">
            <v>CIVLA</v>
          </cell>
          <cell r="J8171">
            <v>0</v>
          </cell>
        </row>
        <row r="8172">
          <cell r="A8172" t="str">
            <v>CIVLA</v>
          </cell>
          <cell r="J8172">
            <v>0</v>
          </cell>
        </row>
        <row r="8173">
          <cell r="A8173" t="str">
            <v>CIVLA</v>
          </cell>
          <cell r="J8173">
            <v>0</v>
          </cell>
        </row>
        <row r="8174">
          <cell r="A8174" t="str">
            <v>CIVLA</v>
          </cell>
          <cell r="J8174">
            <v>0</v>
          </cell>
        </row>
        <row r="8175">
          <cell r="A8175" t="str">
            <v>CIVLA</v>
          </cell>
          <cell r="J8175">
            <v>0</v>
          </cell>
        </row>
        <row r="8176">
          <cell r="A8176" t="str">
            <v>CIVLA</v>
          </cell>
          <cell r="J8176">
            <v>0</v>
          </cell>
        </row>
        <row r="8177">
          <cell r="A8177" t="str">
            <v>CIVLA</v>
          </cell>
          <cell r="J8177">
            <v>0</v>
          </cell>
        </row>
        <row r="8178">
          <cell r="A8178" t="str">
            <v>CIVLA</v>
          </cell>
          <cell r="J8178">
            <v>0</v>
          </cell>
        </row>
        <row r="8179">
          <cell r="A8179" t="str">
            <v>CIVLA</v>
          </cell>
          <cell r="J8179">
            <v>0</v>
          </cell>
        </row>
        <row r="8180">
          <cell r="A8180" t="str">
            <v>CIVLA</v>
          </cell>
          <cell r="J8180">
            <v>0</v>
          </cell>
        </row>
        <row r="8181">
          <cell r="A8181" t="str">
            <v>CIVLA</v>
          </cell>
          <cell r="J8181">
            <v>0</v>
          </cell>
        </row>
        <row r="8182">
          <cell r="A8182" t="str">
            <v>CIVLA</v>
          </cell>
          <cell r="J8182">
            <v>0</v>
          </cell>
        </row>
        <row r="8183">
          <cell r="A8183" t="str">
            <v>CIVLA</v>
          </cell>
          <cell r="J8183">
            <v>0</v>
          </cell>
        </row>
        <row r="8184">
          <cell r="A8184" t="str">
            <v>CIVLA</v>
          </cell>
          <cell r="J8184">
            <v>0</v>
          </cell>
        </row>
        <row r="8185">
          <cell r="A8185" t="str">
            <v>CIVLA</v>
          </cell>
          <cell r="J8185">
            <v>0</v>
          </cell>
        </row>
        <row r="8186">
          <cell r="A8186" t="str">
            <v>CIVLA</v>
          </cell>
          <cell r="J8186">
            <v>0</v>
          </cell>
        </row>
        <row r="8187">
          <cell r="A8187" t="str">
            <v>CIVLA</v>
          </cell>
          <cell r="J8187">
            <v>0</v>
          </cell>
        </row>
        <row r="8188">
          <cell r="A8188" t="str">
            <v>CIVLA</v>
          </cell>
          <cell r="J8188">
            <v>0</v>
          </cell>
        </row>
        <row r="8189">
          <cell r="A8189" t="str">
            <v>CIVLA</v>
          </cell>
          <cell r="J8189">
            <v>0</v>
          </cell>
        </row>
        <row r="8190">
          <cell r="A8190" t="str">
            <v>CIVLA</v>
          </cell>
          <cell r="J8190">
            <v>0</v>
          </cell>
        </row>
        <row r="8191">
          <cell r="A8191" t="str">
            <v>CIVLA</v>
          </cell>
          <cell r="J8191">
            <v>0</v>
          </cell>
        </row>
        <row r="8192">
          <cell r="A8192" t="str">
            <v>CIVLA</v>
          </cell>
          <cell r="J8192">
            <v>0</v>
          </cell>
        </row>
        <row r="8193">
          <cell r="A8193" t="str">
            <v>CIVLA</v>
          </cell>
          <cell r="J8193">
            <v>0</v>
          </cell>
        </row>
        <row r="8194">
          <cell r="A8194" t="str">
            <v>CIVLA</v>
          </cell>
          <cell r="J8194">
            <v>0</v>
          </cell>
        </row>
        <row r="8195">
          <cell r="A8195" t="str">
            <v>CIVLA</v>
          </cell>
          <cell r="J8195">
            <v>0</v>
          </cell>
        </row>
        <row r="8196">
          <cell r="A8196" t="str">
            <v>CIVLA</v>
          </cell>
          <cell r="J8196">
            <v>0</v>
          </cell>
        </row>
        <row r="8197">
          <cell r="A8197" t="str">
            <v>CIVLA</v>
          </cell>
          <cell r="J8197">
            <v>0</v>
          </cell>
        </row>
        <row r="8198">
          <cell r="A8198" t="str">
            <v>CIVLA</v>
          </cell>
          <cell r="J8198">
            <v>0</v>
          </cell>
        </row>
        <row r="8199">
          <cell r="A8199" t="str">
            <v>CIVLA</v>
          </cell>
          <cell r="J8199">
            <v>0</v>
          </cell>
        </row>
        <row r="8200">
          <cell r="A8200" t="str">
            <v>CIVLA</v>
          </cell>
          <cell r="J8200">
            <v>0</v>
          </cell>
        </row>
        <row r="8201">
          <cell r="A8201" t="str">
            <v>CIVLA</v>
          </cell>
          <cell r="J8201">
            <v>0</v>
          </cell>
        </row>
        <row r="8202">
          <cell r="A8202" t="str">
            <v>CIVLA</v>
          </cell>
          <cell r="J8202">
            <v>0</v>
          </cell>
        </row>
        <row r="8203">
          <cell r="A8203" t="str">
            <v>CIVLA</v>
          </cell>
          <cell r="J8203">
            <v>0</v>
          </cell>
        </row>
        <row r="8204">
          <cell r="A8204" t="str">
            <v>CIVLA</v>
          </cell>
          <cell r="J8204">
            <v>0</v>
          </cell>
        </row>
        <row r="8205">
          <cell r="A8205" t="str">
            <v>CIVLA</v>
          </cell>
          <cell r="J8205">
            <v>0</v>
          </cell>
        </row>
        <row r="8206">
          <cell r="A8206" t="str">
            <v>CIVLA</v>
          </cell>
          <cell r="J8206">
            <v>0</v>
          </cell>
        </row>
        <row r="8207">
          <cell r="A8207" t="str">
            <v>CIVLA</v>
          </cell>
          <cell r="J8207">
            <v>0</v>
          </cell>
        </row>
        <row r="8208">
          <cell r="A8208" t="str">
            <v>CIVLA</v>
          </cell>
          <cell r="J8208">
            <v>0</v>
          </cell>
        </row>
        <row r="8209">
          <cell r="A8209" t="str">
            <v>CIVLA</v>
          </cell>
          <cell r="J8209">
            <v>0</v>
          </cell>
        </row>
        <row r="8210">
          <cell r="A8210" t="str">
            <v>CIVLA</v>
          </cell>
          <cell r="J8210">
            <v>0</v>
          </cell>
        </row>
        <row r="8211">
          <cell r="A8211" t="str">
            <v>CIVLA</v>
          </cell>
          <cell r="J8211">
            <v>0</v>
          </cell>
        </row>
        <row r="8212">
          <cell r="A8212" t="str">
            <v>CIVLA</v>
          </cell>
          <cell r="J8212">
            <v>0</v>
          </cell>
        </row>
        <row r="8213">
          <cell r="A8213" t="str">
            <v>CIVLA</v>
          </cell>
          <cell r="J8213">
            <v>0</v>
          </cell>
        </row>
        <row r="8214">
          <cell r="A8214" t="str">
            <v>CIVLA</v>
          </cell>
          <cell r="J8214">
            <v>0</v>
          </cell>
        </row>
        <row r="8215">
          <cell r="A8215" t="str">
            <v>CIVLA</v>
          </cell>
          <cell r="J8215">
            <v>0</v>
          </cell>
        </row>
        <row r="8216">
          <cell r="A8216" t="str">
            <v>CIVLA</v>
          </cell>
          <cell r="J8216">
            <v>0</v>
          </cell>
        </row>
        <row r="8217">
          <cell r="A8217" t="str">
            <v>CIVLA</v>
          </cell>
          <cell r="J8217">
            <v>0</v>
          </cell>
        </row>
        <row r="8218">
          <cell r="A8218" t="str">
            <v>CIVLA</v>
          </cell>
          <cell r="J8218">
            <v>0</v>
          </cell>
        </row>
        <row r="8219">
          <cell r="A8219" t="str">
            <v>CIVLA</v>
          </cell>
          <cell r="J8219">
            <v>0</v>
          </cell>
        </row>
        <row r="8220">
          <cell r="A8220" t="str">
            <v>CIVLA</v>
          </cell>
          <cell r="J8220">
            <v>0</v>
          </cell>
        </row>
        <row r="8221">
          <cell r="A8221" t="str">
            <v>CIVLA</v>
          </cell>
          <cell r="J8221">
            <v>0</v>
          </cell>
        </row>
        <row r="8222">
          <cell r="A8222" t="str">
            <v>CIVLA</v>
          </cell>
          <cell r="J8222">
            <v>0</v>
          </cell>
        </row>
        <row r="8223">
          <cell r="A8223" t="str">
            <v>CIVLA</v>
          </cell>
          <cell r="J8223">
            <v>0</v>
          </cell>
        </row>
        <row r="8224">
          <cell r="A8224" t="str">
            <v>CIVLA</v>
          </cell>
          <cell r="J8224">
            <v>0</v>
          </cell>
        </row>
        <row r="8225">
          <cell r="A8225" t="str">
            <v>CIVLA</v>
          </cell>
          <cell r="J8225">
            <v>0</v>
          </cell>
        </row>
        <row r="8226">
          <cell r="A8226" t="str">
            <v>CIVLA</v>
          </cell>
          <cell r="J8226">
            <v>0</v>
          </cell>
        </row>
        <row r="8227">
          <cell r="A8227" t="str">
            <v>CIVLA</v>
          </cell>
          <cell r="J8227">
            <v>0</v>
          </cell>
        </row>
        <row r="8228">
          <cell r="A8228" t="str">
            <v>CIVLA</v>
          </cell>
          <cell r="J8228">
            <v>0</v>
          </cell>
        </row>
        <row r="8229">
          <cell r="A8229" t="str">
            <v>CIVLA</v>
          </cell>
          <cell r="J8229">
            <v>0</v>
          </cell>
        </row>
        <row r="8230">
          <cell r="A8230" t="str">
            <v>CIVLA</v>
          </cell>
          <cell r="J8230">
            <v>0</v>
          </cell>
        </row>
        <row r="8231">
          <cell r="A8231" t="str">
            <v>CIVLA</v>
          </cell>
          <cell r="J8231">
            <v>0</v>
          </cell>
        </row>
        <row r="8232">
          <cell r="A8232" t="str">
            <v>CIVLA</v>
          </cell>
          <cell r="J8232">
            <v>0</v>
          </cell>
        </row>
        <row r="8233">
          <cell r="A8233" t="str">
            <v>CIVLA</v>
          </cell>
          <cell r="J8233">
            <v>0</v>
          </cell>
        </row>
        <row r="8234">
          <cell r="A8234" t="str">
            <v>CIVLA</v>
          </cell>
          <cell r="J8234">
            <v>0</v>
          </cell>
        </row>
        <row r="8235">
          <cell r="A8235" t="str">
            <v>CIVLA</v>
          </cell>
          <cell r="J8235">
            <v>0</v>
          </cell>
        </row>
        <row r="8236">
          <cell r="A8236" t="str">
            <v>CIVLA</v>
          </cell>
          <cell r="J8236">
            <v>0</v>
          </cell>
        </row>
        <row r="8237">
          <cell r="A8237" t="str">
            <v>CIVLA</v>
          </cell>
          <cell r="J8237">
            <v>0</v>
          </cell>
        </row>
        <row r="8238">
          <cell r="A8238" t="str">
            <v>CIVLA</v>
          </cell>
          <cell r="J8238">
            <v>0</v>
          </cell>
        </row>
        <row r="8239">
          <cell r="A8239" t="str">
            <v>CIVLA</v>
          </cell>
          <cell r="J8239">
            <v>0</v>
          </cell>
        </row>
        <row r="8240">
          <cell r="A8240" t="str">
            <v>CIVLA</v>
          </cell>
          <cell r="J8240">
            <v>0</v>
          </cell>
        </row>
        <row r="8241">
          <cell r="A8241" t="str">
            <v>CIVLA</v>
          </cell>
          <cell r="J8241">
            <v>0</v>
          </cell>
        </row>
        <row r="8242">
          <cell r="A8242" t="str">
            <v>CIVLA</v>
          </cell>
          <cell r="J8242">
            <v>0</v>
          </cell>
        </row>
        <row r="8243">
          <cell r="A8243" t="str">
            <v>CIVLA</v>
          </cell>
          <cell r="J8243">
            <v>0</v>
          </cell>
        </row>
        <row r="8244">
          <cell r="A8244" t="str">
            <v>CIVLA</v>
          </cell>
          <cell r="J8244">
            <v>0</v>
          </cell>
        </row>
        <row r="8245">
          <cell r="A8245" t="str">
            <v>CIVLA</v>
          </cell>
          <cell r="J8245">
            <v>0</v>
          </cell>
        </row>
        <row r="8246">
          <cell r="A8246" t="str">
            <v>CIVLA</v>
          </cell>
          <cell r="J8246">
            <v>0</v>
          </cell>
        </row>
        <row r="8247">
          <cell r="A8247" t="str">
            <v>CIVLA</v>
          </cell>
          <cell r="J8247">
            <v>0</v>
          </cell>
        </row>
        <row r="8248">
          <cell r="A8248" t="str">
            <v>CIVLA</v>
          </cell>
          <cell r="J8248">
            <v>0</v>
          </cell>
        </row>
        <row r="8249">
          <cell r="A8249" t="str">
            <v>CIVLA</v>
          </cell>
          <cell r="J8249">
            <v>0</v>
          </cell>
        </row>
        <row r="8250">
          <cell r="A8250" t="str">
            <v>CIVLA</v>
          </cell>
          <cell r="J8250">
            <v>0</v>
          </cell>
        </row>
        <row r="8251">
          <cell r="A8251" t="str">
            <v>CIVLA</v>
          </cell>
          <cell r="J8251">
            <v>0</v>
          </cell>
        </row>
        <row r="8252">
          <cell r="A8252" t="str">
            <v>CIVLA</v>
          </cell>
          <cell r="J8252">
            <v>0</v>
          </cell>
        </row>
        <row r="8253">
          <cell r="A8253" t="str">
            <v>CIVLA</v>
          </cell>
          <cell r="J8253">
            <v>0</v>
          </cell>
        </row>
        <row r="8254">
          <cell r="A8254" t="str">
            <v>CIVLA</v>
          </cell>
          <cell r="J8254">
            <v>0</v>
          </cell>
        </row>
        <row r="8255">
          <cell r="A8255" t="str">
            <v>CIVLA</v>
          </cell>
          <cell r="J8255">
            <v>0</v>
          </cell>
        </row>
        <row r="8256">
          <cell r="A8256" t="str">
            <v>CIVLA</v>
          </cell>
          <cell r="J8256">
            <v>0</v>
          </cell>
        </row>
        <row r="8257">
          <cell r="A8257" t="str">
            <v>CIVLA</v>
          </cell>
          <cell r="J8257">
            <v>0</v>
          </cell>
        </row>
        <row r="8258">
          <cell r="A8258" t="str">
            <v>CIVLA</v>
          </cell>
          <cell r="J8258">
            <v>0</v>
          </cell>
        </row>
        <row r="8259">
          <cell r="A8259" t="str">
            <v>CIVLA</v>
          </cell>
          <cell r="J8259">
            <v>0</v>
          </cell>
        </row>
        <row r="8260">
          <cell r="A8260" t="str">
            <v>CIVLA</v>
          </cell>
          <cell r="J8260">
            <v>0</v>
          </cell>
        </row>
        <row r="8261">
          <cell r="A8261" t="str">
            <v>CIVLA</v>
          </cell>
          <cell r="J8261">
            <v>0</v>
          </cell>
        </row>
        <row r="8262">
          <cell r="A8262" t="str">
            <v>CIVLA</v>
          </cell>
          <cell r="J8262">
            <v>0</v>
          </cell>
        </row>
        <row r="8263">
          <cell r="A8263" t="str">
            <v>CIVLA</v>
          </cell>
          <cell r="J8263">
            <v>0</v>
          </cell>
        </row>
        <row r="8264">
          <cell r="A8264" t="str">
            <v>CIVLA</v>
          </cell>
          <cell r="J8264">
            <v>0</v>
          </cell>
        </row>
        <row r="8265">
          <cell r="A8265" t="str">
            <v>CIVLA</v>
          </cell>
          <cell r="J8265">
            <v>0</v>
          </cell>
        </row>
        <row r="8266">
          <cell r="A8266" t="str">
            <v>CIVLA</v>
          </cell>
          <cell r="J8266">
            <v>0</v>
          </cell>
        </row>
        <row r="8267">
          <cell r="A8267" t="str">
            <v>CIVLA</v>
          </cell>
          <cell r="J8267">
            <v>0</v>
          </cell>
        </row>
        <row r="8268">
          <cell r="A8268" t="str">
            <v>CIVLA</v>
          </cell>
          <cell r="J8268">
            <v>0</v>
          </cell>
        </row>
        <row r="8269">
          <cell r="A8269" t="str">
            <v>CIVLA</v>
          </cell>
          <cell r="J8269">
            <v>0</v>
          </cell>
        </row>
        <row r="8270">
          <cell r="A8270" t="str">
            <v>CIVLA</v>
          </cell>
          <cell r="J8270">
            <v>0</v>
          </cell>
        </row>
        <row r="8271">
          <cell r="A8271" t="str">
            <v>CIVLA</v>
          </cell>
          <cell r="J8271">
            <v>0</v>
          </cell>
        </row>
        <row r="8272">
          <cell r="A8272" t="str">
            <v>CIVLA</v>
          </cell>
          <cell r="J8272">
            <v>0</v>
          </cell>
        </row>
        <row r="8273">
          <cell r="A8273" t="str">
            <v>CIVLA</v>
          </cell>
          <cell r="J8273">
            <v>0</v>
          </cell>
        </row>
        <row r="8274">
          <cell r="A8274" t="str">
            <v>CIVLA</v>
          </cell>
          <cell r="J8274">
            <v>0</v>
          </cell>
        </row>
        <row r="8275">
          <cell r="A8275" t="str">
            <v>CIVLA</v>
          </cell>
          <cell r="J8275">
            <v>0</v>
          </cell>
        </row>
        <row r="8276">
          <cell r="A8276" t="str">
            <v>CIVLA</v>
          </cell>
          <cell r="J8276">
            <v>0</v>
          </cell>
        </row>
        <row r="8277">
          <cell r="A8277" t="str">
            <v>CIVLA</v>
          </cell>
          <cell r="J8277">
            <v>0</v>
          </cell>
        </row>
        <row r="8278">
          <cell r="A8278" t="str">
            <v>CIVLA</v>
          </cell>
          <cell r="J8278">
            <v>0</v>
          </cell>
        </row>
        <row r="8279">
          <cell r="A8279" t="str">
            <v>CIVLA</v>
          </cell>
          <cell r="J8279">
            <v>0</v>
          </cell>
        </row>
        <row r="8280">
          <cell r="A8280" t="str">
            <v>CIVLA</v>
          </cell>
          <cell r="J8280">
            <v>0</v>
          </cell>
        </row>
        <row r="8281">
          <cell r="A8281" t="str">
            <v>CIVLA</v>
          </cell>
          <cell r="J8281">
            <v>0</v>
          </cell>
        </row>
        <row r="8282">
          <cell r="A8282" t="str">
            <v>CIVLA</v>
          </cell>
          <cell r="J8282">
            <v>0</v>
          </cell>
        </row>
        <row r="8283">
          <cell r="A8283" t="str">
            <v>CIVLA</v>
          </cell>
          <cell r="J8283">
            <v>0</v>
          </cell>
        </row>
        <row r="8284">
          <cell r="A8284" t="str">
            <v>CIVLA</v>
          </cell>
          <cell r="J8284">
            <v>0</v>
          </cell>
        </row>
        <row r="8285">
          <cell r="A8285" t="str">
            <v>CIVLA</v>
          </cell>
          <cell r="J8285">
            <v>0</v>
          </cell>
        </row>
        <row r="8286">
          <cell r="A8286" t="str">
            <v>CIVLA</v>
          </cell>
          <cell r="J8286">
            <v>0</v>
          </cell>
        </row>
        <row r="8287">
          <cell r="A8287" t="str">
            <v>CIVLA</v>
          </cell>
          <cell r="J8287">
            <v>0</v>
          </cell>
        </row>
        <row r="8288">
          <cell r="A8288" t="str">
            <v>CIVLA</v>
          </cell>
          <cell r="J8288">
            <v>0</v>
          </cell>
        </row>
        <row r="8289">
          <cell r="A8289" t="str">
            <v>CIVLA</v>
          </cell>
          <cell r="J8289">
            <v>0</v>
          </cell>
        </row>
        <row r="8290">
          <cell r="A8290" t="str">
            <v>CIVLA</v>
          </cell>
          <cell r="J8290">
            <v>0</v>
          </cell>
        </row>
        <row r="8291">
          <cell r="A8291" t="str">
            <v>CIVLA</v>
          </cell>
          <cell r="J8291">
            <v>0</v>
          </cell>
        </row>
        <row r="8292">
          <cell r="A8292" t="str">
            <v>CIVLA</v>
          </cell>
          <cell r="J8292">
            <v>0</v>
          </cell>
        </row>
        <row r="8293">
          <cell r="A8293" t="str">
            <v>CIVLA</v>
          </cell>
          <cell r="J8293">
            <v>0</v>
          </cell>
        </row>
        <row r="8294">
          <cell r="A8294" t="str">
            <v>CIVLA</v>
          </cell>
          <cell r="J8294">
            <v>0</v>
          </cell>
        </row>
        <row r="8295">
          <cell r="A8295" t="str">
            <v>CIVLA</v>
          </cell>
          <cell r="J8295">
            <v>0</v>
          </cell>
        </row>
        <row r="8296">
          <cell r="A8296" t="str">
            <v>CIVLA</v>
          </cell>
          <cell r="J8296">
            <v>0</v>
          </cell>
        </row>
        <row r="8297">
          <cell r="A8297" t="str">
            <v>CIVLA</v>
          </cell>
          <cell r="J8297">
            <v>0</v>
          </cell>
        </row>
        <row r="8298">
          <cell r="A8298" t="str">
            <v>CIVLA</v>
          </cell>
          <cell r="J8298">
            <v>0</v>
          </cell>
        </row>
        <row r="8299">
          <cell r="A8299" t="str">
            <v>CIVLA</v>
          </cell>
          <cell r="J8299">
            <v>0</v>
          </cell>
        </row>
        <row r="8300">
          <cell r="A8300" t="str">
            <v>CIVLA</v>
          </cell>
          <cell r="J8300">
            <v>0</v>
          </cell>
        </row>
        <row r="8301">
          <cell r="A8301" t="str">
            <v>CIVLA</v>
          </cell>
          <cell r="J8301">
            <v>0</v>
          </cell>
        </row>
        <row r="8302">
          <cell r="A8302" t="str">
            <v>CIVLA</v>
          </cell>
          <cell r="J8302">
            <v>0</v>
          </cell>
        </row>
        <row r="8303">
          <cell r="A8303" t="str">
            <v>CIVLA</v>
          </cell>
          <cell r="J8303">
            <v>0</v>
          </cell>
        </row>
        <row r="8304">
          <cell r="A8304" t="str">
            <v>CIVLA</v>
          </cell>
          <cell r="J8304">
            <v>0</v>
          </cell>
        </row>
        <row r="8305">
          <cell r="A8305" t="str">
            <v>CIVLA</v>
          </cell>
          <cell r="J8305">
            <v>0</v>
          </cell>
        </row>
        <row r="8306">
          <cell r="A8306" t="str">
            <v>CIVLA</v>
          </cell>
          <cell r="J8306">
            <v>0</v>
          </cell>
        </row>
        <row r="8307">
          <cell r="A8307" t="str">
            <v>CIVLA</v>
          </cell>
          <cell r="J8307">
            <v>0</v>
          </cell>
        </row>
        <row r="8308">
          <cell r="A8308" t="str">
            <v>CIVLA</v>
          </cell>
          <cell r="J8308">
            <v>0</v>
          </cell>
        </row>
        <row r="8309">
          <cell r="A8309" t="str">
            <v>CIVLA</v>
          </cell>
          <cell r="J8309">
            <v>0</v>
          </cell>
        </row>
        <row r="8310">
          <cell r="A8310" t="str">
            <v>CIVLA</v>
          </cell>
          <cell r="J8310">
            <v>0</v>
          </cell>
        </row>
        <row r="8311">
          <cell r="A8311" t="str">
            <v>CIVLA</v>
          </cell>
          <cell r="J8311">
            <v>0</v>
          </cell>
        </row>
        <row r="8312">
          <cell r="A8312" t="str">
            <v>CIVLA</v>
          </cell>
          <cell r="J8312">
            <v>0</v>
          </cell>
        </row>
        <row r="8313">
          <cell r="A8313" t="str">
            <v>CIVLA</v>
          </cell>
          <cell r="J8313">
            <v>0</v>
          </cell>
        </row>
        <row r="8314">
          <cell r="A8314" t="str">
            <v>CIVLA</v>
          </cell>
          <cell r="J8314">
            <v>0</v>
          </cell>
        </row>
        <row r="8315">
          <cell r="A8315" t="str">
            <v>CIVLA</v>
          </cell>
          <cell r="J8315">
            <v>0</v>
          </cell>
        </row>
        <row r="8316">
          <cell r="A8316" t="str">
            <v>CIVLA</v>
          </cell>
          <cell r="J8316">
            <v>0</v>
          </cell>
        </row>
        <row r="8317">
          <cell r="A8317" t="str">
            <v>CIVLA</v>
          </cell>
          <cell r="J8317">
            <v>0</v>
          </cell>
        </row>
        <row r="8318">
          <cell r="A8318" t="str">
            <v>CIVLA</v>
          </cell>
          <cell r="J8318">
            <v>0</v>
          </cell>
        </row>
        <row r="8319">
          <cell r="A8319" t="str">
            <v>CIVLA</v>
          </cell>
          <cell r="J8319">
            <v>0</v>
          </cell>
        </row>
        <row r="8320">
          <cell r="A8320" t="str">
            <v>CIVLA</v>
          </cell>
          <cell r="J8320">
            <v>0</v>
          </cell>
        </row>
        <row r="8321">
          <cell r="A8321" t="str">
            <v>CIVLA</v>
          </cell>
          <cell r="J8321">
            <v>0</v>
          </cell>
        </row>
        <row r="8322">
          <cell r="A8322" t="str">
            <v>CIVLA</v>
          </cell>
          <cell r="J8322">
            <v>0</v>
          </cell>
        </row>
        <row r="8323">
          <cell r="A8323" t="str">
            <v>CIVLA</v>
          </cell>
          <cell r="J8323">
            <v>0</v>
          </cell>
        </row>
        <row r="8324">
          <cell r="A8324" t="str">
            <v>CIVLA</v>
          </cell>
          <cell r="J8324">
            <v>0</v>
          </cell>
        </row>
        <row r="8325">
          <cell r="A8325" t="str">
            <v>CIVLA</v>
          </cell>
          <cell r="J8325">
            <v>0</v>
          </cell>
        </row>
        <row r="8326">
          <cell r="A8326" t="str">
            <v>CIVLA</v>
          </cell>
          <cell r="J8326">
            <v>0</v>
          </cell>
        </row>
        <row r="8327">
          <cell r="A8327" t="str">
            <v>CIVLA</v>
          </cell>
          <cell r="J8327">
            <v>0</v>
          </cell>
        </row>
        <row r="8328">
          <cell r="A8328" t="str">
            <v>CIVLA</v>
          </cell>
          <cell r="J8328">
            <v>0</v>
          </cell>
        </row>
        <row r="8329">
          <cell r="A8329" t="str">
            <v>CIVLA</v>
          </cell>
          <cell r="J8329">
            <v>0</v>
          </cell>
        </row>
        <row r="8330">
          <cell r="A8330" t="str">
            <v>CIVLA</v>
          </cell>
          <cell r="J8330">
            <v>0</v>
          </cell>
        </row>
        <row r="8331">
          <cell r="A8331" t="str">
            <v>CIVLA</v>
          </cell>
          <cell r="J8331">
            <v>0</v>
          </cell>
        </row>
        <row r="8332">
          <cell r="A8332" t="str">
            <v>CIVLA</v>
          </cell>
          <cell r="J8332">
            <v>0</v>
          </cell>
        </row>
        <row r="8333">
          <cell r="A8333" t="str">
            <v>CIVLA</v>
          </cell>
          <cell r="J8333">
            <v>0</v>
          </cell>
        </row>
        <row r="8334">
          <cell r="A8334" t="str">
            <v>CIVLA</v>
          </cell>
          <cell r="J8334">
            <v>0</v>
          </cell>
        </row>
        <row r="8335">
          <cell r="A8335" t="str">
            <v>CIVLA</v>
          </cell>
          <cell r="J8335">
            <v>0</v>
          </cell>
        </row>
        <row r="8336">
          <cell r="A8336" t="str">
            <v>CIVLA</v>
          </cell>
          <cell r="J8336">
            <v>0</v>
          </cell>
        </row>
        <row r="8337">
          <cell r="A8337" t="str">
            <v>CIVLA</v>
          </cell>
          <cell r="J8337">
            <v>0</v>
          </cell>
        </row>
        <row r="8338">
          <cell r="A8338" t="str">
            <v>CIVLA</v>
          </cell>
          <cell r="J8338">
            <v>0</v>
          </cell>
        </row>
        <row r="8339">
          <cell r="A8339" t="str">
            <v>CIVLA</v>
          </cell>
          <cell r="J8339">
            <v>0</v>
          </cell>
        </row>
        <row r="8340">
          <cell r="A8340" t="str">
            <v>CIVLA</v>
          </cell>
          <cell r="J8340">
            <v>0</v>
          </cell>
        </row>
        <row r="8341">
          <cell r="A8341" t="str">
            <v>CIVLA</v>
          </cell>
          <cell r="J8341">
            <v>0</v>
          </cell>
        </row>
        <row r="8342">
          <cell r="A8342" t="str">
            <v>CIVLA</v>
          </cell>
          <cell r="J8342">
            <v>0</v>
          </cell>
        </row>
        <row r="8343">
          <cell r="A8343" t="str">
            <v>CIVLA</v>
          </cell>
          <cell r="J8343">
            <v>0</v>
          </cell>
        </row>
        <row r="8344">
          <cell r="A8344" t="str">
            <v>CIVLA</v>
          </cell>
          <cell r="J8344">
            <v>0</v>
          </cell>
        </row>
        <row r="8345">
          <cell r="A8345" t="str">
            <v>CIVLA</v>
          </cell>
          <cell r="J8345">
            <v>0</v>
          </cell>
        </row>
        <row r="8346">
          <cell r="A8346" t="str">
            <v>CIVLA</v>
          </cell>
          <cell r="J8346">
            <v>0</v>
          </cell>
        </row>
        <row r="8347">
          <cell r="A8347" t="str">
            <v>CIVLA</v>
          </cell>
          <cell r="J8347">
            <v>0</v>
          </cell>
        </row>
        <row r="8348">
          <cell r="A8348" t="str">
            <v>CIVLA</v>
          </cell>
          <cell r="J8348">
            <v>0</v>
          </cell>
        </row>
        <row r="8349">
          <cell r="A8349" t="str">
            <v>CIVLA</v>
          </cell>
          <cell r="J8349">
            <v>0</v>
          </cell>
        </row>
        <row r="8350">
          <cell r="A8350" t="str">
            <v>CIVLA</v>
          </cell>
          <cell r="J8350">
            <v>0</v>
          </cell>
        </row>
        <row r="8351">
          <cell r="A8351" t="str">
            <v>CIVLA</v>
          </cell>
          <cell r="J8351">
            <v>0</v>
          </cell>
        </row>
        <row r="8352">
          <cell r="A8352" t="str">
            <v>CIVLA</v>
          </cell>
          <cell r="J8352">
            <v>0</v>
          </cell>
        </row>
        <row r="8353">
          <cell r="A8353" t="str">
            <v>CIVLA</v>
          </cell>
          <cell r="J8353">
            <v>0</v>
          </cell>
        </row>
        <row r="8354">
          <cell r="A8354" t="str">
            <v>CIVLA</v>
          </cell>
          <cell r="J8354">
            <v>0</v>
          </cell>
        </row>
        <row r="8355">
          <cell r="A8355" t="str">
            <v>CIVLA</v>
          </cell>
          <cell r="J8355">
            <v>0</v>
          </cell>
        </row>
        <row r="8356">
          <cell r="A8356" t="str">
            <v>CIVLA</v>
          </cell>
          <cell r="J8356">
            <v>0</v>
          </cell>
        </row>
        <row r="8357">
          <cell r="A8357" t="str">
            <v>CIVLA</v>
          </cell>
          <cell r="J8357">
            <v>0</v>
          </cell>
        </row>
        <row r="8358">
          <cell r="A8358" t="str">
            <v>CIVLA</v>
          </cell>
          <cell r="J8358">
            <v>0</v>
          </cell>
        </row>
        <row r="8359">
          <cell r="A8359" t="str">
            <v>CIVLA</v>
          </cell>
          <cell r="J8359">
            <v>0</v>
          </cell>
        </row>
        <row r="8360">
          <cell r="A8360" t="str">
            <v>CIVLA</v>
          </cell>
          <cell r="J8360">
            <v>0</v>
          </cell>
        </row>
        <row r="8361">
          <cell r="A8361" t="str">
            <v>CIVLA</v>
          </cell>
          <cell r="J8361">
            <v>0</v>
          </cell>
        </row>
        <row r="8362">
          <cell r="A8362" t="str">
            <v>CIVLA</v>
          </cell>
          <cell r="J8362">
            <v>0</v>
          </cell>
        </row>
        <row r="8363">
          <cell r="A8363" t="str">
            <v>CIVLA</v>
          </cell>
          <cell r="J8363">
            <v>0</v>
          </cell>
        </row>
        <row r="8364">
          <cell r="A8364" t="str">
            <v>CIVLA</v>
          </cell>
          <cell r="J8364">
            <v>0</v>
          </cell>
        </row>
        <row r="8365">
          <cell r="A8365" t="str">
            <v>CIVLA</v>
          </cell>
          <cell r="J8365">
            <v>0</v>
          </cell>
        </row>
        <row r="8366">
          <cell r="A8366" t="str">
            <v>CIVLA</v>
          </cell>
          <cell r="J8366">
            <v>0</v>
          </cell>
        </row>
        <row r="8367">
          <cell r="A8367" t="str">
            <v>CIVLA</v>
          </cell>
          <cell r="J8367">
            <v>0</v>
          </cell>
        </row>
        <row r="8368">
          <cell r="A8368" t="str">
            <v>CIVLA</v>
          </cell>
          <cell r="J8368">
            <v>0</v>
          </cell>
        </row>
        <row r="8369">
          <cell r="A8369" t="str">
            <v>CIVLA</v>
          </cell>
          <cell r="J8369">
            <v>0</v>
          </cell>
        </row>
        <row r="8370">
          <cell r="A8370" t="str">
            <v>CIVLA</v>
          </cell>
          <cell r="J8370">
            <v>0</v>
          </cell>
        </row>
        <row r="8371">
          <cell r="A8371" t="str">
            <v>CIVLA</v>
          </cell>
          <cell r="J8371">
            <v>0</v>
          </cell>
        </row>
        <row r="8372">
          <cell r="A8372" t="str">
            <v>CIVLA</v>
          </cell>
          <cell r="J8372">
            <v>0</v>
          </cell>
        </row>
        <row r="8373">
          <cell r="A8373" t="str">
            <v>CIVLA</v>
          </cell>
          <cell r="J8373">
            <v>0</v>
          </cell>
        </row>
        <row r="8374">
          <cell r="A8374" t="str">
            <v>CIVLA</v>
          </cell>
          <cell r="J8374">
            <v>0</v>
          </cell>
        </row>
        <row r="8375">
          <cell r="A8375" t="str">
            <v>CIVLA</v>
          </cell>
          <cell r="J8375">
            <v>0</v>
          </cell>
        </row>
        <row r="8376">
          <cell r="A8376" t="str">
            <v>CIVLA</v>
          </cell>
          <cell r="J8376">
            <v>0</v>
          </cell>
        </row>
        <row r="8377">
          <cell r="A8377" t="str">
            <v>CIVLA</v>
          </cell>
          <cell r="J8377">
            <v>0</v>
          </cell>
        </row>
        <row r="8378">
          <cell r="A8378" t="str">
            <v>CIVLA</v>
          </cell>
          <cell r="J8378">
            <v>0</v>
          </cell>
        </row>
        <row r="8379">
          <cell r="A8379" t="str">
            <v>CIVLA</v>
          </cell>
          <cell r="J8379">
            <v>0</v>
          </cell>
        </row>
        <row r="8380">
          <cell r="A8380" t="str">
            <v>CIVLA</v>
          </cell>
          <cell r="J8380">
            <v>0</v>
          </cell>
        </row>
        <row r="8381">
          <cell r="A8381" t="str">
            <v>CIVLA</v>
          </cell>
          <cell r="J8381">
            <v>0</v>
          </cell>
        </row>
        <row r="8382">
          <cell r="A8382" t="str">
            <v>CIVLA</v>
          </cell>
          <cell r="J8382">
            <v>0</v>
          </cell>
        </row>
        <row r="8383">
          <cell r="A8383" t="str">
            <v>CIVLA</v>
          </cell>
          <cell r="J8383">
            <v>0</v>
          </cell>
        </row>
        <row r="8384">
          <cell r="A8384" t="str">
            <v>CIVLA</v>
          </cell>
          <cell r="J8384">
            <v>0</v>
          </cell>
        </row>
        <row r="8385">
          <cell r="A8385" t="str">
            <v>CIVLA</v>
          </cell>
          <cell r="J8385">
            <v>0</v>
          </cell>
        </row>
        <row r="8386">
          <cell r="A8386" t="str">
            <v>CIVLA</v>
          </cell>
          <cell r="J8386">
            <v>0</v>
          </cell>
        </row>
        <row r="8387">
          <cell r="A8387" t="str">
            <v>CIVLA</v>
          </cell>
          <cell r="J8387">
            <v>0</v>
          </cell>
        </row>
        <row r="8388">
          <cell r="A8388" t="str">
            <v>CIVLA</v>
          </cell>
          <cell r="J8388">
            <v>0</v>
          </cell>
        </row>
        <row r="8389">
          <cell r="A8389" t="str">
            <v>CIVLA</v>
          </cell>
          <cell r="J8389">
            <v>0</v>
          </cell>
        </row>
        <row r="8390">
          <cell r="A8390" t="str">
            <v>CIVLA</v>
          </cell>
          <cell r="J8390">
            <v>0</v>
          </cell>
        </row>
        <row r="8391">
          <cell r="A8391" t="str">
            <v>CIVLA</v>
          </cell>
          <cell r="J8391">
            <v>0</v>
          </cell>
        </row>
        <row r="8392">
          <cell r="A8392" t="str">
            <v>CIVLA</v>
          </cell>
          <cell r="J8392">
            <v>0</v>
          </cell>
        </row>
        <row r="8393">
          <cell r="A8393" t="str">
            <v>CIVLA</v>
          </cell>
          <cell r="J8393">
            <v>0</v>
          </cell>
        </row>
        <row r="8394">
          <cell r="A8394" t="str">
            <v>CIVLA</v>
          </cell>
          <cell r="J8394">
            <v>0</v>
          </cell>
        </row>
        <row r="8395">
          <cell r="A8395" t="str">
            <v>CIVLA</v>
          </cell>
          <cell r="J8395">
            <v>0</v>
          </cell>
        </row>
        <row r="8396">
          <cell r="A8396" t="str">
            <v>CIVLA</v>
          </cell>
          <cell r="J8396">
            <v>0</v>
          </cell>
        </row>
        <row r="8397">
          <cell r="A8397" t="str">
            <v>CIVLA</v>
          </cell>
          <cell r="J8397">
            <v>0</v>
          </cell>
        </row>
        <row r="8398">
          <cell r="A8398" t="str">
            <v>CIVLA</v>
          </cell>
          <cell r="J8398">
            <v>0</v>
          </cell>
        </row>
        <row r="8399">
          <cell r="A8399" t="str">
            <v>CIVLA</v>
          </cell>
          <cell r="J8399">
            <v>0</v>
          </cell>
        </row>
        <row r="8400">
          <cell r="A8400" t="str">
            <v>CIVLA</v>
          </cell>
          <cell r="J8400">
            <v>0</v>
          </cell>
        </row>
        <row r="8401">
          <cell r="A8401" t="str">
            <v>CIVLA</v>
          </cell>
          <cell r="J8401">
            <v>0</v>
          </cell>
        </row>
        <row r="8402">
          <cell r="A8402" t="str">
            <v>CIVLA</v>
          </cell>
          <cell r="J8402">
            <v>0</v>
          </cell>
        </row>
        <row r="8403">
          <cell r="A8403" t="str">
            <v>CIVLA</v>
          </cell>
          <cell r="J8403">
            <v>0</v>
          </cell>
        </row>
        <row r="8404">
          <cell r="A8404" t="str">
            <v>CIVLA</v>
          </cell>
          <cell r="J8404">
            <v>0</v>
          </cell>
        </row>
        <row r="8405">
          <cell r="A8405" t="str">
            <v>CIVLA</v>
          </cell>
          <cell r="J8405">
            <v>0</v>
          </cell>
        </row>
        <row r="8406">
          <cell r="A8406" t="str">
            <v>CIVLA</v>
          </cell>
          <cell r="J8406">
            <v>0</v>
          </cell>
        </row>
        <row r="8407">
          <cell r="A8407" t="str">
            <v>CIVLA</v>
          </cell>
          <cell r="J8407">
            <v>0</v>
          </cell>
        </row>
        <row r="8408">
          <cell r="A8408" t="str">
            <v>CIVLA</v>
          </cell>
          <cell r="J8408">
            <v>0</v>
          </cell>
        </row>
        <row r="8409">
          <cell r="A8409" t="str">
            <v>CIVLA</v>
          </cell>
          <cell r="J8409">
            <v>0</v>
          </cell>
        </row>
        <row r="8410">
          <cell r="A8410" t="str">
            <v>CIVLA</v>
          </cell>
          <cell r="J8410">
            <v>0</v>
          </cell>
        </row>
        <row r="8411">
          <cell r="A8411" t="str">
            <v>CIVLA</v>
          </cell>
          <cell r="J8411">
            <v>0</v>
          </cell>
        </row>
        <row r="8412">
          <cell r="A8412" t="str">
            <v>CIVLA</v>
          </cell>
          <cell r="J8412">
            <v>0</v>
          </cell>
        </row>
        <row r="8413">
          <cell r="A8413" t="str">
            <v>CIVLA</v>
          </cell>
          <cell r="J8413">
            <v>0</v>
          </cell>
        </row>
        <row r="8414">
          <cell r="A8414" t="str">
            <v>CIVLA</v>
          </cell>
          <cell r="J8414">
            <v>0</v>
          </cell>
        </row>
        <row r="8415">
          <cell r="A8415" t="str">
            <v>CIVLA</v>
          </cell>
          <cell r="J8415">
            <v>0</v>
          </cell>
        </row>
        <row r="8416">
          <cell r="A8416" t="str">
            <v>CIVLA</v>
          </cell>
          <cell r="J8416">
            <v>0</v>
          </cell>
        </row>
        <row r="8417">
          <cell r="A8417" t="str">
            <v>CIVLA</v>
          </cell>
          <cell r="J8417">
            <v>0</v>
          </cell>
        </row>
        <row r="8418">
          <cell r="A8418" t="str">
            <v>CIVLA</v>
          </cell>
          <cell r="J8418">
            <v>0</v>
          </cell>
        </row>
        <row r="8419">
          <cell r="A8419" t="str">
            <v>CIVLA</v>
          </cell>
          <cell r="J8419">
            <v>0</v>
          </cell>
        </row>
        <row r="8420">
          <cell r="A8420" t="str">
            <v>CIVLA</v>
          </cell>
          <cell r="J8420">
            <v>0</v>
          </cell>
        </row>
        <row r="8421">
          <cell r="A8421" t="str">
            <v>CIVLA</v>
          </cell>
          <cell r="J8421">
            <v>0</v>
          </cell>
        </row>
        <row r="8422">
          <cell r="A8422" t="str">
            <v>CIVLA</v>
          </cell>
          <cell r="J8422">
            <v>0</v>
          </cell>
        </row>
        <row r="8423">
          <cell r="A8423" t="str">
            <v>CIVLA</v>
          </cell>
          <cell r="J8423">
            <v>0</v>
          </cell>
        </row>
        <row r="8424">
          <cell r="A8424" t="str">
            <v>CIVLA</v>
          </cell>
          <cell r="J8424">
            <v>0</v>
          </cell>
        </row>
        <row r="8425">
          <cell r="A8425" t="str">
            <v>CIVLA</v>
          </cell>
          <cell r="J8425">
            <v>0</v>
          </cell>
        </row>
        <row r="8426">
          <cell r="A8426" t="str">
            <v>CIVLA</v>
          </cell>
          <cell r="J8426">
            <v>0</v>
          </cell>
        </row>
        <row r="8427">
          <cell r="A8427" t="str">
            <v>CIVLA</v>
          </cell>
          <cell r="J8427">
            <v>0</v>
          </cell>
        </row>
        <row r="8428">
          <cell r="A8428" t="str">
            <v>CIVLA</v>
          </cell>
          <cell r="J8428">
            <v>0</v>
          </cell>
        </row>
        <row r="8429">
          <cell r="A8429" t="str">
            <v>CIVLA</v>
          </cell>
          <cell r="J8429">
            <v>0</v>
          </cell>
        </row>
        <row r="8430">
          <cell r="A8430" t="str">
            <v>CIVLA</v>
          </cell>
          <cell r="J8430">
            <v>0</v>
          </cell>
        </row>
        <row r="8431">
          <cell r="A8431" t="str">
            <v>CIVLA</v>
          </cell>
          <cell r="J8431">
            <v>0</v>
          </cell>
        </row>
        <row r="8432">
          <cell r="A8432" t="str">
            <v>CIVLA</v>
          </cell>
          <cell r="J8432">
            <v>0</v>
          </cell>
        </row>
        <row r="8433">
          <cell r="A8433" t="str">
            <v>CIVLA</v>
          </cell>
          <cell r="J8433">
            <v>0</v>
          </cell>
        </row>
        <row r="8434">
          <cell r="A8434" t="str">
            <v>CIVLA</v>
          </cell>
          <cell r="J8434">
            <v>0</v>
          </cell>
        </row>
        <row r="8435">
          <cell r="A8435" t="str">
            <v>CIVLA</v>
          </cell>
          <cell r="J8435">
            <v>0</v>
          </cell>
        </row>
        <row r="8436">
          <cell r="A8436" t="str">
            <v>CIVLA</v>
          </cell>
          <cell r="J8436">
            <v>0</v>
          </cell>
        </row>
        <row r="8437">
          <cell r="A8437" t="str">
            <v>CIVLA</v>
          </cell>
          <cell r="J8437">
            <v>0</v>
          </cell>
        </row>
        <row r="8438">
          <cell r="A8438" t="str">
            <v>CIVLA</v>
          </cell>
          <cell r="J8438">
            <v>0</v>
          </cell>
        </row>
        <row r="8439">
          <cell r="A8439" t="str">
            <v>CIVLA</v>
          </cell>
          <cell r="J8439">
            <v>0</v>
          </cell>
        </row>
        <row r="8440">
          <cell r="A8440" t="str">
            <v>CIVLA</v>
          </cell>
          <cell r="J8440">
            <v>0</v>
          </cell>
        </row>
        <row r="8441">
          <cell r="A8441" t="str">
            <v>CIVLA</v>
          </cell>
          <cell r="J8441">
            <v>0</v>
          </cell>
        </row>
        <row r="8442">
          <cell r="A8442" t="str">
            <v>CIVLA</v>
          </cell>
          <cell r="J8442">
            <v>0</v>
          </cell>
        </row>
        <row r="8443">
          <cell r="A8443" t="str">
            <v>CIVLA</v>
          </cell>
          <cell r="J8443">
            <v>0</v>
          </cell>
        </row>
        <row r="8444">
          <cell r="A8444" t="str">
            <v>CIVLA</v>
          </cell>
          <cell r="J8444">
            <v>0</v>
          </cell>
        </row>
        <row r="8445">
          <cell r="A8445" t="str">
            <v>CIVLA</v>
          </cell>
          <cell r="J8445">
            <v>0</v>
          </cell>
        </row>
        <row r="8446">
          <cell r="A8446" t="str">
            <v>CIVLA</v>
          </cell>
          <cell r="J8446">
            <v>0</v>
          </cell>
        </row>
        <row r="8447">
          <cell r="A8447" t="str">
            <v>CIVLA</v>
          </cell>
          <cell r="J8447">
            <v>0</v>
          </cell>
        </row>
        <row r="8448">
          <cell r="A8448" t="str">
            <v>CIVLA</v>
          </cell>
          <cell r="J8448">
            <v>0</v>
          </cell>
        </row>
        <row r="8449">
          <cell r="A8449" t="str">
            <v>CIVLA</v>
          </cell>
          <cell r="J8449">
            <v>0</v>
          </cell>
        </row>
        <row r="8450">
          <cell r="A8450" t="str">
            <v>CIVLA</v>
          </cell>
          <cell r="J8450">
            <v>0</v>
          </cell>
        </row>
        <row r="8451">
          <cell r="A8451" t="str">
            <v>CIVLA</v>
          </cell>
          <cell r="J8451">
            <v>0</v>
          </cell>
        </row>
        <row r="8452">
          <cell r="A8452" t="str">
            <v>CIVLA</v>
          </cell>
          <cell r="J8452">
            <v>0</v>
          </cell>
        </row>
        <row r="8453">
          <cell r="A8453" t="str">
            <v>CIVLA</v>
          </cell>
          <cell r="J8453">
            <v>0</v>
          </cell>
        </row>
        <row r="8454">
          <cell r="A8454" t="str">
            <v>CIVLA</v>
          </cell>
          <cell r="J8454">
            <v>0</v>
          </cell>
        </row>
        <row r="8455">
          <cell r="A8455" t="str">
            <v>CIVLA</v>
          </cell>
          <cell r="J8455">
            <v>0</v>
          </cell>
        </row>
        <row r="8456">
          <cell r="A8456" t="str">
            <v>CIVLA</v>
          </cell>
          <cell r="J8456">
            <v>0</v>
          </cell>
        </row>
        <row r="8457">
          <cell r="A8457" t="str">
            <v>CIVLA</v>
          </cell>
          <cell r="J8457">
            <v>0</v>
          </cell>
        </row>
        <row r="8458">
          <cell r="A8458" t="str">
            <v>CIVLA</v>
          </cell>
          <cell r="J8458">
            <v>0</v>
          </cell>
        </row>
        <row r="8459">
          <cell r="A8459" t="str">
            <v>CIVLA</v>
          </cell>
          <cell r="J8459">
            <v>0</v>
          </cell>
        </row>
        <row r="8460">
          <cell r="A8460" t="str">
            <v>CIVLA</v>
          </cell>
          <cell r="J8460">
            <v>0</v>
          </cell>
        </row>
        <row r="8461">
          <cell r="A8461" t="str">
            <v>CIVLA</v>
          </cell>
          <cell r="J8461">
            <v>0</v>
          </cell>
        </row>
        <row r="8462">
          <cell r="A8462" t="str">
            <v>CIVLA</v>
          </cell>
          <cell r="J8462">
            <v>0</v>
          </cell>
        </row>
        <row r="8463">
          <cell r="A8463" t="str">
            <v>CIVLA</v>
          </cell>
          <cell r="J8463">
            <v>0</v>
          </cell>
        </row>
        <row r="8464">
          <cell r="A8464" t="str">
            <v>CIVLA</v>
          </cell>
          <cell r="J8464">
            <v>0</v>
          </cell>
        </row>
        <row r="8465">
          <cell r="A8465" t="str">
            <v>CIVLA</v>
          </cell>
          <cell r="J8465">
            <v>0</v>
          </cell>
        </row>
        <row r="8466">
          <cell r="A8466" t="str">
            <v>CIVLA</v>
          </cell>
          <cell r="J8466">
            <v>0</v>
          </cell>
        </row>
        <row r="8467">
          <cell r="A8467" t="str">
            <v>CIVLA</v>
          </cell>
          <cell r="J8467">
            <v>0</v>
          </cell>
        </row>
        <row r="8468">
          <cell r="A8468" t="str">
            <v>CIVLA</v>
          </cell>
          <cell r="J8468">
            <v>0</v>
          </cell>
        </row>
        <row r="8469">
          <cell r="A8469" t="str">
            <v>CIVLA</v>
          </cell>
          <cell r="J8469">
            <v>0</v>
          </cell>
        </row>
        <row r="8470">
          <cell r="A8470" t="str">
            <v>CIVLA</v>
          </cell>
          <cell r="J8470">
            <v>0</v>
          </cell>
        </row>
        <row r="8471">
          <cell r="A8471" t="str">
            <v>CIVLA</v>
          </cell>
          <cell r="J8471">
            <v>0</v>
          </cell>
        </row>
        <row r="8472">
          <cell r="A8472" t="str">
            <v>CIVLA</v>
          </cell>
          <cell r="J8472">
            <v>0</v>
          </cell>
        </row>
        <row r="8473">
          <cell r="A8473" t="str">
            <v>CIVLA</v>
          </cell>
          <cell r="J8473">
            <v>0</v>
          </cell>
        </row>
        <row r="8474">
          <cell r="A8474" t="str">
            <v>CIVLA</v>
          </cell>
          <cell r="J8474">
            <v>0</v>
          </cell>
        </row>
        <row r="8475">
          <cell r="A8475" t="str">
            <v>CIVLA</v>
          </cell>
          <cell r="J8475">
            <v>0</v>
          </cell>
        </row>
        <row r="8476">
          <cell r="A8476" t="str">
            <v>CIVLA</v>
          </cell>
          <cell r="J8476">
            <v>0</v>
          </cell>
        </row>
        <row r="8477">
          <cell r="A8477" t="str">
            <v>CIVLA</v>
          </cell>
          <cell r="J8477">
            <v>0</v>
          </cell>
        </row>
        <row r="8478">
          <cell r="A8478" t="str">
            <v>CIVLA</v>
          </cell>
          <cell r="J8478">
            <v>0</v>
          </cell>
        </row>
        <row r="8479">
          <cell r="A8479" t="str">
            <v>CIVLA</v>
          </cell>
          <cell r="J8479">
            <v>0</v>
          </cell>
        </row>
        <row r="8480">
          <cell r="A8480" t="str">
            <v>CIVLA</v>
          </cell>
          <cell r="J8480">
            <v>0</v>
          </cell>
        </row>
        <row r="8481">
          <cell r="A8481" t="str">
            <v>CIVLA</v>
          </cell>
          <cell r="J8481">
            <v>0</v>
          </cell>
        </row>
        <row r="8482">
          <cell r="A8482" t="str">
            <v>CIVLA</v>
          </cell>
          <cell r="J8482">
            <v>0</v>
          </cell>
        </row>
        <row r="8483">
          <cell r="A8483" t="str">
            <v>CIVLA</v>
          </cell>
          <cell r="J8483">
            <v>0</v>
          </cell>
        </row>
        <row r="8484">
          <cell r="A8484" t="str">
            <v>CIVLA</v>
          </cell>
          <cell r="J8484">
            <v>0</v>
          </cell>
        </row>
        <row r="8485">
          <cell r="A8485" t="str">
            <v>CIVLA</v>
          </cell>
          <cell r="J8485">
            <v>0</v>
          </cell>
        </row>
        <row r="8486">
          <cell r="A8486" t="str">
            <v>CIVLA</v>
          </cell>
          <cell r="J8486">
            <v>0</v>
          </cell>
        </row>
        <row r="8487">
          <cell r="A8487" t="str">
            <v>CIVLA</v>
          </cell>
          <cell r="J8487">
            <v>0</v>
          </cell>
        </row>
        <row r="8488">
          <cell r="A8488" t="str">
            <v>CIVLA</v>
          </cell>
          <cell r="J8488">
            <v>0</v>
          </cell>
        </row>
        <row r="8489">
          <cell r="A8489" t="str">
            <v>CIVLA</v>
          </cell>
          <cell r="J8489">
            <v>0</v>
          </cell>
        </row>
        <row r="8490">
          <cell r="A8490" t="str">
            <v>CIVLA</v>
          </cell>
          <cell r="J8490">
            <v>0</v>
          </cell>
        </row>
        <row r="8491">
          <cell r="A8491" t="str">
            <v>CIVLA</v>
          </cell>
          <cell r="J8491">
            <v>0</v>
          </cell>
        </row>
        <row r="8492">
          <cell r="A8492" t="str">
            <v>CIVLA</v>
          </cell>
          <cell r="J8492">
            <v>0</v>
          </cell>
        </row>
        <row r="8493">
          <cell r="A8493" t="str">
            <v>CIVLA</v>
          </cell>
          <cell r="J8493">
            <v>0</v>
          </cell>
        </row>
        <row r="8494">
          <cell r="A8494" t="str">
            <v>CIVLA</v>
          </cell>
          <cell r="J8494">
            <v>0</v>
          </cell>
        </row>
        <row r="8495">
          <cell r="A8495" t="str">
            <v>CIVLA</v>
          </cell>
          <cell r="J8495">
            <v>0</v>
          </cell>
        </row>
        <row r="8496">
          <cell r="A8496" t="str">
            <v>CIVLA</v>
          </cell>
          <cell r="J8496">
            <v>0</v>
          </cell>
        </row>
        <row r="8497">
          <cell r="A8497" t="str">
            <v>CIVLA</v>
          </cell>
          <cell r="J8497">
            <v>0</v>
          </cell>
        </row>
        <row r="8498">
          <cell r="A8498" t="str">
            <v>CIVLA</v>
          </cell>
          <cell r="J8498">
            <v>0</v>
          </cell>
        </row>
        <row r="8499">
          <cell r="A8499" t="str">
            <v>CIVLA</v>
          </cell>
          <cell r="J8499">
            <v>0</v>
          </cell>
        </row>
        <row r="8500">
          <cell r="A8500" t="str">
            <v>CIVLA</v>
          </cell>
          <cell r="J8500">
            <v>0</v>
          </cell>
        </row>
        <row r="8501">
          <cell r="A8501" t="str">
            <v>CIVLA</v>
          </cell>
          <cell r="J8501">
            <v>0</v>
          </cell>
        </row>
        <row r="8502">
          <cell r="A8502" t="str">
            <v>CIVLA</v>
          </cell>
          <cell r="J8502">
            <v>0</v>
          </cell>
        </row>
        <row r="8503">
          <cell r="A8503" t="str">
            <v>CIVLA</v>
          </cell>
          <cell r="J8503">
            <v>0</v>
          </cell>
        </row>
        <row r="8504">
          <cell r="A8504" t="str">
            <v>CIVLA</v>
          </cell>
          <cell r="J8504">
            <v>0</v>
          </cell>
        </row>
        <row r="8505">
          <cell r="A8505" t="str">
            <v>CIVLA</v>
          </cell>
          <cell r="J8505">
            <v>0</v>
          </cell>
        </row>
        <row r="8506">
          <cell r="A8506" t="str">
            <v>CIVLA</v>
          </cell>
          <cell r="J8506">
            <v>0</v>
          </cell>
        </row>
        <row r="8507">
          <cell r="A8507" t="str">
            <v>CIVLA</v>
          </cell>
          <cell r="J8507">
            <v>0</v>
          </cell>
        </row>
        <row r="8508">
          <cell r="A8508" t="str">
            <v>CIVLA</v>
          </cell>
          <cell r="J8508">
            <v>0</v>
          </cell>
        </row>
        <row r="8509">
          <cell r="A8509" t="str">
            <v>CIVLA</v>
          </cell>
          <cell r="J8509">
            <v>0</v>
          </cell>
        </row>
        <row r="8510">
          <cell r="A8510" t="str">
            <v>CIVLA</v>
          </cell>
          <cell r="J8510">
            <v>0</v>
          </cell>
        </row>
        <row r="8511">
          <cell r="A8511" t="str">
            <v>CIVLA</v>
          </cell>
          <cell r="J8511">
            <v>0</v>
          </cell>
        </row>
        <row r="8512">
          <cell r="A8512" t="str">
            <v>CIVLA</v>
          </cell>
          <cell r="J8512">
            <v>0</v>
          </cell>
        </row>
        <row r="8513">
          <cell r="A8513" t="str">
            <v>CIVLA</v>
          </cell>
          <cell r="J8513">
            <v>0</v>
          </cell>
        </row>
        <row r="8514">
          <cell r="A8514" t="str">
            <v>CIVLA</v>
          </cell>
          <cell r="J8514">
            <v>0</v>
          </cell>
        </row>
        <row r="8515">
          <cell r="A8515" t="str">
            <v>CIVLA</v>
          </cell>
          <cell r="J8515">
            <v>0</v>
          </cell>
        </row>
        <row r="8516">
          <cell r="A8516" t="str">
            <v>CIVLA</v>
          </cell>
          <cell r="J8516">
            <v>0</v>
          </cell>
        </row>
        <row r="8517">
          <cell r="A8517" t="str">
            <v>CIVLA</v>
          </cell>
          <cell r="J8517">
            <v>0</v>
          </cell>
        </row>
        <row r="8518">
          <cell r="A8518" t="str">
            <v>CIVLA</v>
          </cell>
          <cell r="J8518">
            <v>0</v>
          </cell>
        </row>
        <row r="8519">
          <cell r="A8519" t="str">
            <v>CIVLA</v>
          </cell>
          <cell r="J8519">
            <v>0</v>
          </cell>
        </row>
        <row r="8520">
          <cell r="A8520" t="str">
            <v>CIVLA</v>
          </cell>
          <cell r="J8520">
            <v>0</v>
          </cell>
        </row>
        <row r="8521">
          <cell r="A8521" t="str">
            <v>CIVLA</v>
          </cell>
          <cell r="J8521">
            <v>0</v>
          </cell>
        </row>
        <row r="8522">
          <cell r="A8522" t="str">
            <v>CIVLA</v>
          </cell>
          <cell r="J8522">
            <v>0</v>
          </cell>
        </row>
        <row r="8523">
          <cell r="A8523" t="str">
            <v>CIVLA</v>
          </cell>
          <cell r="J8523">
            <v>0</v>
          </cell>
        </row>
        <row r="8524">
          <cell r="A8524" t="str">
            <v>CIVLA</v>
          </cell>
          <cell r="J8524">
            <v>0</v>
          </cell>
        </row>
        <row r="8525">
          <cell r="A8525" t="str">
            <v>CIVLA</v>
          </cell>
          <cell r="J8525">
            <v>0</v>
          </cell>
        </row>
        <row r="8526">
          <cell r="A8526" t="str">
            <v>CIVLA</v>
          </cell>
          <cell r="J8526">
            <v>0</v>
          </cell>
        </row>
        <row r="8527">
          <cell r="A8527" t="str">
            <v>CIVLA</v>
          </cell>
          <cell r="J8527">
            <v>0</v>
          </cell>
        </row>
        <row r="8528">
          <cell r="A8528" t="str">
            <v>CIVLA</v>
          </cell>
          <cell r="J8528">
            <v>0</v>
          </cell>
        </row>
        <row r="8529">
          <cell r="A8529" t="str">
            <v>CIVLA</v>
          </cell>
          <cell r="J8529">
            <v>0</v>
          </cell>
        </row>
        <row r="8530">
          <cell r="A8530" t="str">
            <v>CIVLA</v>
          </cell>
          <cell r="J8530">
            <v>0</v>
          </cell>
        </row>
        <row r="8531">
          <cell r="A8531" t="str">
            <v>CIVLA</v>
          </cell>
          <cell r="J8531">
            <v>0</v>
          </cell>
        </row>
        <row r="8532">
          <cell r="A8532" t="str">
            <v>CIVLA</v>
          </cell>
          <cell r="J8532">
            <v>0</v>
          </cell>
        </row>
        <row r="8533">
          <cell r="A8533" t="str">
            <v>CIVLA</v>
          </cell>
          <cell r="J8533">
            <v>0</v>
          </cell>
        </row>
        <row r="8534">
          <cell r="A8534" t="str">
            <v>CIVLA</v>
          </cell>
          <cell r="J8534">
            <v>0</v>
          </cell>
        </row>
        <row r="8535">
          <cell r="A8535" t="str">
            <v>CIVLA</v>
          </cell>
          <cell r="J8535">
            <v>0</v>
          </cell>
        </row>
        <row r="8536">
          <cell r="A8536" t="str">
            <v>CIVLA</v>
          </cell>
          <cell r="J8536">
            <v>0</v>
          </cell>
        </row>
        <row r="8537">
          <cell r="A8537" t="str">
            <v>CIVLA</v>
          </cell>
          <cell r="J8537">
            <v>0</v>
          </cell>
        </row>
        <row r="8538">
          <cell r="A8538" t="str">
            <v>CIVLA</v>
          </cell>
          <cell r="J8538">
            <v>0</v>
          </cell>
        </row>
        <row r="8539">
          <cell r="A8539" t="str">
            <v>CIVLA</v>
          </cell>
          <cell r="J8539">
            <v>0</v>
          </cell>
        </row>
        <row r="8540">
          <cell r="A8540" t="str">
            <v>CIVLA</v>
          </cell>
          <cell r="J8540">
            <v>0</v>
          </cell>
        </row>
        <row r="8541">
          <cell r="A8541" t="str">
            <v>CIVLA</v>
          </cell>
          <cell r="J8541">
            <v>0</v>
          </cell>
        </row>
        <row r="8542">
          <cell r="A8542" t="str">
            <v>CIVLA</v>
          </cell>
          <cell r="J8542">
            <v>0</v>
          </cell>
        </row>
        <row r="8543">
          <cell r="A8543" t="str">
            <v>CIVLA</v>
          </cell>
          <cell r="J8543">
            <v>0</v>
          </cell>
        </row>
        <row r="8544">
          <cell r="A8544" t="str">
            <v>CIVLA</v>
          </cell>
          <cell r="J8544">
            <v>0</v>
          </cell>
        </row>
        <row r="8545">
          <cell r="A8545" t="str">
            <v>CIVLA</v>
          </cell>
          <cell r="J8545">
            <v>0</v>
          </cell>
        </row>
        <row r="8546">
          <cell r="A8546" t="str">
            <v>CIVLA</v>
          </cell>
          <cell r="J8546">
            <v>0</v>
          </cell>
        </row>
        <row r="8547">
          <cell r="A8547" t="str">
            <v>CIVLA</v>
          </cell>
          <cell r="J8547">
            <v>0</v>
          </cell>
        </row>
        <row r="8548">
          <cell r="A8548" t="str">
            <v>CIVLA</v>
          </cell>
          <cell r="J8548">
            <v>0</v>
          </cell>
        </row>
        <row r="8549">
          <cell r="A8549" t="str">
            <v>CIVLA</v>
          </cell>
          <cell r="J8549">
            <v>0</v>
          </cell>
        </row>
        <row r="8550">
          <cell r="A8550" t="str">
            <v>CIVLA</v>
          </cell>
          <cell r="J8550">
            <v>0</v>
          </cell>
        </row>
        <row r="8551">
          <cell r="A8551" t="str">
            <v>CIVLA</v>
          </cell>
          <cell r="J8551">
            <v>0</v>
          </cell>
        </row>
        <row r="8552">
          <cell r="A8552" t="str">
            <v>CIVLA</v>
          </cell>
          <cell r="J8552">
            <v>0</v>
          </cell>
        </row>
        <row r="8553">
          <cell r="A8553" t="str">
            <v>CIVLA</v>
          </cell>
          <cell r="J8553">
            <v>0</v>
          </cell>
        </row>
        <row r="8554">
          <cell r="A8554" t="str">
            <v>CIVLA</v>
          </cell>
          <cell r="J8554">
            <v>0</v>
          </cell>
        </row>
        <row r="8555">
          <cell r="A8555" t="str">
            <v>CIVLA</v>
          </cell>
          <cell r="J8555">
            <v>0</v>
          </cell>
        </row>
        <row r="8556">
          <cell r="A8556" t="str">
            <v>CIVLA</v>
          </cell>
          <cell r="J8556">
            <v>0</v>
          </cell>
        </row>
        <row r="8557">
          <cell r="A8557" t="str">
            <v>CIVLA</v>
          </cell>
          <cell r="J8557">
            <v>0</v>
          </cell>
        </row>
        <row r="8558">
          <cell r="A8558" t="str">
            <v>CIVLA</v>
          </cell>
          <cell r="J8558">
            <v>0</v>
          </cell>
        </row>
        <row r="8559">
          <cell r="A8559" t="str">
            <v>CIVLA</v>
          </cell>
          <cell r="J8559">
            <v>0</v>
          </cell>
        </row>
        <row r="8560">
          <cell r="A8560" t="str">
            <v>CIVLA</v>
          </cell>
          <cell r="J8560">
            <v>0</v>
          </cell>
        </row>
        <row r="8561">
          <cell r="A8561" t="str">
            <v>CIVLA</v>
          </cell>
          <cell r="J8561">
            <v>0</v>
          </cell>
        </row>
        <row r="8562">
          <cell r="A8562" t="str">
            <v>CIVLA</v>
          </cell>
          <cell r="J8562">
            <v>0</v>
          </cell>
        </row>
        <row r="8563">
          <cell r="A8563" t="str">
            <v>CIVLA</v>
          </cell>
          <cell r="J8563">
            <v>0</v>
          </cell>
        </row>
        <row r="8564">
          <cell r="A8564" t="str">
            <v>CIVLA</v>
          </cell>
          <cell r="J8564">
            <v>0</v>
          </cell>
        </row>
        <row r="8565">
          <cell r="A8565" t="str">
            <v>CIVLA</v>
          </cell>
          <cell r="J8565">
            <v>0</v>
          </cell>
        </row>
        <row r="8566">
          <cell r="A8566" t="str">
            <v>CIVLA</v>
          </cell>
          <cell r="J8566">
            <v>0</v>
          </cell>
        </row>
        <row r="8567">
          <cell r="A8567" t="str">
            <v>CIVLA</v>
          </cell>
          <cell r="J8567">
            <v>0</v>
          </cell>
        </row>
        <row r="8568">
          <cell r="A8568" t="str">
            <v>CIVLA</v>
          </cell>
          <cell r="J8568">
            <v>0</v>
          </cell>
        </row>
        <row r="8569">
          <cell r="A8569" t="str">
            <v>CIVLA</v>
          </cell>
          <cell r="J8569">
            <v>0</v>
          </cell>
        </row>
        <row r="8570">
          <cell r="A8570" t="str">
            <v>CIVLA</v>
          </cell>
          <cell r="J8570">
            <v>0</v>
          </cell>
        </row>
        <row r="8571">
          <cell r="A8571" t="str">
            <v>CIVLA</v>
          </cell>
          <cell r="J8571">
            <v>0</v>
          </cell>
        </row>
        <row r="8572">
          <cell r="A8572" t="str">
            <v>CIVLA</v>
          </cell>
          <cell r="J8572">
            <v>0</v>
          </cell>
        </row>
        <row r="8573">
          <cell r="A8573" t="str">
            <v>CIVLA</v>
          </cell>
          <cell r="J8573">
            <v>0</v>
          </cell>
        </row>
        <row r="8574">
          <cell r="A8574" t="str">
            <v>CIVLA</v>
          </cell>
          <cell r="J8574">
            <v>0</v>
          </cell>
        </row>
        <row r="8575">
          <cell r="A8575" t="str">
            <v>CIVLA</v>
          </cell>
          <cell r="J8575">
            <v>0</v>
          </cell>
        </row>
        <row r="8576">
          <cell r="A8576" t="str">
            <v>CIVLA</v>
          </cell>
          <cell r="J8576">
            <v>0</v>
          </cell>
        </row>
        <row r="8577">
          <cell r="A8577" t="str">
            <v>CIVLA</v>
          </cell>
          <cell r="J8577">
            <v>0</v>
          </cell>
        </row>
        <row r="8578">
          <cell r="A8578" t="str">
            <v>CIVLA</v>
          </cell>
          <cell r="J8578">
            <v>0</v>
          </cell>
        </row>
        <row r="8579">
          <cell r="A8579" t="str">
            <v>CIVLA</v>
          </cell>
          <cell r="J8579">
            <v>0</v>
          </cell>
        </row>
        <row r="8580">
          <cell r="A8580" t="str">
            <v>CIVLA</v>
          </cell>
          <cell r="J8580">
            <v>0</v>
          </cell>
        </row>
        <row r="8581">
          <cell r="A8581" t="str">
            <v>CIVLA</v>
          </cell>
          <cell r="J8581">
            <v>0</v>
          </cell>
        </row>
        <row r="8582">
          <cell r="A8582" t="str">
            <v>CIVLA</v>
          </cell>
          <cell r="J8582">
            <v>0</v>
          </cell>
        </row>
        <row r="8583">
          <cell r="A8583" t="str">
            <v>CIVLA</v>
          </cell>
          <cell r="J8583">
            <v>0</v>
          </cell>
        </row>
        <row r="8584">
          <cell r="A8584" t="str">
            <v>CIVLA</v>
          </cell>
          <cell r="J8584">
            <v>0</v>
          </cell>
        </row>
        <row r="8585">
          <cell r="A8585" t="str">
            <v>CIVLA</v>
          </cell>
          <cell r="J8585">
            <v>0</v>
          </cell>
        </row>
        <row r="8586">
          <cell r="A8586" t="str">
            <v>CIVLA</v>
          </cell>
          <cell r="J8586">
            <v>0</v>
          </cell>
        </row>
        <row r="8587">
          <cell r="A8587" t="str">
            <v>CIVLA</v>
          </cell>
          <cell r="J8587">
            <v>0</v>
          </cell>
        </row>
        <row r="8588">
          <cell r="A8588" t="str">
            <v>CIVLA</v>
          </cell>
          <cell r="J8588">
            <v>0</v>
          </cell>
        </row>
        <row r="8589">
          <cell r="A8589" t="str">
            <v>CIVLA</v>
          </cell>
          <cell r="J8589">
            <v>0</v>
          </cell>
        </row>
        <row r="8590">
          <cell r="A8590" t="str">
            <v>CIVLA</v>
          </cell>
          <cell r="J8590">
            <v>0</v>
          </cell>
        </row>
        <row r="8591">
          <cell r="A8591" t="str">
            <v>CIVLA</v>
          </cell>
          <cell r="J8591">
            <v>0</v>
          </cell>
        </row>
        <row r="8592">
          <cell r="A8592" t="str">
            <v>CIVLA</v>
          </cell>
          <cell r="J8592">
            <v>0</v>
          </cell>
        </row>
        <row r="8593">
          <cell r="A8593" t="str">
            <v>CIVLA</v>
          </cell>
          <cell r="J8593">
            <v>0</v>
          </cell>
        </row>
        <row r="8594">
          <cell r="A8594" t="str">
            <v>CIVLA</v>
          </cell>
          <cell r="J8594">
            <v>0</v>
          </cell>
        </row>
        <row r="8595">
          <cell r="A8595" t="str">
            <v>CIVLA</v>
          </cell>
          <cell r="J8595">
            <v>0</v>
          </cell>
        </row>
        <row r="8596">
          <cell r="A8596" t="str">
            <v>CIVLA</v>
          </cell>
          <cell r="J8596">
            <v>0</v>
          </cell>
        </row>
        <row r="8597">
          <cell r="A8597" t="str">
            <v>CIVLA</v>
          </cell>
          <cell r="J8597">
            <v>0</v>
          </cell>
        </row>
        <row r="8598">
          <cell r="A8598" t="str">
            <v>CIVLA</v>
          </cell>
          <cell r="J8598">
            <v>0</v>
          </cell>
        </row>
        <row r="8599">
          <cell r="A8599" t="str">
            <v>CIVLA</v>
          </cell>
          <cell r="J8599">
            <v>0</v>
          </cell>
        </row>
        <row r="8600">
          <cell r="A8600" t="str">
            <v>CIVLA</v>
          </cell>
          <cell r="J8600">
            <v>0</v>
          </cell>
        </row>
        <row r="8601">
          <cell r="A8601" t="str">
            <v>CIVLA</v>
          </cell>
          <cell r="J8601">
            <v>0</v>
          </cell>
        </row>
        <row r="8602">
          <cell r="A8602" t="str">
            <v>CIVLA</v>
          </cell>
          <cell r="J8602">
            <v>0</v>
          </cell>
        </row>
        <row r="8603">
          <cell r="A8603" t="str">
            <v>CIVLA</v>
          </cell>
          <cell r="J8603">
            <v>0</v>
          </cell>
        </row>
        <row r="8604">
          <cell r="A8604" t="str">
            <v>CIVLA</v>
          </cell>
          <cell r="J8604">
            <v>0</v>
          </cell>
        </row>
        <row r="8605">
          <cell r="A8605" t="str">
            <v>CIVLA</v>
          </cell>
          <cell r="J8605">
            <v>0</v>
          </cell>
        </row>
        <row r="8606">
          <cell r="A8606" t="str">
            <v>CIVLA</v>
          </cell>
          <cell r="J8606">
            <v>0</v>
          </cell>
        </row>
        <row r="8607">
          <cell r="A8607" t="str">
            <v>CIVLA</v>
          </cell>
          <cell r="J8607">
            <v>0</v>
          </cell>
        </row>
        <row r="8608">
          <cell r="A8608" t="str">
            <v>CIVLA</v>
          </cell>
          <cell r="J8608">
            <v>0</v>
          </cell>
        </row>
        <row r="8609">
          <cell r="A8609" t="str">
            <v>CIVLA</v>
          </cell>
          <cell r="J8609">
            <v>0</v>
          </cell>
        </row>
        <row r="8610">
          <cell r="A8610" t="str">
            <v>CIVLA</v>
          </cell>
          <cell r="J8610">
            <v>0</v>
          </cell>
        </row>
        <row r="8611">
          <cell r="A8611" t="str">
            <v>CIVLA</v>
          </cell>
          <cell r="J8611">
            <v>0</v>
          </cell>
        </row>
        <row r="8612">
          <cell r="A8612" t="str">
            <v>CIVLA</v>
          </cell>
          <cell r="J8612">
            <v>0</v>
          </cell>
        </row>
        <row r="8613">
          <cell r="A8613" t="str">
            <v>CIVLA</v>
          </cell>
          <cell r="J8613">
            <v>0</v>
          </cell>
        </row>
        <row r="8614">
          <cell r="A8614" t="str">
            <v>CIVLA</v>
          </cell>
          <cell r="J8614">
            <v>0</v>
          </cell>
        </row>
        <row r="8615">
          <cell r="A8615" t="str">
            <v>CIVLA</v>
          </cell>
          <cell r="J8615">
            <v>0</v>
          </cell>
        </row>
        <row r="8616">
          <cell r="A8616" t="str">
            <v>CIVLA</v>
          </cell>
          <cell r="J8616">
            <v>0</v>
          </cell>
        </row>
        <row r="8617">
          <cell r="A8617" t="str">
            <v>CIVLA</v>
          </cell>
          <cell r="J8617">
            <v>0</v>
          </cell>
        </row>
        <row r="8618">
          <cell r="A8618" t="str">
            <v>CIVLA</v>
          </cell>
          <cell r="J8618">
            <v>0</v>
          </cell>
        </row>
        <row r="8619">
          <cell r="A8619" t="str">
            <v>CIVLA</v>
          </cell>
          <cell r="J8619">
            <v>0</v>
          </cell>
        </row>
        <row r="8620">
          <cell r="A8620" t="str">
            <v>CIVLA</v>
          </cell>
          <cell r="J8620">
            <v>0</v>
          </cell>
        </row>
        <row r="8621">
          <cell r="A8621" t="str">
            <v>CIVLA</v>
          </cell>
          <cell r="J8621">
            <v>0</v>
          </cell>
        </row>
        <row r="8622">
          <cell r="A8622" t="str">
            <v>CIVLA</v>
          </cell>
          <cell r="J8622">
            <v>0</v>
          </cell>
        </row>
        <row r="8623">
          <cell r="A8623" t="str">
            <v>CIVLA</v>
          </cell>
          <cell r="J8623">
            <v>0</v>
          </cell>
        </row>
        <row r="8624">
          <cell r="A8624" t="str">
            <v>CIVLA</v>
          </cell>
          <cell r="J8624">
            <v>0</v>
          </cell>
        </row>
        <row r="8625">
          <cell r="A8625" t="str">
            <v>CIVLA</v>
          </cell>
          <cell r="J8625">
            <v>0</v>
          </cell>
        </row>
        <row r="8626">
          <cell r="A8626" t="str">
            <v>CIVLA</v>
          </cell>
          <cell r="J8626">
            <v>0</v>
          </cell>
        </row>
        <row r="8627">
          <cell r="A8627" t="str">
            <v>CIVLA</v>
          </cell>
          <cell r="J8627">
            <v>0</v>
          </cell>
        </row>
        <row r="8628">
          <cell r="A8628" t="str">
            <v>CIVLA</v>
          </cell>
          <cell r="J8628">
            <v>0</v>
          </cell>
        </row>
        <row r="8629">
          <cell r="A8629" t="str">
            <v>CIVLA</v>
          </cell>
          <cell r="J8629">
            <v>0</v>
          </cell>
        </row>
        <row r="8630">
          <cell r="A8630" t="str">
            <v>CIVLA</v>
          </cell>
          <cell r="J8630">
            <v>0</v>
          </cell>
        </row>
        <row r="8631">
          <cell r="A8631" t="str">
            <v>CIVLA</v>
          </cell>
          <cell r="J8631">
            <v>0</v>
          </cell>
        </row>
        <row r="8632">
          <cell r="A8632" t="str">
            <v>CIVLA</v>
          </cell>
          <cell r="J8632">
            <v>0</v>
          </cell>
        </row>
        <row r="8633">
          <cell r="A8633" t="str">
            <v>CIVLA</v>
          </cell>
          <cell r="J8633">
            <v>0</v>
          </cell>
        </row>
        <row r="8634">
          <cell r="A8634" t="str">
            <v>CIVLA</v>
          </cell>
          <cell r="J8634">
            <v>0</v>
          </cell>
        </row>
        <row r="8635">
          <cell r="A8635" t="str">
            <v>CIVLA</v>
          </cell>
          <cell r="J8635">
            <v>0</v>
          </cell>
        </row>
        <row r="8636">
          <cell r="A8636" t="str">
            <v>CIVLA</v>
          </cell>
          <cell r="J8636">
            <v>0</v>
          </cell>
        </row>
        <row r="8637">
          <cell r="A8637" t="str">
            <v>CIVLA</v>
          </cell>
          <cell r="J8637">
            <v>0</v>
          </cell>
        </row>
        <row r="8638">
          <cell r="A8638" t="str">
            <v>CIVLA</v>
          </cell>
          <cell r="J8638">
            <v>0</v>
          </cell>
        </row>
        <row r="8639">
          <cell r="A8639" t="str">
            <v>CIVLA</v>
          </cell>
          <cell r="J8639">
            <v>0</v>
          </cell>
        </row>
        <row r="8640">
          <cell r="A8640" t="str">
            <v>CIVLA</v>
          </cell>
          <cell r="J8640">
            <v>0</v>
          </cell>
        </row>
        <row r="8641">
          <cell r="A8641" t="str">
            <v>CIVLA</v>
          </cell>
          <cell r="J8641">
            <v>0</v>
          </cell>
        </row>
        <row r="8642">
          <cell r="A8642" t="str">
            <v>CIVLA</v>
          </cell>
          <cell r="J8642">
            <v>0</v>
          </cell>
        </row>
        <row r="8643">
          <cell r="A8643" t="str">
            <v>CIVLA</v>
          </cell>
          <cell r="J8643">
            <v>0</v>
          </cell>
        </row>
        <row r="8644">
          <cell r="A8644" t="str">
            <v>CIVLA</v>
          </cell>
          <cell r="J8644">
            <v>0</v>
          </cell>
        </row>
        <row r="8645">
          <cell r="A8645" t="str">
            <v>CIVLA</v>
          </cell>
          <cell r="J8645">
            <v>0</v>
          </cell>
        </row>
        <row r="8646">
          <cell r="A8646" t="str">
            <v>CIVLA</v>
          </cell>
          <cell r="J8646">
            <v>0</v>
          </cell>
        </row>
        <row r="8647">
          <cell r="A8647" t="str">
            <v>CIVLA</v>
          </cell>
          <cell r="J8647">
            <v>0</v>
          </cell>
        </row>
        <row r="8648">
          <cell r="A8648" t="str">
            <v>CIVLA</v>
          </cell>
          <cell r="J8648">
            <v>0</v>
          </cell>
        </row>
        <row r="8649">
          <cell r="A8649" t="str">
            <v>CIVLA</v>
          </cell>
          <cell r="J8649">
            <v>0</v>
          </cell>
        </row>
        <row r="8650">
          <cell r="A8650" t="str">
            <v>CIVLA</v>
          </cell>
          <cell r="J8650">
            <v>0</v>
          </cell>
        </row>
        <row r="8651">
          <cell r="A8651" t="str">
            <v>CIVLA</v>
          </cell>
          <cell r="J8651">
            <v>0</v>
          </cell>
        </row>
        <row r="8652">
          <cell r="A8652" t="str">
            <v>CIVLA</v>
          </cell>
          <cell r="J8652">
            <v>0</v>
          </cell>
        </row>
        <row r="8653">
          <cell r="A8653" t="str">
            <v>CIVLA</v>
          </cell>
          <cell r="J8653">
            <v>0</v>
          </cell>
        </row>
        <row r="8654">
          <cell r="A8654" t="str">
            <v>CIVLA</v>
          </cell>
          <cell r="J8654">
            <v>0</v>
          </cell>
        </row>
        <row r="8655">
          <cell r="A8655" t="str">
            <v>CIVLA</v>
          </cell>
          <cell r="J8655">
            <v>0</v>
          </cell>
        </row>
        <row r="8656">
          <cell r="A8656" t="str">
            <v>CIVLA</v>
          </cell>
          <cell r="J8656">
            <v>0</v>
          </cell>
        </row>
        <row r="8657">
          <cell r="A8657" t="str">
            <v>CIVLA</v>
          </cell>
          <cell r="J8657">
            <v>0</v>
          </cell>
        </row>
        <row r="8658">
          <cell r="A8658" t="str">
            <v>CIVLA</v>
          </cell>
          <cell r="J8658">
            <v>0</v>
          </cell>
        </row>
        <row r="8659">
          <cell r="A8659" t="str">
            <v>CIVLA</v>
          </cell>
          <cell r="J8659">
            <v>0</v>
          </cell>
        </row>
        <row r="8660">
          <cell r="A8660" t="str">
            <v>CIVLA</v>
          </cell>
          <cell r="J8660">
            <v>0</v>
          </cell>
        </row>
        <row r="8661">
          <cell r="A8661" t="str">
            <v>CIVLA</v>
          </cell>
          <cell r="J8661">
            <v>0</v>
          </cell>
        </row>
        <row r="8662">
          <cell r="A8662" t="str">
            <v>CIVLA</v>
          </cell>
          <cell r="J8662">
            <v>0</v>
          </cell>
        </row>
        <row r="8663">
          <cell r="A8663" t="str">
            <v>CIVLA</v>
          </cell>
          <cell r="J8663">
            <v>0</v>
          </cell>
        </row>
        <row r="8664">
          <cell r="A8664" t="str">
            <v>CIVLA</v>
          </cell>
          <cell r="J8664">
            <v>0</v>
          </cell>
        </row>
        <row r="8665">
          <cell r="A8665" t="str">
            <v>CIVLA</v>
          </cell>
          <cell r="J8665">
            <v>0</v>
          </cell>
        </row>
        <row r="8666">
          <cell r="A8666" t="str">
            <v>CIVLA</v>
          </cell>
          <cell r="J8666">
            <v>0</v>
          </cell>
        </row>
        <row r="8667">
          <cell r="A8667" t="str">
            <v>CIVLA</v>
          </cell>
          <cell r="J8667">
            <v>0</v>
          </cell>
        </row>
        <row r="8668">
          <cell r="A8668" t="str">
            <v>CIVLA</v>
          </cell>
          <cell r="J8668">
            <v>0</v>
          </cell>
        </row>
        <row r="8669">
          <cell r="A8669" t="str">
            <v>CIVLA</v>
          </cell>
          <cell r="J8669">
            <v>0</v>
          </cell>
        </row>
        <row r="8670">
          <cell r="A8670" t="str">
            <v>CIVLA</v>
          </cell>
          <cell r="J8670">
            <v>0</v>
          </cell>
        </row>
        <row r="8671">
          <cell r="A8671" t="str">
            <v>CIVLA</v>
          </cell>
          <cell r="J8671">
            <v>0</v>
          </cell>
        </row>
        <row r="8672">
          <cell r="A8672" t="str">
            <v>CIVLA</v>
          </cell>
          <cell r="J8672">
            <v>0</v>
          </cell>
        </row>
        <row r="8673">
          <cell r="A8673" t="str">
            <v>CIVLA</v>
          </cell>
          <cell r="J8673">
            <v>0</v>
          </cell>
        </row>
        <row r="8674">
          <cell r="A8674" t="str">
            <v>CIVLA</v>
          </cell>
          <cell r="J8674">
            <v>0</v>
          </cell>
        </row>
        <row r="8675">
          <cell r="A8675" t="str">
            <v>CIVLA</v>
          </cell>
          <cell r="J8675">
            <v>0</v>
          </cell>
        </row>
        <row r="8676">
          <cell r="A8676" t="str">
            <v>CIVLA</v>
          </cell>
          <cell r="J8676">
            <v>0</v>
          </cell>
        </row>
        <row r="8677">
          <cell r="A8677" t="str">
            <v>CIVLA</v>
          </cell>
          <cell r="J8677">
            <v>0</v>
          </cell>
        </row>
        <row r="8678">
          <cell r="A8678" t="str">
            <v>CIVLA</v>
          </cell>
          <cell r="J8678">
            <v>0</v>
          </cell>
        </row>
        <row r="8679">
          <cell r="A8679" t="str">
            <v>CIVLA</v>
          </cell>
          <cell r="J8679">
            <v>0</v>
          </cell>
        </row>
        <row r="8680">
          <cell r="A8680" t="str">
            <v>CIVLA</v>
          </cell>
          <cell r="J8680">
            <v>0</v>
          </cell>
        </row>
        <row r="8681">
          <cell r="A8681" t="str">
            <v>CIVLA</v>
          </cell>
          <cell r="J8681">
            <v>0</v>
          </cell>
        </row>
        <row r="8682">
          <cell r="A8682" t="str">
            <v>CIVLA</v>
          </cell>
          <cell r="J8682">
            <v>0</v>
          </cell>
        </row>
        <row r="8683">
          <cell r="A8683" t="str">
            <v>CIVLA</v>
          </cell>
          <cell r="J8683">
            <v>0</v>
          </cell>
        </row>
        <row r="8684">
          <cell r="A8684" t="str">
            <v>CIVLA</v>
          </cell>
          <cell r="J8684">
            <v>0</v>
          </cell>
        </row>
        <row r="8685">
          <cell r="A8685" t="str">
            <v>CIVLA</v>
          </cell>
          <cell r="J8685">
            <v>0</v>
          </cell>
        </row>
        <row r="8686">
          <cell r="A8686" t="str">
            <v>CIVLA</v>
          </cell>
          <cell r="J8686">
            <v>0</v>
          </cell>
        </row>
        <row r="8687">
          <cell r="A8687" t="str">
            <v>CIVLA</v>
          </cell>
          <cell r="J8687">
            <v>0</v>
          </cell>
        </row>
        <row r="8688">
          <cell r="A8688" t="str">
            <v>CIVLA</v>
          </cell>
          <cell r="J8688">
            <v>0</v>
          </cell>
        </row>
        <row r="8689">
          <cell r="A8689" t="str">
            <v>CIVLA</v>
          </cell>
          <cell r="J8689">
            <v>0</v>
          </cell>
        </row>
        <row r="8690">
          <cell r="A8690" t="str">
            <v>CIVLA</v>
          </cell>
          <cell r="J8690">
            <v>0</v>
          </cell>
        </row>
        <row r="8691">
          <cell r="A8691" t="str">
            <v>CIVLA</v>
          </cell>
          <cell r="J8691">
            <v>0</v>
          </cell>
        </row>
        <row r="8692">
          <cell r="A8692" t="str">
            <v>CIVLA</v>
          </cell>
          <cell r="J8692">
            <v>0</v>
          </cell>
        </row>
        <row r="8693">
          <cell r="A8693" t="str">
            <v>CIVLA</v>
          </cell>
          <cell r="J8693">
            <v>0</v>
          </cell>
        </row>
        <row r="8694">
          <cell r="A8694" t="str">
            <v>CIVLA</v>
          </cell>
          <cell r="J8694">
            <v>0</v>
          </cell>
        </row>
        <row r="8695">
          <cell r="A8695" t="str">
            <v>CIVLA</v>
          </cell>
          <cell r="J8695">
            <v>0</v>
          </cell>
        </row>
        <row r="8696">
          <cell r="A8696" t="str">
            <v>CIVLA</v>
          </cell>
          <cell r="J8696">
            <v>0</v>
          </cell>
        </row>
        <row r="8697">
          <cell r="A8697" t="str">
            <v>CIVLA</v>
          </cell>
          <cell r="J8697">
            <v>0</v>
          </cell>
        </row>
        <row r="8698">
          <cell r="A8698" t="str">
            <v>CIVLA</v>
          </cell>
          <cell r="J8698">
            <v>0</v>
          </cell>
        </row>
        <row r="8699">
          <cell r="A8699" t="str">
            <v>CIVLA</v>
          </cell>
          <cell r="J8699">
            <v>0</v>
          </cell>
        </row>
        <row r="8700">
          <cell r="A8700" t="str">
            <v>CIVLA</v>
          </cell>
          <cell r="J8700">
            <v>0</v>
          </cell>
        </row>
        <row r="8701">
          <cell r="A8701" t="str">
            <v>CIVLA</v>
          </cell>
          <cell r="J8701">
            <v>0</v>
          </cell>
        </row>
        <row r="8702">
          <cell r="A8702" t="str">
            <v>CIVLA</v>
          </cell>
          <cell r="J8702">
            <v>0</v>
          </cell>
        </row>
        <row r="8703">
          <cell r="A8703" t="str">
            <v>CIVLA</v>
          </cell>
          <cell r="J8703">
            <v>0</v>
          </cell>
        </row>
        <row r="8704">
          <cell r="A8704" t="str">
            <v>CIVLA</v>
          </cell>
          <cell r="J8704">
            <v>0</v>
          </cell>
        </row>
        <row r="8705">
          <cell r="A8705" t="str">
            <v>CIVLA</v>
          </cell>
          <cell r="J8705">
            <v>0</v>
          </cell>
        </row>
        <row r="8706">
          <cell r="A8706" t="str">
            <v>CIVLA</v>
          </cell>
          <cell r="J8706">
            <v>0</v>
          </cell>
        </row>
        <row r="8707">
          <cell r="A8707" t="str">
            <v>CIVLA</v>
          </cell>
          <cell r="J8707">
            <v>0</v>
          </cell>
        </row>
        <row r="8708">
          <cell r="A8708" t="str">
            <v>CIVLA</v>
          </cell>
          <cell r="J8708">
            <v>0</v>
          </cell>
        </row>
        <row r="8709">
          <cell r="A8709" t="str">
            <v>CIVLA</v>
          </cell>
          <cell r="J8709">
            <v>0</v>
          </cell>
        </row>
        <row r="8710">
          <cell r="A8710" t="str">
            <v>CIVLA</v>
          </cell>
          <cell r="J8710">
            <v>0</v>
          </cell>
        </row>
        <row r="8711">
          <cell r="A8711" t="str">
            <v>CIVLA</v>
          </cell>
          <cell r="J8711">
            <v>0</v>
          </cell>
        </row>
        <row r="8712">
          <cell r="A8712" t="str">
            <v>CIVLA</v>
          </cell>
          <cell r="J8712">
            <v>0</v>
          </cell>
        </row>
        <row r="8713">
          <cell r="A8713" t="str">
            <v>CIVLA</v>
          </cell>
          <cell r="J8713">
            <v>0</v>
          </cell>
        </row>
        <row r="8714">
          <cell r="A8714" t="str">
            <v>CIVLA</v>
          </cell>
          <cell r="J8714">
            <v>0</v>
          </cell>
        </row>
        <row r="8715">
          <cell r="A8715" t="str">
            <v>CIVLA</v>
          </cell>
          <cell r="J8715">
            <v>0</v>
          </cell>
        </row>
        <row r="8716">
          <cell r="A8716" t="str">
            <v>CIVLA</v>
          </cell>
          <cell r="J8716">
            <v>0</v>
          </cell>
        </row>
        <row r="8717">
          <cell r="A8717" t="str">
            <v>CIVLA</v>
          </cell>
          <cell r="J8717">
            <v>0</v>
          </cell>
        </row>
        <row r="8718">
          <cell r="A8718" t="str">
            <v>CIVLA</v>
          </cell>
          <cell r="J8718">
            <v>0</v>
          </cell>
        </row>
        <row r="8719">
          <cell r="A8719" t="str">
            <v>CIVLA</v>
          </cell>
          <cell r="J8719">
            <v>0</v>
          </cell>
        </row>
        <row r="8720">
          <cell r="A8720" t="str">
            <v>CIVLA</v>
          </cell>
          <cell r="J8720">
            <v>0</v>
          </cell>
        </row>
        <row r="8721">
          <cell r="A8721" t="str">
            <v>CIVLA</v>
          </cell>
          <cell r="J8721">
            <v>0</v>
          </cell>
        </row>
        <row r="8722">
          <cell r="A8722" t="str">
            <v>CIVLA</v>
          </cell>
          <cell r="J8722">
            <v>0</v>
          </cell>
        </row>
        <row r="8723">
          <cell r="A8723" t="str">
            <v>CIVLA</v>
          </cell>
          <cell r="J8723">
            <v>0</v>
          </cell>
        </row>
        <row r="8724">
          <cell r="A8724" t="str">
            <v>CIVLA</v>
          </cell>
          <cell r="J8724">
            <v>0</v>
          </cell>
        </row>
        <row r="8725">
          <cell r="A8725" t="str">
            <v>CIVLA</v>
          </cell>
          <cell r="J8725">
            <v>0</v>
          </cell>
        </row>
        <row r="8726">
          <cell r="A8726" t="str">
            <v>CIVLA</v>
          </cell>
          <cell r="J8726">
            <v>0</v>
          </cell>
        </row>
        <row r="8727">
          <cell r="A8727" t="str">
            <v>CIVLA</v>
          </cell>
          <cell r="J8727">
            <v>0</v>
          </cell>
        </row>
        <row r="8728">
          <cell r="A8728" t="str">
            <v>CIVLA</v>
          </cell>
          <cell r="J8728">
            <v>0</v>
          </cell>
        </row>
        <row r="8729">
          <cell r="A8729" t="str">
            <v>CIVLA</v>
          </cell>
          <cell r="J8729">
            <v>0</v>
          </cell>
        </row>
        <row r="8730">
          <cell r="A8730" t="str">
            <v>CIVLA</v>
          </cell>
          <cell r="J8730">
            <v>0</v>
          </cell>
        </row>
        <row r="8731">
          <cell r="A8731" t="str">
            <v>CIVLA</v>
          </cell>
          <cell r="J8731">
            <v>0</v>
          </cell>
        </row>
        <row r="8732">
          <cell r="A8732" t="str">
            <v>CIVLA</v>
          </cell>
          <cell r="J8732">
            <v>0</v>
          </cell>
        </row>
        <row r="8733">
          <cell r="A8733" t="str">
            <v>CIVLA</v>
          </cell>
          <cell r="J8733">
            <v>0</v>
          </cell>
        </row>
        <row r="8734">
          <cell r="A8734" t="str">
            <v>CIVLA</v>
          </cell>
          <cell r="J8734">
            <v>0</v>
          </cell>
        </row>
        <row r="8735">
          <cell r="A8735" t="str">
            <v>CIVLA</v>
          </cell>
          <cell r="J8735">
            <v>0</v>
          </cell>
        </row>
        <row r="8736">
          <cell r="A8736" t="str">
            <v>CIVLA</v>
          </cell>
          <cell r="J8736">
            <v>0</v>
          </cell>
        </row>
        <row r="8737">
          <cell r="A8737" t="str">
            <v>CIVLA</v>
          </cell>
          <cell r="J8737">
            <v>0</v>
          </cell>
        </row>
        <row r="8738">
          <cell r="A8738" t="str">
            <v>CIVLA</v>
          </cell>
          <cell r="J8738">
            <v>0</v>
          </cell>
        </row>
        <row r="8739">
          <cell r="A8739" t="str">
            <v>CIVLA</v>
          </cell>
          <cell r="J8739">
            <v>0</v>
          </cell>
        </row>
        <row r="8740">
          <cell r="A8740" t="str">
            <v>CIVLA</v>
          </cell>
          <cell r="J8740">
            <v>0</v>
          </cell>
        </row>
        <row r="8741">
          <cell r="A8741" t="str">
            <v>CIVLA</v>
          </cell>
          <cell r="J8741">
            <v>0</v>
          </cell>
        </row>
        <row r="8742">
          <cell r="A8742" t="str">
            <v>CIVLA</v>
          </cell>
          <cell r="J8742">
            <v>0</v>
          </cell>
        </row>
        <row r="8743">
          <cell r="A8743" t="str">
            <v>CIVLA</v>
          </cell>
          <cell r="J8743">
            <v>0</v>
          </cell>
        </row>
        <row r="8744">
          <cell r="A8744" t="str">
            <v>CIVLA</v>
          </cell>
          <cell r="J8744">
            <v>0</v>
          </cell>
        </row>
        <row r="8745">
          <cell r="A8745" t="str">
            <v>CIVLA</v>
          </cell>
          <cell r="J8745">
            <v>0</v>
          </cell>
        </row>
        <row r="8746">
          <cell r="A8746" t="str">
            <v>CIVLA</v>
          </cell>
          <cell r="J8746">
            <v>0</v>
          </cell>
        </row>
        <row r="8747">
          <cell r="A8747" t="str">
            <v>CIVLA</v>
          </cell>
          <cell r="J8747">
            <v>0</v>
          </cell>
        </row>
        <row r="8748">
          <cell r="A8748" t="str">
            <v>CIVLA</v>
          </cell>
          <cell r="J8748">
            <v>0</v>
          </cell>
        </row>
        <row r="8749">
          <cell r="A8749" t="str">
            <v>CIVLA</v>
          </cell>
          <cell r="J8749">
            <v>0</v>
          </cell>
        </row>
        <row r="8750">
          <cell r="A8750" t="str">
            <v>CIVLA</v>
          </cell>
          <cell r="J8750">
            <v>0</v>
          </cell>
        </row>
        <row r="8751">
          <cell r="A8751" t="str">
            <v>CIVLA</v>
          </cell>
          <cell r="J8751">
            <v>0</v>
          </cell>
        </row>
        <row r="8752">
          <cell r="A8752" t="str">
            <v>CIVLA</v>
          </cell>
          <cell r="J8752">
            <v>0</v>
          </cell>
        </row>
        <row r="8753">
          <cell r="A8753" t="str">
            <v>CIVLA</v>
          </cell>
          <cell r="J8753">
            <v>0</v>
          </cell>
        </row>
        <row r="8754">
          <cell r="A8754" t="str">
            <v>CIVLA</v>
          </cell>
          <cell r="J8754">
            <v>0</v>
          </cell>
        </row>
        <row r="8755">
          <cell r="A8755" t="str">
            <v>CIVLA</v>
          </cell>
          <cell r="J8755">
            <v>0</v>
          </cell>
        </row>
        <row r="8756">
          <cell r="A8756" t="str">
            <v>CIVLA</v>
          </cell>
          <cell r="J8756">
            <v>0</v>
          </cell>
        </row>
        <row r="8757">
          <cell r="A8757" t="str">
            <v>CIVLA</v>
          </cell>
          <cell r="J8757">
            <v>0</v>
          </cell>
        </row>
        <row r="8758">
          <cell r="A8758" t="str">
            <v>CIVLA</v>
          </cell>
          <cell r="J8758">
            <v>0</v>
          </cell>
        </row>
        <row r="8759">
          <cell r="A8759" t="str">
            <v>CIVLA</v>
          </cell>
          <cell r="J8759">
            <v>0</v>
          </cell>
        </row>
        <row r="8760">
          <cell r="A8760" t="str">
            <v>CIVLA</v>
          </cell>
          <cell r="J8760">
            <v>0</v>
          </cell>
        </row>
        <row r="8761">
          <cell r="A8761" t="str">
            <v>CIVLA</v>
          </cell>
          <cell r="J8761">
            <v>0</v>
          </cell>
        </row>
        <row r="8762">
          <cell r="A8762" t="str">
            <v>CIVLA</v>
          </cell>
          <cell r="J8762">
            <v>0</v>
          </cell>
        </row>
        <row r="8763">
          <cell r="A8763" t="str">
            <v>CIVLA</v>
          </cell>
          <cell r="J8763">
            <v>0</v>
          </cell>
        </row>
        <row r="8764">
          <cell r="A8764" t="str">
            <v>CIVLA</v>
          </cell>
          <cell r="J8764">
            <v>0</v>
          </cell>
        </row>
        <row r="8765">
          <cell r="A8765" t="str">
            <v>CIVLA</v>
          </cell>
          <cell r="J8765">
            <v>0</v>
          </cell>
        </row>
        <row r="8766">
          <cell r="A8766" t="str">
            <v>CIVLA</v>
          </cell>
          <cell r="J8766">
            <v>0</v>
          </cell>
        </row>
        <row r="8767">
          <cell r="A8767" t="str">
            <v>CIVLA</v>
          </cell>
          <cell r="J8767">
            <v>0</v>
          </cell>
        </row>
        <row r="8768">
          <cell r="A8768" t="str">
            <v>CIVLA</v>
          </cell>
          <cell r="J8768">
            <v>0</v>
          </cell>
        </row>
        <row r="8769">
          <cell r="A8769" t="str">
            <v>CIVLA</v>
          </cell>
          <cell r="J8769">
            <v>0</v>
          </cell>
        </row>
        <row r="8770">
          <cell r="A8770" t="str">
            <v>CIVLA</v>
          </cell>
          <cell r="J8770">
            <v>0</v>
          </cell>
        </row>
        <row r="8771">
          <cell r="A8771" t="str">
            <v>CIVLA</v>
          </cell>
          <cell r="J8771">
            <v>0</v>
          </cell>
        </row>
        <row r="8772">
          <cell r="A8772" t="str">
            <v>CIVLA</v>
          </cell>
          <cell r="J8772">
            <v>0</v>
          </cell>
        </row>
        <row r="8773">
          <cell r="A8773" t="str">
            <v>CIVLA</v>
          </cell>
          <cell r="J8773">
            <v>0</v>
          </cell>
        </row>
        <row r="8774">
          <cell r="A8774" t="str">
            <v>CIVLA</v>
          </cell>
          <cell r="J8774">
            <v>0</v>
          </cell>
        </row>
        <row r="8775">
          <cell r="A8775" t="str">
            <v>CIVLA</v>
          </cell>
          <cell r="J8775">
            <v>0</v>
          </cell>
        </row>
        <row r="8776">
          <cell r="A8776" t="str">
            <v>CIVLA</v>
          </cell>
          <cell r="J8776">
            <v>0</v>
          </cell>
        </row>
        <row r="8777">
          <cell r="A8777" t="str">
            <v>CIVLA</v>
          </cell>
          <cell r="J8777">
            <v>0</v>
          </cell>
        </row>
        <row r="8778">
          <cell r="A8778" t="str">
            <v>CIVLA</v>
          </cell>
          <cell r="J8778">
            <v>0</v>
          </cell>
        </row>
        <row r="8779">
          <cell r="A8779" t="str">
            <v>CIVLA</v>
          </cell>
          <cell r="J8779">
            <v>0</v>
          </cell>
        </row>
        <row r="8780">
          <cell r="A8780" t="str">
            <v>CIVLA</v>
          </cell>
          <cell r="J8780">
            <v>0</v>
          </cell>
        </row>
        <row r="8781">
          <cell r="A8781" t="str">
            <v>CIVLA</v>
          </cell>
          <cell r="J8781">
            <v>0</v>
          </cell>
        </row>
        <row r="8782">
          <cell r="A8782" t="str">
            <v>CIVLA</v>
          </cell>
          <cell r="J8782">
            <v>0</v>
          </cell>
        </row>
        <row r="8783">
          <cell r="A8783" t="str">
            <v>CIVLA</v>
          </cell>
          <cell r="J8783">
            <v>0</v>
          </cell>
        </row>
        <row r="8784">
          <cell r="A8784" t="str">
            <v>CIVLA</v>
          </cell>
          <cell r="J8784">
            <v>0</v>
          </cell>
        </row>
        <row r="8785">
          <cell r="A8785" t="str">
            <v>CIVLA</v>
          </cell>
          <cell r="J8785">
            <v>0</v>
          </cell>
        </row>
        <row r="8786">
          <cell r="A8786" t="str">
            <v>CIVLA</v>
          </cell>
          <cell r="J8786">
            <v>0</v>
          </cell>
        </row>
        <row r="8787">
          <cell r="A8787" t="str">
            <v>CIVLA</v>
          </cell>
          <cell r="J8787">
            <v>0</v>
          </cell>
        </row>
        <row r="8788">
          <cell r="A8788" t="str">
            <v>CIVLA</v>
          </cell>
          <cell r="J8788">
            <v>0</v>
          </cell>
        </row>
        <row r="8789">
          <cell r="A8789" t="str">
            <v>CIVLA</v>
          </cell>
          <cell r="J8789">
            <v>0</v>
          </cell>
        </row>
        <row r="8790">
          <cell r="A8790" t="str">
            <v>CIVLA</v>
          </cell>
          <cell r="J8790">
            <v>0</v>
          </cell>
        </row>
        <row r="8791">
          <cell r="A8791" t="str">
            <v>CIVLA</v>
          </cell>
          <cell r="J8791">
            <v>0</v>
          </cell>
        </row>
        <row r="8792">
          <cell r="A8792" t="str">
            <v>CIVLA</v>
          </cell>
          <cell r="J8792">
            <v>0</v>
          </cell>
        </row>
        <row r="8793">
          <cell r="A8793" t="str">
            <v>CIVLA</v>
          </cell>
          <cell r="J8793">
            <v>0</v>
          </cell>
        </row>
        <row r="8794">
          <cell r="A8794" t="str">
            <v>CIVLA</v>
          </cell>
          <cell r="J8794">
            <v>0</v>
          </cell>
        </row>
        <row r="8795">
          <cell r="A8795" t="str">
            <v>CIVLA</v>
          </cell>
          <cell r="J8795">
            <v>0</v>
          </cell>
        </row>
        <row r="8796">
          <cell r="A8796" t="str">
            <v>CIVLA</v>
          </cell>
          <cell r="J8796">
            <v>0</v>
          </cell>
        </row>
        <row r="8797">
          <cell r="A8797" t="str">
            <v>CIVLA</v>
          </cell>
          <cell r="J8797">
            <v>0</v>
          </cell>
        </row>
        <row r="8798">
          <cell r="A8798" t="str">
            <v>CIVLA</v>
          </cell>
          <cell r="J8798">
            <v>0</v>
          </cell>
        </row>
        <row r="8799">
          <cell r="A8799" t="str">
            <v>CIVLA</v>
          </cell>
          <cell r="J8799">
            <v>0</v>
          </cell>
        </row>
        <row r="8800">
          <cell r="A8800" t="str">
            <v>CIVLA</v>
          </cell>
          <cell r="J8800">
            <v>0</v>
          </cell>
        </row>
        <row r="8801">
          <cell r="A8801" t="str">
            <v>CIVLA</v>
          </cell>
          <cell r="J8801">
            <v>0</v>
          </cell>
        </row>
        <row r="8802">
          <cell r="A8802" t="str">
            <v>CIVLA</v>
          </cell>
          <cell r="J8802">
            <v>0</v>
          </cell>
        </row>
        <row r="8803">
          <cell r="A8803" t="str">
            <v>CIVLA</v>
          </cell>
          <cell r="J8803">
            <v>0</v>
          </cell>
        </row>
        <row r="8804">
          <cell r="A8804" t="str">
            <v>CIVLA</v>
          </cell>
          <cell r="J8804">
            <v>0</v>
          </cell>
        </row>
        <row r="8805">
          <cell r="A8805" t="str">
            <v>CIVLA</v>
          </cell>
          <cell r="J8805">
            <v>0</v>
          </cell>
        </row>
        <row r="8806">
          <cell r="A8806" t="str">
            <v>CIVLA</v>
          </cell>
          <cell r="J8806">
            <v>0</v>
          </cell>
        </row>
        <row r="8807">
          <cell r="A8807" t="str">
            <v>CIVLA</v>
          </cell>
          <cell r="J8807">
            <v>0</v>
          </cell>
        </row>
        <row r="8808">
          <cell r="A8808" t="str">
            <v>CIVLA</v>
          </cell>
          <cell r="J8808">
            <v>0</v>
          </cell>
        </row>
        <row r="8809">
          <cell r="A8809" t="str">
            <v>CIVLA</v>
          </cell>
          <cell r="J8809">
            <v>0</v>
          </cell>
        </row>
        <row r="8810">
          <cell r="A8810" t="str">
            <v>CIVLA</v>
          </cell>
          <cell r="J8810">
            <v>0</v>
          </cell>
        </row>
        <row r="8811">
          <cell r="A8811" t="str">
            <v>CIVLA</v>
          </cell>
          <cell r="J8811">
            <v>0</v>
          </cell>
        </row>
        <row r="8812">
          <cell r="A8812" t="str">
            <v>CIVLA</v>
          </cell>
          <cell r="J8812">
            <v>0</v>
          </cell>
        </row>
        <row r="8813">
          <cell r="A8813" t="str">
            <v>CIVLA</v>
          </cell>
          <cell r="J8813">
            <v>0</v>
          </cell>
        </row>
        <row r="8814">
          <cell r="A8814" t="str">
            <v>CIVLA</v>
          </cell>
          <cell r="J8814">
            <v>0</v>
          </cell>
        </row>
        <row r="8815">
          <cell r="A8815" t="str">
            <v>CIVLA</v>
          </cell>
          <cell r="J8815">
            <v>0</v>
          </cell>
        </row>
        <row r="8816">
          <cell r="A8816" t="str">
            <v>CIVLA</v>
          </cell>
          <cell r="J8816">
            <v>0</v>
          </cell>
        </row>
        <row r="8817">
          <cell r="A8817" t="str">
            <v>CIVLA</v>
          </cell>
          <cell r="J8817">
            <v>0</v>
          </cell>
        </row>
        <row r="8818">
          <cell r="A8818" t="str">
            <v>CIVLA</v>
          </cell>
          <cell r="J8818">
            <v>0</v>
          </cell>
        </row>
        <row r="8819">
          <cell r="A8819" t="str">
            <v>CIVLA</v>
          </cell>
          <cell r="J8819">
            <v>0</v>
          </cell>
        </row>
        <row r="8820">
          <cell r="A8820" t="str">
            <v>CIVLA</v>
          </cell>
          <cell r="J8820">
            <v>0</v>
          </cell>
        </row>
        <row r="8821">
          <cell r="A8821" t="str">
            <v>CIVLA</v>
          </cell>
          <cell r="J8821">
            <v>0</v>
          </cell>
        </row>
        <row r="8822">
          <cell r="A8822" t="str">
            <v>CIVLA</v>
          </cell>
          <cell r="J8822">
            <v>0</v>
          </cell>
        </row>
        <row r="8823">
          <cell r="A8823" t="str">
            <v>CIVLA</v>
          </cell>
          <cell r="J8823">
            <v>0</v>
          </cell>
        </row>
        <row r="8824">
          <cell r="A8824" t="str">
            <v>CIVLA</v>
          </cell>
          <cell r="J8824">
            <v>0</v>
          </cell>
        </row>
        <row r="8825">
          <cell r="A8825" t="str">
            <v>CIVLA</v>
          </cell>
          <cell r="J8825">
            <v>0</v>
          </cell>
        </row>
        <row r="8826">
          <cell r="A8826" t="str">
            <v>CIVLA</v>
          </cell>
          <cell r="J8826">
            <v>0</v>
          </cell>
        </row>
        <row r="8827">
          <cell r="A8827" t="str">
            <v>CIVLA</v>
          </cell>
          <cell r="J8827">
            <v>0</v>
          </cell>
        </row>
        <row r="8828">
          <cell r="A8828" t="str">
            <v>CIVLA</v>
          </cell>
          <cell r="J8828">
            <v>0</v>
          </cell>
        </row>
        <row r="8829">
          <cell r="A8829" t="str">
            <v>CIVLA</v>
          </cell>
          <cell r="J8829">
            <v>0</v>
          </cell>
        </row>
        <row r="8830">
          <cell r="A8830" t="str">
            <v>CIVLA</v>
          </cell>
          <cell r="J8830">
            <v>0</v>
          </cell>
        </row>
        <row r="8831">
          <cell r="A8831" t="str">
            <v>CIVLA</v>
          </cell>
          <cell r="J8831">
            <v>0</v>
          </cell>
        </row>
        <row r="8832">
          <cell r="A8832" t="str">
            <v>CIVLA</v>
          </cell>
          <cell r="J8832">
            <v>0</v>
          </cell>
        </row>
        <row r="8833">
          <cell r="A8833" t="str">
            <v>CIVLA</v>
          </cell>
          <cell r="J8833">
            <v>0</v>
          </cell>
        </row>
        <row r="8834">
          <cell r="A8834" t="str">
            <v>CIVLA</v>
          </cell>
          <cell r="J8834">
            <v>0</v>
          </cell>
        </row>
        <row r="8835">
          <cell r="A8835" t="str">
            <v>CIVLA</v>
          </cell>
          <cell r="J8835">
            <v>0</v>
          </cell>
        </row>
        <row r="8836">
          <cell r="A8836" t="str">
            <v>CIVLA</v>
          </cell>
          <cell r="J8836">
            <v>0</v>
          </cell>
        </row>
        <row r="8837">
          <cell r="A8837" t="str">
            <v>CIVLA</v>
          </cell>
          <cell r="J8837">
            <v>0</v>
          </cell>
        </row>
        <row r="8838">
          <cell r="A8838" t="str">
            <v>CIVLA</v>
          </cell>
          <cell r="J8838">
            <v>0</v>
          </cell>
        </row>
        <row r="8839">
          <cell r="A8839" t="str">
            <v>CIVLA</v>
          </cell>
          <cell r="J8839">
            <v>0</v>
          </cell>
        </row>
        <row r="8840">
          <cell r="A8840" t="str">
            <v>CIVLA</v>
          </cell>
          <cell r="J8840">
            <v>0</v>
          </cell>
        </row>
        <row r="8841">
          <cell r="A8841" t="str">
            <v>CIVLA</v>
          </cell>
          <cell r="J8841">
            <v>0</v>
          </cell>
        </row>
        <row r="8842">
          <cell r="A8842" t="str">
            <v>CIVLA</v>
          </cell>
          <cell r="J8842">
            <v>0</v>
          </cell>
        </row>
        <row r="8843">
          <cell r="A8843" t="str">
            <v>CIVLA</v>
          </cell>
          <cell r="J8843">
            <v>0</v>
          </cell>
        </row>
        <row r="8844">
          <cell r="A8844" t="str">
            <v>CIVLA</v>
          </cell>
          <cell r="J8844">
            <v>0</v>
          </cell>
        </row>
        <row r="8845">
          <cell r="A8845" t="str">
            <v>CIVLA</v>
          </cell>
          <cell r="J8845">
            <v>0</v>
          </cell>
        </row>
        <row r="8846">
          <cell r="A8846" t="str">
            <v>CIVLA</v>
          </cell>
          <cell r="J8846">
            <v>0</v>
          </cell>
        </row>
        <row r="8847">
          <cell r="A8847" t="str">
            <v>CIVLA</v>
          </cell>
          <cell r="J8847">
            <v>0</v>
          </cell>
        </row>
        <row r="8848">
          <cell r="A8848" t="str">
            <v>CIVLA</v>
          </cell>
          <cell r="J8848">
            <v>0</v>
          </cell>
        </row>
        <row r="8849">
          <cell r="A8849" t="str">
            <v>CIVLA</v>
          </cell>
          <cell r="J8849">
            <v>0</v>
          </cell>
        </row>
        <row r="8850">
          <cell r="A8850" t="str">
            <v>CIVLA</v>
          </cell>
          <cell r="J8850">
            <v>0</v>
          </cell>
        </row>
        <row r="8851">
          <cell r="A8851" t="str">
            <v>CIVLA</v>
          </cell>
          <cell r="J8851">
            <v>0</v>
          </cell>
        </row>
        <row r="8852">
          <cell r="A8852" t="str">
            <v>CIVLA</v>
          </cell>
          <cell r="J8852">
            <v>0</v>
          </cell>
        </row>
        <row r="8853">
          <cell r="A8853" t="str">
            <v>CIVLA</v>
          </cell>
          <cell r="J8853">
            <v>0</v>
          </cell>
        </row>
        <row r="8854">
          <cell r="A8854" t="str">
            <v>CIVLA</v>
          </cell>
          <cell r="J8854">
            <v>0</v>
          </cell>
        </row>
        <row r="8855">
          <cell r="A8855" t="str">
            <v>CIVLA</v>
          </cell>
          <cell r="J8855">
            <v>0</v>
          </cell>
        </row>
        <row r="8856">
          <cell r="A8856" t="str">
            <v>CIVLA</v>
          </cell>
          <cell r="J8856">
            <v>0</v>
          </cell>
        </row>
        <row r="8857">
          <cell r="A8857" t="str">
            <v>CIVLA</v>
          </cell>
          <cell r="J8857">
            <v>0</v>
          </cell>
        </row>
        <row r="8858">
          <cell r="A8858" t="str">
            <v>CIVLA</v>
          </cell>
          <cell r="J8858">
            <v>0</v>
          </cell>
        </row>
        <row r="8859">
          <cell r="A8859" t="str">
            <v>CIVLA</v>
          </cell>
          <cell r="J8859">
            <v>0</v>
          </cell>
        </row>
        <row r="8860">
          <cell r="A8860" t="str">
            <v>CIVLA</v>
          </cell>
          <cell r="J8860">
            <v>0</v>
          </cell>
        </row>
        <row r="8861">
          <cell r="A8861" t="str">
            <v>CIVLA</v>
          </cell>
          <cell r="J8861">
            <v>0</v>
          </cell>
        </row>
        <row r="8862">
          <cell r="A8862" t="str">
            <v>CIVLA</v>
          </cell>
          <cell r="J8862">
            <v>0</v>
          </cell>
        </row>
        <row r="8863">
          <cell r="A8863" t="str">
            <v>CIVLA</v>
          </cell>
          <cell r="J8863">
            <v>0</v>
          </cell>
        </row>
        <row r="8864">
          <cell r="A8864" t="str">
            <v>CIVLA</v>
          </cell>
          <cell r="J8864">
            <v>0</v>
          </cell>
        </row>
        <row r="8865">
          <cell r="A8865" t="str">
            <v>CIVLA</v>
          </cell>
          <cell r="J8865">
            <v>0</v>
          </cell>
        </row>
        <row r="8866">
          <cell r="A8866" t="str">
            <v>CIVLA</v>
          </cell>
          <cell r="J8866">
            <v>0</v>
          </cell>
        </row>
        <row r="8867">
          <cell r="A8867" t="str">
            <v>CIVLA</v>
          </cell>
          <cell r="J8867">
            <v>0</v>
          </cell>
        </row>
        <row r="8868">
          <cell r="A8868" t="str">
            <v>CIVLA</v>
          </cell>
          <cell r="J8868">
            <v>0</v>
          </cell>
        </row>
        <row r="8869">
          <cell r="A8869" t="str">
            <v>CIVLA</v>
          </cell>
          <cell r="J8869">
            <v>0</v>
          </cell>
        </row>
        <row r="8870">
          <cell r="A8870" t="str">
            <v>CIVLA</v>
          </cell>
          <cell r="J8870">
            <v>0</v>
          </cell>
        </row>
        <row r="8871">
          <cell r="A8871" t="str">
            <v>CIVLA</v>
          </cell>
          <cell r="J8871">
            <v>0</v>
          </cell>
        </row>
        <row r="8872">
          <cell r="A8872" t="str">
            <v>CIVLA</v>
          </cell>
          <cell r="J8872">
            <v>0</v>
          </cell>
        </row>
        <row r="8873">
          <cell r="A8873" t="str">
            <v>CIVLA</v>
          </cell>
          <cell r="J8873">
            <v>0</v>
          </cell>
        </row>
        <row r="8874">
          <cell r="A8874" t="str">
            <v>CIVLA</v>
          </cell>
          <cell r="J8874">
            <v>0</v>
          </cell>
        </row>
        <row r="8875">
          <cell r="A8875" t="str">
            <v>CIVLA</v>
          </cell>
          <cell r="J8875">
            <v>0</v>
          </cell>
        </row>
        <row r="8876">
          <cell r="A8876" t="str">
            <v>CIVLA</v>
          </cell>
          <cell r="J8876">
            <v>0</v>
          </cell>
        </row>
        <row r="8877">
          <cell r="A8877" t="str">
            <v>CIVLA</v>
          </cell>
          <cell r="J8877">
            <v>0</v>
          </cell>
        </row>
        <row r="8878">
          <cell r="A8878" t="str">
            <v>CIVLA</v>
          </cell>
          <cell r="J8878">
            <v>0</v>
          </cell>
        </row>
        <row r="8879">
          <cell r="A8879" t="str">
            <v>CIVLA</v>
          </cell>
          <cell r="J8879">
            <v>0</v>
          </cell>
        </row>
        <row r="8880">
          <cell r="A8880" t="str">
            <v>CIVLA</v>
          </cell>
          <cell r="J8880">
            <v>0</v>
          </cell>
        </row>
        <row r="8881">
          <cell r="A8881" t="str">
            <v>CIVLA</v>
          </cell>
          <cell r="J8881">
            <v>0</v>
          </cell>
        </row>
        <row r="8882">
          <cell r="A8882" t="str">
            <v>CIVLA</v>
          </cell>
          <cell r="J8882">
            <v>0</v>
          </cell>
        </row>
        <row r="8883">
          <cell r="A8883" t="str">
            <v>CIVLA</v>
          </cell>
          <cell r="J8883">
            <v>0</v>
          </cell>
        </row>
        <row r="8884">
          <cell r="A8884" t="str">
            <v>CIVLA</v>
          </cell>
          <cell r="J8884">
            <v>0</v>
          </cell>
        </row>
        <row r="8885">
          <cell r="A8885" t="str">
            <v>CIVLA</v>
          </cell>
          <cell r="J8885">
            <v>0</v>
          </cell>
        </row>
        <row r="8886">
          <cell r="A8886" t="str">
            <v>CIVLA</v>
          </cell>
          <cell r="J8886">
            <v>0</v>
          </cell>
        </row>
        <row r="8887">
          <cell r="A8887" t="str">
            <v>CIVLA</v>
          </cell>
          <cell r="J8887">
            <v>0</v>
          </cell>
        </row>
        <row r="8888">
          <cell r="A8888" t="str">
            <v>CIVLA</v>
          </cell>
          <cell r="J8888">
            <v>0</v>
          </cell>
        </row>
        <row r="8889">
          <cell r="A8889" t="str">
            <v>CIVLA</v>
          </cell>
          <cell r="J8889">
            <v>0</v>
          </cell>
        </row>
        <row r="8890">
          <cell r="A8890" t="str">
            <v>CIVLA</v>
          </cell>
          <cell r="J8890">
            <v>0</v>
          </cell>
        </row>
        <row r="8891">
          <cell r="A8891" t="str">
            <v>CIVLA</v>
          </cell>
          <cell r="J8891">
            <v>0</v>
          </cell>
        </row>
        <row r="8892">
          <cell r="A8892" t="str">
            <v>CIVLA</v>
          </cell>
          <cell r="J8892">
            <v>0</v>
          </cell>
        </row>
        <row r="8893">
          <cell r="A8893" t="str">
            <v>CIVLA</v>
          </cell>
          <cell r="J8893">
            <v>0</v>
          </cell>
        </row>
        <row r="8894">
          <cell r="A8894" t="str">
            <v>CIVLA</v>
          </cell>
          <cell r="J8894">
            <v>0</v>
          </cell>
        </row>
        <row r="8895">
          <cell r="A8895" t="str">
            <v>CIVLA</v>
          </cell>
          <cell r="J8895">
            <v>0</v>
          </cell>
        </row>
        <row r="8896">
          <cell r="A8896" t="str">
            <v>CIVLA</v>
          </cell>
          <cell r="J8896">
            <v>0</v>
          </cell>
        </row>
        <row r="8897">
          <cell r="A8897" t="str">
            <v>CIVLA</v>
          </cell>
          <cell r="J8897">
            <v>0</v>
          </cell>
        </row>
        <row r="8898">
          <cell r="A8898" t="str">
            <v>CIVLA</v>
          </cell>
          <cell r="J8898">
            <v>0</v>
          </cell>
        </row>
        <row r="8899">
          <cell r="A8899" t="str">
            <v>CIVLA</v>
          </cell>
          <cell r="J8899">
            <v>0</v>
          </cell>
        </row>
        <row r="8900">
          <cell r="A8900" t="str">
            <v>CIVLA</v>
          </cell>
          <cell r="J8900">
            <v>0</v>
          </cell>
        </row>
        <row r="8901">
          <cell r="A8901" t="str">
            <v>CIVLA</v>
          </cell>
          <cell r="J8901">
            <v>0</v>
          </cell>
        </row>
        <row r="8902">
          <cell r="A8902" t="str">
            <v>CIVLA</v>
          </cell>
          <cell r="J8902">
            <v>0</v>
          </cell>
        </row>
        <row r="8903">
          <cell r="A8903" t="str">
            <v>CIVLA</v>
          </cell>
          <cell r="J8903">
            <v>0</v>
          </cell>
        </row>
        <row r="8904">
          <cell r="A8904" t="str">
            <v>CIVLA</v>
          </cell>
          <cell r="J8904">
            <v>0</v>
          </cell>
        </row>
        <row r="8905">
          <cell r="A8905" t="str">
            <v>CIVLA</v>
          </cell>
          <cell r="J8905">
            <v>0</v>
          </cell>
        </row>
        <row r="8906">
          <cell r="A8906" t="str">
            <v>CIVLA</v>
          </cell>
          <cell r="J8906">
            <v>0</v>
          </cell>
        </row>
        <row r="8907">
          <cell r="A8907" t="str">
            <v>CIVLA</v>
          </cell>
          <cell r="J8907">
            <v>0</v>
          </cell>
        </row>
        <row r="8908">
          <cell r="A8908" t="str">
            <v>CIVLA</v>
          </cell>
          <cell r="J8908">
            <v>0</v>
          </cell>
        </row>
        <row r="8909">
          <cell r="A8909" t="str">
            <v>CIVLA</v>
          </cell>
          <cell r="J8909">
            <v>0</v>
          </cell>
        </row>
        <row r="8910">
          <cell r="A8910" t="str">
            <v>CIVLA</v>
          </cell>
          <cell r="J8910">
            <v>0</v>
          </cell>
        </row>
        <row r="8911">
          <cell r="A8911" t="str">
            <v>CIVLA</v>
          </cell>
          <cell r="J8911">
            <v>0</v>
          </cell>
        </row>
        <row r="8912">
          <cell r="A8912" t="str">
            <v>CIVLA</v>
          </cell>
          <cell r="J8912">
            <v>0</v>
          </cell>
        </row>
        <row r="8913">
          <cell r="A8913" t="str">
            <v>CIVLA</v>
          </cell>
          <cell r="J8913">
            <v>0</v>
          </cell>
        </row>
        <row r="8914">
          <cell r="A8914" t="str">
            <v>CIVLA</v>
          </cell>
          <cell r="J8914">
            <v>0</v>
          </cell>
        </row>
        <row r="8915">
          <cell r="A8915" t="str">
            <v>CIVLA</v>
          </cell>
          <cell r="J8915">
            <v>0</v>
          </cell>
        </row>
        <row r="8916">
          <cell r="A8916" t="str">
            <v>CIVLA</v>
          </cell>
          <cell r="J8916">
            <v>0</v>
          </cell>
        </row>
        <row r="8917">
          <cell r="A8917" t="str">
            <v>CIVLA</v>
          </cell>
          <cell r="J8917">
            <v>0</v>
          </cell>
        </row>
        <row r="8918">
          <cell r="A8918" t="str">
            <v>CIVLA</v>
          </cell>
          <cell r="J8918">
            <v>0</v>
          </cell>
        </row>
        <row r="8919">
          <cell r="A8919" t="str">
            <v>CIVLA</v>
          </cell>
          <cell r="J8919">
            <v>0</v>
          </cell>
        </row>
        <row r="8920">
          <cell r="A8920" t="str">
            <v>CIVLA</v>
          </cell>
          <cell r="J8920">
            <v>0</v>
          </cell>
        </row>
        <row r="8921">
          <cell r="A8921" t="str">
            <v>CIVLA</v>
          </cell>
          <cell r="J8921">
            <v>0</v>
          </cell>
        </row>
        <row r="8922">
          <cell r="A8922" t="str">
            <v>CIVLA</v>
          </cell>
          <cell r="J8922">
            <v>0</v>
          </cell>
        </row>
        <row r="8923">
          <cell r="A8923" t="str">
            <v>CIVLA</v>
          </cell>
          <cell r="J8923">
            <v>0</v>
          </cell>
        </row>
        <row r="8924">
          <cell r="A8924" t="str">
            <v>CIVLA</v>
          </cell>
          <cell r="J8924">
            <v>0</v>
          </cell>
        </row>
        <row r="8925">
          <cell r="A8925" t="str">
            <v>CIVLA</v>
          </cell>
          <cell r="J8925">
            <v>0</v>
          </cell>
        </row>
        <row r="8926">
          <cell r="A8926" t="str">
            <v>CIVLA</v>
          </cell>
          <cell r="J8926">
            <v>0</v>
          </cell>
        </row>
        <row r="8927">
          <cell r="A8927" t="str">
            <v>CIVLA</v>
          </cell>
          <cell r="J8927">
            <v>0</v>
          </cell>
        </row>
        <row r="8928">
          <cell r="A8928" t="str">
            <v>CIVLA</v>
          </cell>
          <cell r="J8928">
            <v>0</v>
          </cell>
        </row>
        <row r="8929">
          <cell r="A8929" t="str">
            <v>CIVLA</v>
          </cell>
          <cell r="J8929">
            <v>0</v>
          </cell>
        </row>
        <row r="8930">
          <cell r="A8930" t="str">
            <v>CIVLA</v>
          </cell>
          <cell r="J8930">
            <v>0</v>
          </cell>
        </row>
        <row r="8931">
          <cell r="A8931" t="str">
            <v>CIVLA</v>
          </cell>
          <cell r="J8931">
            <v>0</v>
          </cell>
        </row>
        <row r="8932">
          <cell r="A8932" t="str">
            <v>CIVLA</v>
          </cell>
          <cell r="J8932">
            <v>0</v>
          </cell>
        </row>
        <row r="8933">
          <cell r="A8933" t="str">
            <v>CIVLA</v>
          </cell>
          <cell r="J8933">
            <v>0</v>
          </cell>
        </row>
        <row r="8934">
          <cell r="A8934" t="str">
            <v>CIVLA</v>
          </cell>
          <cell r="J8934">
            <v>0</v>
          </cell>
        </row>
        <row r="8935">
          <cell r="A8935" t="str">
            <v>CIVLA</v>
          </cell>
          <cell r="J8935">
            <v>0</v>
          </cell>
        </row>
        <row r="8936">
          <cell r="A8936" t="str">
            <v>CIVLA</v>
          </cell>
          <cell r="J8936">
            <v>0</v>
          </cell>
        </row>
        <row r="8937">
          <cell r="A8937" t="str">
            <v>CIVLA</v>
          </cell>
          <cell r="J8937">
            <v>0</v>
          </cell>
        </row>
        <row r="8938">
          <cell r="A8938" t="str">
            <v>CIVLA</v>
          </cell>
          <cell r="J8938">
            <v>0</v>
          </cell>
        </row>
        <row r="8939">
          <cell r="A8939" t="str">
            <v>CIVLA</v>
          </cell>
          <cell r="J8939">
            <v>0</v>
          </cell>
        </row>
        <row r="8940">
          <cell r="A8940" t="str">
            <v>CIVLA</v>
          </cell>
          <cell r="J8940">
            <v>0</v>
          </cell>
        </row>
        <row r="8941">
          <cell r="A8941" t="str">
            <v>CIVLA</v>
          </cell>
          <cell r="J8941">
            <v>0</v>
          </cell>
        </row>
        <row r="8942">
          <cell r="A8942" t="str">
            <v>CIVLA</v>
          </cell>
          <cell r="J8942">
            <v>0</v>
          </cell>
        </row>
        <row r="8943">
          <cell r="A8943" t="str">
            <v>CIVLA</v>
          </cell>
          <cell r="J8943">
            <v>0</v>
          </cell>
        </row>
        <row r="8944">
          <cell r="A8944" t="str">
            <v>CIVLA</v>
          </cell>
          <cell r="J8944">
            <v>0</v>
          </cell>
        </row>
        <row r="8945">
          <cell r="A8945" t="str">
            <v>CIVLA</v>
          </cell>
          <cell r="J8945">
            <v>0</v>
          </cell>
        </row>
        <row r="8946">
          <cell r="A8946" t="str">
            <v>CIVLA</v>
          </cell>
          <cell r="J8946">
            <v>0</v>
          </cell>
        </row>
        <row r="8947">
          <cell r="A8947" t="str">
            <v>CIVLA</v>
          </cell>
          <cell r="J8947">
            <v>0</v>
          </cell>
        </row>
        <row r="8948">
          <cell r="A8948" t="str">
            <v>CIVLA</v>
          </cell>
          <cell r="J8948">
            <v>0</v>
          </cell>
        </row>
        <row r="8949">
          <cell r="A8949" t="str">
            <v>CIVLA</v>
          </cell>
          <cell r="J8949">
            <v>0</v>
          </cell>
        </row>
        <row r="8950">
          <cell r="A8950" t="str">
            <v>CIVLA</v>
          </cell>
          <cell r="J8950">
            <v>0</v>
          </cell>
        </row>
        <row r="8951">
          <cell r="A8951" t="str">
            <v>CIVLA</v>
          </cell>
          <cell r="J8951">
            <v>0</v>
          </cell>
        </row>
        <row r="8952">
          <cell r="A8952" t="str">
            <v>CIVLA</v>
          </cell>
          <cell r="J8952">
            <v>0</v>
          </cell>
        </row>
        <row r="8953">
          <cell r="A8953" t="str">
            <v>CIVLA</v>
          </cell>
          <cell r="J8953">
            <v>0</v>
          </cell>
        </row>
        <row r="8954">
          <cell r="A8954" t="str">
            <v>CIVLA</v>
          </cell>
          <cell r="J8954">
            <v>0</v>
          </cell>
        </row>
        <row r="8955">
          <cell r="A8955" t="str">
            <v>CIVLA</v>
          </cell>
          <cell r="J8955">
            <v>0</v>
          </cell>
        </row>
        <row r="8956">
          <cell r="A8956" t="str">
            <v>CIVLA</v>
          </cell>
          <cell r="J8956">
            <v>0</v>
          </cell>
        </row>
        <row r="8957">
          <cell r="A8957" t="str">
            <v>CIVLA</v>
          </cell>
          <cell r="J8957">
            <v>0</v>
          </cell>
        </row>
        <row r="8958">
          <cell r="A8958" t="str">
            <v>CIVLA</v>
          </cell>
          <cell r="J8958">
            <v>0</v>
          </cell>
        </row>
        <row r="8959">
          <cell r="A8959" t="str">
            <v>CIVLA</v>
          </cell>
          <cell r="J8959">
            <v>0</v>
          </cell>
        </row>
        <row r="8960">
          <cell r="A8960" t="str">
            <v>CIVLA</v>
          </cell>
          <cell r="J8960">
            <v>0</v>
          </cell>
        </row>
        <row r="8961">
          <cell r="A8961" t="str">
            <v>CIVLA</v>
          </cell>
          <cell r="J8961">
            <v>0</v>
          </cell>
        </row>
        <row r="8962">
          <cell r="A8962" t="str">
            <v>CIVLA</v>
          </cell>
          <cell r="J8962">
            <v>0</v>
          </cell>
        </row>
        <row r="8963">
          <cell r="A8963" t="str">
            <v>CIVLA</v>
          </cell>
          <cell r="J8963">
            <v>0</v>
          </cell>
        </row>
        <row r="8964">
          <cell r="A8964" t="str">
            <v>CIVLA</v>
          </cell>
          <cell r="J8964">
            <v>0</v>
          </cell>
        </row>
        <row r="8965">
          <cell r="A8965" t="str">
            <v>CIVLA</v>
          </cell>
          <cell r="J8965">
            <v>0</v>
          </cell>
        </row>
        <row r="8966">
          <cell r="A8966" t="str">
            <v>CIVLA</v>
          </cell>
          <cell r="J8966">
            <v>0</v>
          </cell>
        </row>
        <row r="8967">
          <cell r="A8967" t="str">
            <v>CIVLA</v>
          </cell>
          <cell r="J8967">
            <v>0</v>
          </cell>
        </row>
        <row r="8968">
          <cell r="A8968" t="str">
            <v>CIVLA</v>
          </cell>
          <cell r="J8968">
            <v>0</v>
          </cell>
        </row>
        <row r="8969">
          <cell r="A8969" t="str">
            <v>CIVLA</v>
          </cell>
          <cell r="J8969">
            <v>0</v>
          </cell>
        </row>
        <row r="8970">
          <cell r="A8970" t="str">
            <v>CIVLA</v>
          </cell>
          <cell r="J8970">
            <v>0</v>
          </cell>
        </row>
        <row r="8971">
          <cell r="A8971" t="str">
            <v>CIVLA</v>
          </cell>
          <cell r="J8971">
            <v>0</v>
          </cell>
        </row>
        <row r="8972">
          <cell r="A8972" t="str">
            <v>CIVLA</v>
          </cell>
          <cell r="J8972">
            <v>0</v>
          </cell>
        </row>
        <row r="8973">
          <cell r="A8973" t="str">
            <v>CIVLA</v>
          </cell>
          <cell r="J8973">
            <v>0</v>
          </cell>
        </row>
        <row r="8974">
          <cell r="A8974" t="str">
            <v>CIVLA</v>
          </cell>
          <cell r="J8974">
            <v>0</v>
          </cell>
        </row>
        <row r="8975">
          <cell r="A8975" t="str">
            <v>CIVLA</v>
          </cell>
          <cell r="J8975">
            <v>0</v>
          </cell>
        </row>
        <row r="8976">
          <cell r="A8976" t="str">
            <v>CIVLA</v>
          </cell>
          <cell r="J8976">
            <v>0</v>
          </cell>
        </row>
        <row r="8977">
          <cell r="A8977" t="str">
            <v>CIVLA</v>
          </cell>
          <cell r="J8977">
            <v>0</v>
          </cell>
        </row>
        <row r="8978">
          <cell r="A8978" t="str">
            <v>CIVLA</v>
          </cell>
          <cell r="J8978">
            <v>0</v>
          </cell>
        </row>
        <row r="8979">
          <cell r="A8979" t="str">
            <v>CIVLA</v>
          </cell>
          <cell r="J8979">
            <v>0</v>
          </cell>
        </row>
        <row r="8980">
          <cell r="A8980" t="str">
            <v>CIVLA</v>
          </cell>
          <cell r="J8980">
            <v>0</v>
          </cell>
        </row>
        <row r="8981">
          <cell r="A8981" t="str">
            <v>CIVLA</v>
          </cell>
          <cell r="J8981">
            <v>0</v>
          </cell>
        </row>
        <row r="8982">
          <cell r="A8982" t="str">
            <v>CIVLA</v>
          </cell>
          <cell r="J8982">
            <v>0</v>
          </cell>
        </row>
        <row r="8983">
          <cell r="A8983" t="str">
            <v>CIVLA</v>
          </cell>
          <cell r="J8983">
            <v>0</v>
          </cell>
        </row>
        <row r="8984">
          <cell r="A8984" t="str">
            <v>CIVLA</v>
          </cell>
          <cell r="J8984">
            <v>0</v>
          </cell>
        </row>
        <row r="8985">
          <cell r="A8985" t="str">
            <v>CIVLA</v>
          </cell>
          <cell r="J8985">
            <v>0</v>
          </cell>
        </row>
        <row r="8986">
          <cell r="A8986" t="str">
            <v>CIVLA</v>
          </cell>
          <cell r="J8986">
            <v>0</v>
          </cell>
        </row>
        <row r="8987">
          <cell r="A8987" t="str">
            <v>CIVLA</v>
          </cell>
          <cell r="J8987">
            <v>0</v>
          </cell>
        </row>
        <row r="8988">
          <cell r="A8988" t="str">
            <v>CIVLA</v>
          </cell>
          <cell r="J8988">
            <v>0</v>
          </cell>
        </row>
        <row r="8989">
          <cell r="A8989" t="str">
            <v>CIVLA</v>
          </cell>
          <cell r="J8989">
            <v>0</v>
          </cell>
        </row>
        <row r="8990">
          <cell r="A8990" t="str">
            <v>CIVLA</v>
          </cell>
          <cell r="J8990">
            <v>0</v>
          </cell>
        </row>
        <row r="8991">
          <cell r="A8991" t="str">
            <v>CIVLA</v>
          </cell>
          <cell r="J8991">
            <v>0</v>
          </cell>
        </row>
        <row r="8992">
          <cell r="A8992" t="str">
            <v>CIVLA</v>
          </cell>
          <cell r="J8992">
            <v>0</v>
          </cell>
        </row>
        <row r="8993">
          <cell r="A8993" t="str">
            <v>CIVLA</v>
          </cell>
          <cell r="J8993">
            <v>0</v>
          </cell>
        </row>
        <row r="8994">
          <cell r="A8994" t="str">
            <v>CIVLA</v>
          </cell>
          <cell r="J8994">
            <v>0</v>
          </cell>
        </row>
        <row r="8995">
          <cell r="A8995" t="str">
            <v>CIVLA</v>
          </cell>
          <cell r="J8995">
            <v>0</v>
          </cell>
        </row>
        <row r="8996">
          <cell r="A8996" t="str">
            <v>CIVLA</v>
          </cell>
          <cell r="J8996">
            <v>0</v>
          </cell>
        </row>
        <row r="8997">
          <cell r="A8997" t="str">
            <v>CIVLA</v>
          </cell>
          <cell r="J8997">
            <v>0</v>
          </cell>
        </row>
        <row r="8998">
          <cell r="A8998" t="str">
            <v>CIVLA</v>
          </cell>
          <cell r="J8998">
            <v>0</v>
          </cell>
        </row>
        <row r="8999">
          <cell r="A8999" t="str">
            <v>CIVLA</v>
          </cell>
          <cell r="J8999">
            <v>0</v>
          </cell>
        </row>
        <row r="9000">
          <cell r="A9000" t="str">
            <v>CIVLA</v>
          </cell>
          <cell r="J9000">
            <v>0</v>
          </cell>
        </row>
        <row r="9001">
          <cell r="A9001" t="str">
            <v>CIVLA</v>
          </cell>
          <cell r="J9001">
            <v>0</v>
          </cell>
        </row>
        <row r="9002">
          <cell r="A9002" t="str">
            <v>CIVLA</v>
          </cell>
          <cell r="J9002">
            <v>0</v>
          </cell>
        </row>
        <row r="9003">
          <cell r="A9003" t="str">
            <v>CIVLA</v>
          </cell>
          <cell r="J9003">
            <v>0</v>
          </cell>
        </row>
        <row r="9004">
          <cell r="A9004" t="str">
            <v>CIVLA</v>
          </cell>
          <cell r="J9004">
            <v>0</v>
          </cell>
        </row>
        <row r="9005">
          <cell r="A9005" t="str">
            <v>CIVLA</v>
          </cell>
          <cell r="J9005">
            <v>0</v>
          </cell>
        </row>
        <row r="9006">
          <cell r="A9006" t="str">
            <v>CIVLA</v>
          </cell>
          <cell r="J9006">
            <v>0</v>
          </cell>
        </row>
        <row r="9007">
          <cell r="A9007" t="str">
            <v>CIVLA</v>
          </cell>
          <cell r="J9007">
            <v>0</v>
          </cell>
        </row>
        <row r="9008">
          <cell r="A9008" t="str">
            <v>CIVLA</v>
          </cell>
          <cell r="J9008">
            <v>0</v>
          </cell>
        </row>
        <row r="9009">
          <cell r="A9009" t="str">
            <v>CIVLA</v>
          </cell>
          <cell r="J9009">
            <v>0</v>
          </cell>
        </row>
        <row r="9010">
          <cell r="A9010" t="str">
            <v>CIVLA</v>
          </cell>
          <cell r="J9010">
            <v>0</v>
          </cell>
        </row>
        <row r="9011">
          <cell r="A9011" t="str">
            <v>CIVLA</v>
          </cell>
          <cell r="J9011">
            <v>0</v>
          </cell>
        </row>
        <row r="9012">
          <cell r="A9012" t="str">
            <v>CIVLA</v>
          </cell>
          <cell r="J9012">
            <v>0</v>
          </cell>
        </row>
        <row r="9013">
          <cell r="A9013" t="str">
            <v>CIVLA</v>
          </cell>
          <cell r="J9013">
            <v>0</v>
          </cell>
        </row>
        <row r="9014">
          <cell r="A9014" t="str">
            <v>CIVLA</v>
          </cell>
          <cell r="J9014">
            <v>0</v>
          </cell>
        </row>
        <row r="9015">
          <cell r="A9015" t="str">
            <v>CIVLA</v>
          </cell>
          <cell r="J9015">
            <v>0</v>
          </cell>
        </row>
        <row r="9016">
          <cell r="A9016" t="str">
            <v>CIVLA</v>
          </cell>
          <cell r="J9016">
            <v>0</v>
          </cell>
        </row>
        <row r="9017">
          <cell r="A9017" t="str">
            <v>CIVLA</v>
          </cell>
          <cell r="J9017">
            <v>0</v>
          </cell>
        </row>
        <row r="9018">
          <cell r="A9018" t="str">
            <v>CIVLA</v>
          </cell>
          <cell r="J9018">
            <v>0</v>
          </cell>
        </row>
        <row r="9019">
          <cell r="A9019" t="str">
            <v>CIVLA</v>
          </cell>
          <cell r="J9019">
            <v>0</v>
          </cell>
        </row>
        <row r="9020">
          <cell r="A9020" t="str">
            <v>CIVLA</v>
          </cell>
          <cell r="J9020">
            <v>0</v>
          </cell>
        </row>
        <row r="9021">
          <cell r="A9021" t="str">
            <v>CIVLA</v>
          </cell>
          <cell r="J9021">
            <v>0</v>
          </cell>
        </row>
        <row r="9022">
          <cell r="A9022" t="str">
            <v>CIVLA</v>
          </cell>
          <cell r="J9022">
            <v>0</v>
          </cell>
        </row>
        <row r="9023">
          <cell r="A9023" t="str">
            <v>CIVLA</v>
          </cell>
          <cell r="J9023">
            <v>0</v>
          </cell>
        </row>
        <row r="9024">
          <cell r="A9024" t="str">
            <v>CIVLA</v>
          </cell>
          <cell r="J9024">
            <v>0</v>
          </cell>
        </row>
        <row r="9025">
          <cell r="A9025" t="str">
            <v>CIVLA</v>
          </cell>
          <cell r="J9025">
            <v>0</v>
          </cell>
        </row>
        <row r="9026">
          <cell r="A9026" t="str">
            <v>CIVLA</v>
          </cell>
          <cell r="J9026">
            <v>0</v>
          </cell>
        </row>
        <row r="9027">
          <cell r="A9027" t="str">
            <v>CIVLA</v>
          </cell>
          <cell r="J9027">
            <v>0</v>
          </cell>
        </row>
        <row r="9028">
          <cell r="A9028" t="str">
            <v>CIVLA</v>
          </cell>
          <cell r="J9028">
            <v>0</v>
          </cell>
        </row>
        <row r="9029">
          <cell r="A9029" t="str">
            <v>CIVLA</v>
          </cell>
          <cell r="J9029">
            <v>0</v>
          </cell>
        </row>
        <row r="9030">
          <cell r="A9030" t="str">
            <v>CIVLA</v>
          </cell>
          <cell r="J9030">
            <v>0</v>
          </cell>
        </row>
        <row r="9031">
          <cell r="A9031" t="str">
            <v>CIVLA</v>
          </cell>
          <cell r="J9031">
            <v>0</v>
          </cell>
        </row>
        <row r="9032">
          <cell r="A9032" t="str">
            <v>CIVLA</v>
          </cell>
          <cell r="J9032">
            <v>0</v>
          </cell>
        </row>
        <row r="9033">
          <cell r="A9033" t="str">
            <v>CIVLA</v>
          </cell>
          <cell r="J9033">
            <v>0</v>
          </cell>
        </row>
        <row r="9034">
          <cell r="A9034" t="str">
            <v>CIVLA</v>
          </cell>
          <cell r="J9034">
            <v>0</v>
          </cell>
        </row>
        <row r="9035">
          <cell r="A9035" t="str">
            <v>CIVLA</v>
          </cell>
          <cell r="J9035">
            <v>0</v>
          </cell>
        </row>
        <row r="9036">
          <cell r="A9036" t="str">
            <v>CIVLA</v>
          </cell>
          <cell r="J9036">
            <v>0</v>
          </cell>
        </row>
        <row r="9037">
          <cell r="A9037" t="str">
            <v>CIVLA</v>
          </cell>
          <cell r="J9037">
            <v>0</v>
          </cell>
        </row>
        <row r="9038">
          <cell r="A9038" t="str">
            <v>CIVLA</v>
          </cell>
          <cell r="J9038">
            <v>0</v>
          </cell>
        </row>
        <row r="9039">
          <cell r="A9039" t="str">
            <v>CIVLA</v>
          </cell>
          <cell r="J9039">
            <v>0</v>
          </cell>
        </row>
        <row r="9040">
          <cell r="A9040" t="str">
            <v>CIVLA</v>
          </cell>
          <cell r="J9040">
            <v>0</v>
          </cell>
        </row>
        <row r="9041">
          <cell r="A9041" t="str">
            <v>CIVLA</v>
          </cell>
          <cell r="J9041">
            <v>0</v>
          </cell>
        </row>
        <row r="9042">
          <cell r="A9042" t="str">
            <v>CIVLA</v>
          </cell>
          <cell r="J9042">
            <v>0</v>
          </cell>
        </row>
        <row r="9043">
          <cell r="A9043" t="str">
            <v>CIVLA</v>
          </cell>
          <cell r="J9043">
            <v>0</v>
          </cell>
        </row>
        <row r="9044">
          <cell r="A9044" t="str">
            <v>CIVLA</v>
          </cell>
          <cell r="J9044">
            <v>0</v>
          </cell>
        </row>
        <row r="9045">
          <cell r="A9045" t="str">
            <v>CIVLA</v>
          </cell>
          <cell r="J9045">
            <v>0</v>
          </cell>
        </row>
        <row r="9046">
          <cell r="A9046" t="str">
            <v>CIVLA</v>
          </cell>
          <cell r="J9046">
            <v>0</v>
          </cell>
        </row>
        <row r="9047">
          <cell r="A9047" t="str">
            <v>CIVLA</v>
          </cell>
          <cell r="J9047">
            <v>0</v>
          </cell>
        </row>
        <row r="9048">
          <cell r="A9048" t="str">
            <v>CIVLA</v>
          </cell>
          <cell r="J9048">
            <v>0</v>
          </cell>
        </row>
        <row r="9049">
          <cell r="A9049" t="str">
            <v>CIVLA</v>
          </cell>
          <cell r="J9049">
            <v>0</v>
          </cell>
        </row>
        <row r="9050">
          <cell r="A9050" t="str">
            <v>CIVLA</v>
          </cell>
          <cell r="J9050">
            <v>0</v>
          </cell>
        </row>
        <row r="9051">
          <cell r="A9051" t="str">
            <v>CIVLA</v>
          </cell>
          <cell r="J9051">
            <v>0</v>
          </cell>
        </row>
        <row r="9052">
          <cell r="A9052" t="str">
            <v>CIVLA</v>
          </cell>
          <cell r="J9052">
            <v>0</v>
          </cell>
        </row>
        <row r="9053">
          <cell r="A9053" t="str">
            <v>CIVLA</v>
          </cell>
          <cell r="J9053">
            <v>0</v>
          </cell>
        </row>
        <row r="9054">
          <cell r="A9054" t="str">
            <v>CIVLA</v>
          </cell>
          <cell r="J9054">
            <v>0</v>
          </cell>
        </row>
        <row r="9055">
          <cell r="A9055" t="str">
            <v>CIVLA</v>
          </cell>
          <cell r="J9055">
            <v>0</v>
          </cell>
        </row>
        <row r="9056">
          <cell r="A9056" t="str">
            <v>CIVLA</v>
          </cell>
          <cell r="J9056">
            <v>0</v>
          </cell>
        </row>
        <row r="9057">
          <cell r="A9057" t="str">
            <v>CIVLA</v>
          </cell>
          <cell r="J9057">
            <v>0</v>
          </cell>
        </row>
        <row r="9058">
          <cell r="A9058" t="str">
            <v>CIVLA</v>
          </cell>
          <cell r="J9058">
            <v>0</v>
          </cell>
        </row>
        <row r="9059">
          <cell r="A9059" t="str">
            <v>CIVLA</v>
          </cell>
          <cell r="J9059">
            <v>0</v>
          </cell>
        </row>
        <row r="9060">
          <cell r="A9060" t="str">
            <v>CIVLA</v>
          </cell>
          <cell r="J9060">
            <v>0</v>
          </cell>
        </row>
        <row r="9061">
          <cell r="A9061" t="str">
            <v>CIVLA</v>
          </cell>
          <cell r="J9061">
            <v>0</v>
          </cell>
        </row>
        <row r="9062">
          <cell r="A9062" t="str">
            <v>CIVLA</v>
          </cell>
          <cell r="J9062">
            <v>0</v>
          </cell>
        </row>
        <row r="9063">
          <cell r="A9063" t="str">
            <v>CIVLA</v>
          </cell>
          <cell r="J9063">
            <v>0</v>
          </cell>
        </row>
        <row r="9064">
          <cell r="A9064" t="str">
            <v>CIVLA</v>
          </cell>
          <cell r="J9064">
            <v>0</v>
          </cell>
        </row>
        <row r="9065">
          <cell r="A9065" t="str">
            <v>CIVLA</v>
          </cell>
          <cell r="J9065">
            <v>0</v>
          </cell>
        </row>
        <row r="9066">
          <cell r="A9066" t="str">
            <v>CIVLA</v>
          </cell>
          <cell r="J9066">
            <v>0</v>
          </cell>
        </row>
        <row r="9067">
          <cell r="A9067" t="str">
            <v>CIVLA</v>
          </cell>
          <cell r="J9067">
            <v>0</v>
          </cell>
        </row>
        <row r="9068">
          <cell r="A9068" t="str">
            <v>CIVLA</v>
          </cell>
          <cell r="J9068">
            <v>0</v>
          </cell>
        </row>
        <row r="9069">
          <cell r="A9069" t="str">
            <v>CIVLA</v>
          </cell>
          <cell r="J9069">
            <v>0</v>
          </cell>
        </row>
        <row r="9070">
          <cell r="A9070" t="str">
            <v>CIVLA</v>
          </cell>
          <cell r="J9070">
            <v>0</v>
          </cell>
        </row>
        <row r="9071">
          <cell r="A9071" t="str">
            <v>CIVLA</v>
          </cell>
          <cell r="J9071">
            <v>0</v>
          </cell>
        </row>
        <row r="9072">
          <cell r="A9072" t="str">
            <v>CIVLA</v>
          </cell>
          <cell r="J9072">
            <v>0</v>
          </cell>
        </row>
        <row r="9073">
          <cell r="A9073" t="str">
            <v>CIVLA</v>
          </cell>
          <cell r="J9073">
            <v>0</v>
          </cell>
        </row>
        <row r="9074">
          <cell r="A9074" t="str">
            <v>CIVLA</v>
          </cell>
          <cell r="J9074">
            <v>0</v>
          </cell>
        </row>
        <row r="9075">
          <cell r="A9075" t="str">
            <v>CIVLA</v>
          </cell>
          <cell r="J9075">
            <v>0</v>
          </cell>
        </row>
        <row r="9076">
          <cell r="A9076" t="str">
            <v>CIVLA</v>
          </cell>
          <cell r="J9076">
            <v>0</v>
          </cell>
        </row>
        <row r="9077">
          <cell r="A9077" t="str">
            <v>CIVLA</v>
          </cell>
          <cell r="J9077">
            <v>0</v>
          </cell>
        </row>
        <row r="9078">
          <cell r="A9078" t="str">
            <v>CIVLA</v>
          </cell>
          <cell r="J9078">
            <v>0</v>
          </cell>
        </row>
        <row r="9079">
          <cell r="A9079" t="str">
            <v>CIVLA</v>
          </cell>
          <cell r="J9079">
            <v>0</v>
          </cell>
        </row>
        <row r="9080">
          <cell r="A9080" t="str">
            <v>CIVLA</v>
          </cell>
          <cell r="J9080">
            <v>0</v>
          </cell>
        </row>
        <row r="9081">
          <cell r="A9081" t="str">
            <v>CIVLA</v>
          </cell>
          <cell r="J9081">
            <v>0</v>
          </cell>
        </row>
        <row r="9082">
          <cell r="A9082" t="str">
            <v>CIVLA</v>
          </cell>
          <cell r="J9082">
            <v>0</v>
          </cell>
        </row>
        <row r="9083">
          <cell r="A9083" t="str">
            <v>CIVLA</v>
          </cell>
          <cell r="J9083">
            <v>0</v>
          </cell>
        </row>
        <row r="9084">
          <cell r="A9084" t="str">
            <v>CIVLA</v>
          </cell>
          <cell r="J9084">
            <v>0</v>
          </cell>
        </row>
        <row r="9085">
          <cell r="A9085" t="str">
            <v>CIVLA</v>
          </cell>
          <cell r="J9085">
            <v>0</v>
          </cell>
        </row>
        <row r="9086">
          <cell r="A9086" t="str">
            <v>CIVLA</v>
          </cell>
          <cell r="J9086">
            <v>0</v>
          </cell>
        </row>
        <row r="9087">
          <cell r="A9087" t="str">
            <v>CIVLA</v>
          </cell>
          <cell r="J9087">
            <v>0</v>
          </cell>
        </row>
        <row r="9088">
          <cell r="A9088" t="str">
            <v>CIVLA</v>
          </cell>
          <cell r="J9088">
            <v>0</v>
          </cell>
        </row>
        <row r="9089">
          <cell r="A9089" t="str">
            <v>CIVLA</v>
          </cell>
          <cell r="J9089">
            <v>0</v>
          </cell>
        </row>
        <row r="9090">
          <cell r="A9090" t="str">
            <v>CIVLA</v>
          </cell>
          <cell r="J9090">
            <v>0</v>
          </cell>
        </row>
        <row r="9091">
          <cell r="A9091" t="str">
            <v>CIVLA</v>
          </cell>
          <cell r="J9091">
            <v>0</v>
          </cell>
        </row>
        <row r="9092">
          <cell r="A9092" t="str">
            <v>CIVLA</v>
          </cell>
          <cell r="J9092">
            <v>0</v>
          </cell>
        </row>
        <row r="9093">
          <cell r="A9093" t="str">
            <v>CIVLA</v>
          </cell>
          <cell r="J9093">
            <v>0</v>
          </cell>
        </row>
        <row r="9094">
          <cell r="A9094" t="str">
            <v>CIVLA</v>
          </cell>
          <cell r="J9094">
            <v>0</v>
          </cell>
        </row>
        <row r="9095">
          <cell r="A9095" t="str">
            <v>CIVLA</v>
          </cell>
          <cell r="J9095">
            <v>0</v>
          </cell>
        </row>
        <row r="9096">
          <cell r="A9096" t="str">
            <v>CIVLA</v>
          </cell>
          <cell r="J9096">
            <v>0</v>
          </cell>
        </row>
        <row r="9097">
          <cell r="A9097" t="str">
            <v>CIVLA</v>
          </cell>
          <cell r="J9097">
            <v>0</v>
          </cell>
        </row>
        <row r="9098">
          <cell r="A9098" t="str">
            <v>CIVLA</v>
          </cell>
          <cell r="J9098">
            <v>0</v>
          </cell>
        </row>
        <row r="9099">
          <cell r="A9099" t="str">
            <v>CIVLA</v>
          </cell>
          <cell r="J9099">
            <v>0</v>
          </cell>
        </row>
        <row r="9100">
          <cell r="A9100" t="str">
            <v>CIVLA</v>
          </cell>
          <cell r="J9100">
            <v>0</v>
          </cell>
        </row>
        <row r="9101">
          <cell r="A9101" t="str">
            <v>CIVLA</v>
          </cell>
          <cell r="J9101">
            <v>0</v>
          </cell>
        </row>
        <row r="9102">
          <cell r="A9102" t="str">
            <v>CIVLA</v>
          </cell>
          <cell r="J9102">
            <v>0</v>
          </cell>
        </row>
        <row r="9103">
          <cell r="A9103" t="str">
            <v>CIVLA</v>
          </cell>
          <cell r="J9103">
            <v>0</v>
          </cell>
        </row>
        <row r="9104">
          <cell r="A9104" t="str">
            <v>CIVLA</v>
          </cell>
          <cell r="J9104">
            <v>0</v>
          </cell>
        </row>
        <row r="9105">
          <cell r="A9105" t="str">
            <v>CIVLA</v>
          </cell>
          <cell r="J9105">
            <v>0</v>
          </cell>
        </row>
        <row r="9106">
          <cell r="A9106" t="str">
            <v>CIVLA</v>
          </cell>
          <cell r="J9106">
            <v>0</v>
          </cell>
        </row>
        <row r="9107">
          <cell r="A9107" t="str">
            <v>CIVLA</v>
          </cell>
          <cell r="J9107">
            <v>0</v>
          </cell>
        </row>
        <row r="9108">
          <cell r="A9108" t="str">
            <v>CIVLA</v>
          </cell>
          <cell r="J9108">
            <v>0</v>
          </cell>
        </row>
        <row r="9109">
          <cell r="A9109" t="str">
            <v>CIVLA</v>
          </cell>
          <cell r="J9109">
            <v>0</v>
          </cell>
        </row>
        <row r="9110">
          <cell r="A9110" t="str">
            <v>CIVLA</v>
          </cell>
          <cell r="J9110">
            <v>0</v>
          </cell>
        </row>
        <row r="9111">
          <cell r="A9111" t="str">
            <v>CIVLA</v>
          </cell>
          <cell r="J9111">
            <v>0</v>
          </cell>
        </row>
        <row r="9112">
          <cell r="J9112">
            <v>0</v>
          </cell>
        </row>
        <row r="9113">
          <cell r="J9113">
            <v>0</v>
          </cell>
        </row>
        <row r="9114">
          <cell r="J9114">
            <v>0</v>
          </cell>
        </row>
        <row r="9115">
          <cell r="A9115" t="str">
            <v>SERVYRE</v>
          </cell>
          <cell r="B9115" t="str">
            <v>101-00000-000-0000</v>
          </cell>
          <cell r="J9115">
            <v>205720026.78999999</v>
          </cell>
        </row>
        <row r="9116">
          <cell r="A9116" t="str">
            <v>SERVYRE</v>
          </cell>
          <cell r="B9116" t="str">
            <v>101-00002-000-0000</v>
          </cell>
          <cell r="J9116">
            <v>12531820.699999999</v>
          </cell>
        </row>
        <row r="9117">
          <cell r="A9117" t="str">
            <v>SERVYRE</v>
          </cell>
          <cell r="B9117" t="str">
            <v>101-00002-001-0000</v>
          </cell>
          <cell r="J9117">
            <v>57128.36</v>
          </cell>
        </row>
        <row r="9118">
          <cell r="A9118" t="str">
            <v>SERVYRE</v>
          </cell>
          <cell r="B9118" t="str">
            <v>101-00002-001-0001</v>
          </cell>
          <cell r="J9118">
            <v>57128.36</v>
          </cell>
        </row>
        <row r="9119">
          <cell r="A9119" t="str">
            <v>SERVYRE</v>
          </cell>
          <cell r="B9119" t="str">
            <v>101-00002-002-0000</v>
          </cell>
          <cell r="J9119">
            <v>426836.1</v>
          </cell>
        </row>
        <row r="9120">
          <cell r="A9120" t="str">
            <v>SERVYRE</v>
          </cell>
          <cell r="B9120" t="str">
            <v>101-00002-002-0007</v>
          </cell>
          <cell r="J9120">
            <v>363740.74</v>
          </cell>
        </row>
        <row r="9121">
          <cell r="A9121" t="str">
            <v>SERVYRE</v>
          </cell>
          <cell r="B9121" t="str">
            <v>101-00002-002-0009</v>
          </cell>
          <cell r="J9121">
            <v>15543.05</v>
          </cell>
        </row>
        <row r="9122">
          <cell r="A9122" t="str">
            <v>SERVYRE</v>
          </cell>
          <cell r="B9122" t="str">
            <v>101-00002-002-0030</v>
          </cell>
          <cell r="J9122">
            <v>13501</v>
          </cell>
        </row>
        <row r="9123">
          <cell r="A9123" t="str">
            <v>SERVYRE</v>
          </cell>
          <cell r="B9123" t="str">
            <v>101-00002-002-0052</v>
          </cell>
          <cell r="J9123">
            <v>34051.31</v>
          </cell>
        </row>
        <row r="9124">
          <cell r="A9124" t="str">
            <v>SERVYRE</v>
          </cell>
          <cell r="B9124" t="str">
            <v>101-00002-003-0000</v>
          </cell>
          <cell r="J9124">
            <v>4154932.35</v>
          </cell>
        </row>
        <row r="9125">
          <cell r="A9125" t="str">
            <v>SERVYRE</v>
          </cell>
          <cell r="B9125" t="str">
            <v>101-00002-003-0011</v>
          </cell>
          <cell r="J9125">
            <v>4122469.59</v>
          </cell>
        </row>
        <row r="9126">
          <cell r="A9126" t="str">
            <v>SERVYRE</v>
          </cell>
          <cell r="B9126" t="str">
            <v>101-00002-003-0050</v>
          </cell>
          <cell r="J9126">
            <v>32462.76</v>
          </cell>
        </row>
        <row r="9127">
          <cell r="A9127" t="str">
            <v>SERVYRE</v>
          </cell>
          <cell r="B9127" t="str">
            <v>101-00002-004-0000</v>
          </cell>
          <cell r="J9127">
            <v>296569.75</v>
          </cell>
        </row>
        <row r="9128">
          <cell r="A9128" t="str">
            <v>SERVYRE</v>
          </cell>
          <cell r="B9128" t="str">
            <v>101-00002-004-0001</v>
          </cell>
          <cell r="J9128">
            <v>224750.04</v>
          </cell>
        </row>
        <row r="9129">
          <cell r="A9129" t="str">
            <v>SERVYRE</v>
          </cell>
          <cell r="B9129" t="str">
            <v>101-00002-004-0002</v>
          </cell>
          <cell r="J9129">
            <v>20691.61</v>
          </cell>
        </row>
        <row r="9130">
          <cell r="A9130" t="str">
            <v>SERVYRE</v>
          </cell>
          <cell r="B9130" t="str">
            <v>101-00002-004-0052</v>
          </cell>
          <cell r="J9130">
            <v>51128.1</v>
          </cell>
        </row>
        <row r="9131">
          <cell r="A9131" t="str">
            <v>SERVYRE</v>
          </cell>
          <cell r="B9131" t="str">
            <v>101-00002-005-0000</v>
          </cell>
          <cell r="J9131">
            <v>2232224.4900000002</v>
          </cell>
        </row>
        <row r="9132">
          <cell r="A9132" t="str">
            <v>SERVYRE</v>
          </cell>
          <cell r="B9132" t="str">
            <v>101-00002-005-0001</v>
          </cell>
          <cell r="J9132">
            <v>2232224.4900000002</v>
          </cell>
        </row>
        <row r="9133">
          <cell r="A9133" t="str">
            <v>SERVYRE</v>
          </cell>
          <cell r="B9133" t="str">
            <v>101-00002-006-0000</v>
          </cell>
          <cell r="J9133">
            <v>22845.9</v>
          </cell>
        </row>
        <row r="9134">
          <cell r="A9134" t="str">
            <v>SERVYRE</v>
          </cell>
          <cell r="B9134" t="str">
            <v>101-00002-006-0011</v>
          </cell>
          <cell r="J9134">
            <v>22845.9</v>
          </cell>
        </row>
        <row r="9135">
          <cell r="A9135" t="str">
            <v>SERVYRE</v>
          </cell>
          <cell r="B9135" t="str">
            <v>101-00002-008-0000</v>
          </cell>
          <cell r="J9135">
            <v>1051550.78</v>
          </cell>
        </row>
        <row r="9136">
          <cell r="A9136" t="str">
            <v>SERVYRE</v>
          </cell>
          <cell r="B9136" t="str">
            <v>101-00002-008-0001</v>
          </cell>
          <cell r="J9136">
            <v>1051550.78</v>
          </cell>
        </row>
        <row r="9137">
          <cell r="A9137" t="str">
            <v>SERVYRE</v>
          </cell>
          <cell r="B9137" t="str">
            <v>101-00002-009-0000</v>
          </cell>
          <cell r="J9137">
            <v>4262594.9000000004</v>
          </cell>
        </row>
        <row r="9138">
          <cell r="A9138" t="str">
            <v>SERVYRE</v>
          </cell>
          <cell r="B9138" t="str">
            <v>101-00002-009-0001</v>
          </cell>
          <cell r="J9138">
            <v>4209455.28</v>
          </cell>
        </row>
        <row r="9139">
          <cell r="A9139" t="str">
            <v>SERVYRE</v>
          </cell>
          <cell r="B9139" t="str">
            <v>101-00002-009-0005</v>
          </cell>
          <cell r="J9139">
            <v>3000</v>
          </cell>
        </row>
        <row r="9140">
          <cell r="A9140" t="str">
            <v>SERVYRE</v>
          </cell>
          <cell r="B9140" t="str">
            <v>101-00002-009-0007</v>
          </cell>
          <cell r="J9140">
            <v>50139.62</v>
          </cell>
        </row>
        <row r="9141">
          <cell r="A9141" t="str">
            <v>SERVYRE</v>
          </cell>
          <cell r="B9141" t="str">
            <v>101-00002-010-0000</v>
          </cell>
          <cell r="J9141">
            <v>27138.07</v>
          </cell>
        </row>
        <row r="9142">
          <cell r="A9142" t="str">
            <v>SERVYRE</v>
          </cell>
          <cell r="B9142" t="str">
            <v>101-00002-010-0001</v>
          </cell>
          <cell r="J9142">
            <v>27138.07</v>
          </cell>
        </row>
        <row r="9143">
          <cell r="A9143" t="str">
            <v>SERVYRE</v>
          </cell>
          <cell r="B9143" t="str">
            <v>101-00004-000-0000</v>
          </cell>
          <cell r="J9143">
            <v>64122916.869999997</v>
          </cell>
        </row>
        <row r="9144">
          <cell r="A9144" t="str">
            <v>SERVYRE</v>
          </cell>
          <cell r="B9144" t="str">
            <v>101-00004-002-0000</v>
          </cell>
          <cell r="J9144">
            <v>64122916.869999997</v>
          </cell>
        </row>
        <row r="9145">
          <cell r="A9145" t="str">
            <v>SERVYRE</v>
          </cell>
          <cell r="B9145" t="str">
            <v>101-00004-002-0047</v>
          </cell>
          <cell r="J9145">
            <v>129943.76</v>
          </cell>
        </row>
        <row r="9146">
          <cell r="A9146" t="str">
            <v>SERVYRE</v>
          </cell>
          <cell r="B9146" t="str">
            <v>101-00004-002-0263</v>
          </cell>
          <cell r="J9146">
            <v>2747728.48</v>
          </cell>
        </row>
        <row r="9147">
          <cell r="A9147" t="str">
            <v>SERVYRE</v>
          </cell>
          <cell r="B9147" t="str">
            <v>101-00004-002-0485</v>
          </cell>
          <cell r="J9147">
            <v>5190063.3600000003</v>
          </cell>
        </row>
        <row r="9148">
          <cell r="A9148" t="str">
            <v>SERVYRE</v>
          </cell>
          <cell r="B9148" t="str">
            <v>101-00004-002-0956</v>
          </cell>
          <cell r="J9148">
            <v>3663254.54</v>
          </cell>
        </row>
        <row r="9149">
          <cell r="A9149" t="str">
            <v>SERVYRE</v>
          </cell>
          <cell r="B9149" t="str">
            <v>101-00004-002-1381</v>
          </cell>
          <cell r="J9149">
            <v>2290804.5699999998</v>
          </cell>
        </row>
        <row r="9150">
          <cell r="A9150" t="str">
            <v>SERVYRE</v>
          </cell>
          <cell r="B9150" t="str">
            <v>101-00004-002-2533</v>
          </cell>
          <cell r="J9150">
            <v>3703668.63</v>
          </cell>
        </row>
        <row r="9151">
          <cell r="A9151" t="str">
            <v>SERVYRE</v>
          </cell>
          <cell r="B9151" t="str">
            <v>101-00004-002-2623</v>
          </cell>
          <cell r="J9151">
            <v>347454.94</v>
          </cell>
        </row>
        <row r="9152">
          <cell r="A9152" t="str">
            <v>SERVYRE</v>
          </cell>
          <cell r="B9152" t="str">
            <v>101-00004-002-2743</v>
          </cell>
          <cell r="J9152">
            <v>31237.439999999999</v>
          </cell>
        </row>
        <row r="9153">
          <cell r="A9153" t="str">
            <v>SERVYRE</v>
          </cell>
          <cell r="B9153" t="str">
            <v>101-00004-002-2804</v>
          </cell>
          <cell r="J9153">
            <v>1341169.94</v>
          </cell>
        </row>
        <row r="9154">
          <cell r="A9154" t="str">
            <v>SERVYRE</v>
          </cell>
          <cell r="B9154" t="str">
            <v>101-00004-002-2975</v>
          </cell>
          <cell r="J9154">
            <v>132710.60999999999</v>
          </cell>
        </row>
        <row r="9155">
          <cell r="A9155" t="str">
            <v>SERVYRE</v>
          </cell>
          <cell r="B9155" t="str">
            <v>101-00004-002-2993</v>
          </cell>
          <cell r="J9155">
            <v>36581081.329999998</v>
          </cell>
        </row>
        <row r="9156">
          <cell r="A9156" t="str">
            <v>SERVYRE</v>
          </cell>
          <cell r="B9156" t="str">
            <v>101-00004-002-3112</v>
          </cell>
          <cell r="J9156">
            <v>5010.25</v>
          </cell>
        </row>
        <row r="9157">
          <cell r="A9157" t="str">
            <v>SERVYRE</v>
          </cell>
          <cell r="B9157" t="str">
            <v>101-00004-002-3115</v>
          </cell>
          <cell r="J9157">
            <v>2658775.15</v>
          </cell>
        </row>
        <row r="9158">
          <cell r="A9158" t="str">
            <v>SERVYRE</v>
          </cell>
          <cell r="B9158" t="str">
            <v>101-00004-002-3122</v>
          </cell>
          <cell r="J9158">
            <v>250945.54</v>
          </cell>
        </row>
        <row r="9159">
          <cell r="A9159" t="str">
            <v>SERVYRE</v>
          </cell>
          <cell r="B9159" t="str">
            <v>101-00004-002-3124</v>
          </cell>
          <cell r="J9159">
            <v>14000.32</v>
          </cell>
        </row>
        <row r="9160">
          <cell r="A9160" t="str">
            <v>SERVYRE</v>
          </cell>
          <cell r="B9160" t="str">
            <v>101-00004-002-3126</v>
          </cell>
          <cell r="J9160">
            <v>3205519.98</v>
          </cell>
        </row>
        <row r="9161">
          <cell r="A9161" t="str">
            <v>SERVYRE</v>
          </cell>
          <cell r="B9161" t="str">
            <v>101-00004-002-3128</v>
          </cell>
          <cell r="J9161">
            <v>10000</v>
          </cell>
        </row>
        <row r="9162">
          <cell r="A9162" t="str">
            <v>SERVYRE</v>
          </cell>
          <cell r="B9162" t="str">
            <v>101-00004-002-3132</v>
          </cell>
          <cell r="J9162">
            <v>1815436.48</v>
          </cell>
        </row>
        <row r="9163">
          <cell r="A9163" t="str">
            <v>SERVYRE</v>
          </cell>
          <cell r="B9163" t="str">
            <v>101-00004-002-3133</v>
          </cell>
          <cell r="J9163">
            <v>4111.55</v>
          </cell>
        </row>
        <row r="9164">
          <cell r="A9164" t="str">
            <v>SERVYRE</v>
          </cell>
          <cell r="B9164" t="str">
            <v>101-00005-000-0000</v>
          </cell>
          <cell r="J9164">
            <v>725737.18</v>
          </cell>
        </row>
        <row r="9165">
          <cell r="A9165" t="str">
            <v>SERVYRE</v>
          </cell>
          <cell r="B9165" t="str">
            <v>101-00005-002-0000</v>
          </cell>
          <cell r="J9165">
            <v>37500</v>
          </cell>
        </row>
        <row r="9166">
          <cell r="A9166" t="str">
            <v>SERVYRE</v>
          </cell>
          <cell r="B9166" t="str">
            <v>101-00005-002-2377</v>
          </cell>
          <cell r="J9166">
            <v>37500</v>
          </cell>
        </row>
        <row r="9167">
          <cell r="A9167" t="str">
            <v>SERVYRE</v>
          </cell>
          <cell r="B9167" t="str">
            <v>101-00005-003-0000</v>
          </cell>
          <cell r="J9167">
            <v>651330.23</v>
          </cell>
        </row>
        <row r="9168">
          <cell r="A9168" t="str">
            <v>SERVYRE</v>
          </cell>
          <cell r="B9168" t="str">
            <v>101-00005-003-1604</v>
          </cell>
          <cell r="J9168">
            <v>26000</v>
          </cell>
        </row>
        <row r="9169">
          <cell r="A9169" t="str">
            <v>SERVYRE</v>
          </cell>
          <cell r="B9169" t="str">
            <v>101-00005-003-1967</v>
          </cell>
          <cell r="J9169">
            <v>5330.23</v>
          </cell>
        </row>
        <row r="9170">
          <cell r="A9170" t="str">
            <v>SERVYRE</v>
          </cell>
          <cell r="B9170" t="str">
            <v>101-00005-003-3118</v>
          </cell>
          <cell r="J9170">
            <v>20000</v>
          </cell>
        </row>
        <row r="9171">
          <cell r="A9171" t="str">
            <v>SERVYRE</v>
          </cell>
          <cell r="B9171" t="str">
            <v>101-00005-003-3127</v>
          </cell>
          <cell r="J9171">
            <v>40000</v>
          </cell>
        </row>
        <row r="9172">
          <cell r="A9172" t="str">
            <v>SERVYRE</v>
          </cell>
          <cell r="B9172" t="str">
            <v>101-00005-003-3128</v>
          </cell>
          <cell r="J9172">
            <v>10000</v>
          </cell>
        </row>
        <row r="9173">
          <cell r="A9173" t="str">
            <v>SERVYRE</v>
          </cell>
          <cell r="B9173" t="str">
            <v>101-00005-003-3199</v>
          </cell>
          <cell r="J9173">
            <v>0</v>
          </cell>
        </row>
        <row r="9174">
          <cell r="A9174" t="str">
            <v>SERVYRE</v>
          </cell>
          <cell r="B9174" t="str">
            <v>101-00005-003-3235</v>
          </cell>
          <cell r="J9174">
            <v>0</v>
          </cell>
        </row>
        <row r="9175">
          <cell r="A9175" t="str">
            <v>SERVYRE</v>
          </cell>
          <cell r="B9175" t="str">
            <v>101-00005-003-3339</v>
          </cell>
          <cell r="J9175">
            <v>550000</v>
          </cell>
        </row>
        <row r="9176">
          <cell r="A9176" t="str">
            <v>SERVYRE</v>
          </cell>
          <cell r="B9176" t="str">
            <v>101-00005-010-0000</v>
          </cell>
          <cell r="J9176">
            <v>36906.949999999997</v>
          </cell>
        </row>
        <row r="9177">
          <cell r="A9177" t="str">
            <v>SERVYRE</v>
          </cell>
          <cell r="B9177" t="str">
            <v>101-00005-010-0092</v>
          </cell>
          <cell r="J9177">
            <v>36906.949999999997</v>
          </cell>
        </row>
        <row r="9178">
          <cell r="A9178" t="str">
            <v>SERVYRE</v>
          </cell>
          <cell r="B9178" t="str">
            <v>101-00006-000-0000</v>
          </cell>
          <cell r="J9178">
            <v>124443.92</v>
          </cell>
        </row>
        <row r="9179">
          <cell r="A9179" t="str">
            <v>SERVYRE</v>
          </cell>
          <cell r="B9179" t="str">
            <v>101-00006-001-0000</v>
          </cell>
          <cell r="J9179">
            <v>124443.92</v>
          </cell>
        </row>
        <row r="9180">
          <cell r="A9180" t="str">
            <v>SERVYRE</v>
          </cell>
          <cell r="B9180" t="str">
            <v>101-00006-001-0740</v>
          </cell>
          <cell r="J9180">
            <v>56.25</v>
          </cell>
        </row>
        <row r="9181">
          <cell r="A9181" t="str">
            <v>SERVYRE</v>
          </cell>
          <cell r="B9181" t="str">
            <v>101-00006-001-0846</v>
          </cell>
          <cell r="J9181">
            <v>3480</v>
          </cell>
        </row>
        <row r="9182">
          <cell r="A9182" t="str">
            <v>SERVYRE</v>
          </cell>
          <cell r="B9182" t="str">
            <v>101-00006-001-1088</v>
          </cell>
          <cell r="J9182">
            <v>9990.64</v>
          </cell>
        </row>
        <row r="9183">
          <cell r="A9183" t="str">
            <v>SERVYRE</v>
          </cell>
          <cell r="B9183" t="str">
            <v>101-00006-001-1137</v>
          </cell>
          <cell r="J9183">
            <v>22.5</v>
          </cell>
        </row>
        <row r="9184">
          <cell r="A9184" t="str">
            <v>SERVYRE</v>
          </cell>
          <cell r="B9184" t="str">
            <v>101-00006-001-1409</v>
          </cell>
          <cell r="J9184">
            <v>57188</v>
          </cell>
        </row>
        <row r="9185">
          <cell r="A9185" t="str">
            <v>SERVYRE</v>
          </cell>
          <cell r="B9185" t="str">
            <v>101-00006-001-3128</v>
          </cell>
          <cell r="J9185">
            <v>6851.55</v>
          </cell>
        </row>
        <row r="9186">
          <cell r="A9186" t="str">
            <v>SERVYRE</v>
          </cell>
          <cell r="B9186" t="str">
            <v>101-00006-001-3457</v>
          </cell>
          <cell r="J9186">
            <v>46854.98</v>
          </cell>
        </row>
        <row r="9187">
          <cell r="A9187" t="str">
            <v>SERVYRE</v>
          </cell>
          <cell r="B9187" t="str">
            <v>101-00008-000-0000</v>
          </cell>
          <cell r="J9187">
            <v>47254.59</v>
          </cell>
        </row>
        <row r="9188">
          <cell r="A9188" t="str">
            <v>SERVYRE</v>
          </cell>
          <cell r="B9188" t="str">
            <v>101-00008-001-0000</v>
          </cell>
          <cell r="J9188">
            <v>26693.59</v>
          </cell>
        </row>
        <row r="9189">
          <cell r="A9189" t="str">
            <v>SERVYRE</v>
          </cell>
          <cell r="B9189" t="str">
            <v>101-00008-002-0000</v>
          </cell>
          <cell r="J9189">
            <v>19845</v>
          </cell>
        </row>
        <row r="9190">
          <cell r="A9190" t="str">
            <v>SERVYRE</v>
          </cell>
          <cell r="B9190" t="str">
            <v>101-00008-020-0000</v>
          </cell>
          <cell r="J9190">
            <v>716</v>
          </cell>
        </row>
        <row r="9191">
          <cell r="A9191" t="str">
            <v>SERVYRE</v>
          </cell>
          <cell r="B9191" t="str">
            <v>101-00009-000-0000</v>
          </cell>
          <cell r="J9191">
            <v>700926</v>
          </cell>
        </row>
        <row r="9192">
          <cell r="A9192" t="str">
            <v>SERVYRE</v>
          </cell>
          <cell r="B9192" t="str">
            <v>101-00009-006-0000</v>
          </cell>
          <cell r="J9192">
            <v>700926</v>
          </cell>
        </row>
        <row r="9193">
          <cell r="A9193" t="str">
            <v>SERVYRE</v>
          </cell>
          <cell r="B9193" t="str">
            <v>101-00010-000-0000</v>
          </cell>
          <cell r="J9193">
            <v>2292309</v>
          </cell>
        </row>
        <row r="9194">
          <cell r="A9194" t="str">
            <v>SERVYRE</v>
          </cell>
          <cell r="B9194" t="str">
            <v>101-00010-001-0000</v>
          </cell>
          <cell r="J9194">
            <v>2292309</v>
          </cell>
        </row>
        <row r="9195">
          <cell r="A9195" t="str">
            <v>SERVYRE</v>
          </cell>
          <cell r="B9195" t="str">
            <v>101-00011-000-0000</v>
          </cell>
          <cell r="J9195">
            <v>5024591.7</v>
          </cell>
        </row>
        <row r="9196">
          <cell r="A9196" t="str">
            <v>SERVYRE</v>
          </cell>
          <cell r="B9196" t="str">
            <v>101-00011-001-0000</v>
          </cell>
          <cell r="J9196">
            <v>5024591.7</v>
          </cell>
        </row>
        <row r="9197">
          <cell r="A9197" t="str">
            <v>SERVYRE</v>
          </cell>
          <cell r="B9197" t="str">
            <v>101-00013-000-0000</v>
          </cell>
          <cell r="J9197">
            <v>110193877.29000001</v>
          </cell>
        </row>
        <row r="9198">
          <cell r="A9198" t="str">
            <v>SERVYRE</v>
          </cell>
          <cell r="B9198" t="str">
            <v>101-00013-080-0000</v>
          </cell>
          <cell r="J9198">
            <v>110193877.29000001</v>
          </cell>
        </row>
        <row r="9199">
          <cell r="A9199" t="str">
            <v>SERVYRE</v>
          </cell>
          <cell r="B9199" t="str">
            <v>101-00015-000-0000</v>
          </cell>
          <cell r="J9199">
            <v>9956149.5399999991</v>
          </cell>
        </row>
        <row r="9200">
          <cell r="A9200" t="str">
            <v>SERVYRE</v>
          </cell>
          <cell r="B9200" t="str">
            <v>101-00015-001-0000</v>
          </cell>
          <cell r="J9200">
            <v>9956149.5399999991</v>
          </cell>
        </row>
        <row r="9201">
          <cell r="A9201" t="str">
            <v>SERVYRE</v>
          </cell>
          <cell r="B9201" t="str">
            <v>101-00015-001-0467</v>
          </cell>
          <cell r="J9201">
            <v>655000</v>
          </cell>
        </row>
        <row r="9202">
          <cell r="A9202" t="str">
            <v>SERVYRE</v>
          </cell>
          <cell r="B9202" t="str">
            <v>101-00015-001-0468</v>
          </cell>
          <cell r="J9202">
            <v>1302.3</v>
          </cell>
        </row>
        <row r="9203">
          <cell r="A9203" t="str">
            <v>SERVYRE</v>
          </cell>
          <cell r="B9203" t="str">
            <v>101-00015-001-0813</v>
          </cell>
          <cell r="J9203">
            <v>100000</v>
          </cell>
        </row>
        <row r="9204">
          <cell r="A9204" t="str">
            <v>SERVYRE</v>
          </cell>
          <cell r="B9204" t="str">
            <v>101-00015-001-0942</v>
          </cell>
          <cell r="J9204">
            <v>7900000</v>
          </cell>
        </row>
        <row r="9205">
          <cell r="A9205" t="str">
            <v>SERVYRE</v>
          </cell>
          <cell r="B9205" t="str">
            <v>101-00015-001-1127</v>
          </cell>
          <cell r="J9205">
            <v>417347.23</v>
          </cell>
        </row>
        <row r="9206">
          <cell r="A9206" t="str">
            <v>SERVYRE</v>
          </cell>
          <cell r="B9206" t="str">
            <v>101-00015-001-1428</v>
          </cell>
          <cell r="J9206">
            <v>5000</v>
          </cell>
        </row>
        <row r="9207">
          <cell r="A9207" t="str">
            <v>SERVYRE</v>
          </cell>
          <cell r="B9207" t="str">
            <v>101-00015-001-1616</v>
          </cell>
          <cell r="J9207">
            <v>677500</v>
          </cell>
        </row>
        <row r="9208">
          <cell r="A9208" t="str">
            <v>SERVYRE</v>
          </cell>
          <cell r="B9208" t="str">
            <v>101-00015-001-2300</v>
          </cell>
          <cell r="J9208">
            <v>0</v>
          </cell>
        </row>
        <row r="9209">
          <cell r="A9209" t="str">
            <v>SERVYRE</v>
          </cell>
          <cell r="B9209" t="str">
            <v>101-00015-001-2304</v>
          </cell>
          <cell r="J9209">
            <v>195000.01</v>
          </cell>
        </row>
        <row r="9210">
          <cell r="A9210" t="str">
            <v>SERVYRE</v>
          </cell>
          <cell r="B9210" t="str">
            <v>101-00015-001-2937</v>
          </cell>
          <cell r="J9210">
            <v>5000</v>
          </cell>
        </row>
        <row r="9211">
          <cell r="A9211" t="str">
            <v>SERVYRE</v>
          </cell>
          <cell r="B9211" t="str">
            <v>101-00015-001-3149</v>
          </cell>
          <cell r="J9211">
            <v>0</v>
          </cell>
        </row>
        <row r="9212">
          <cell r="A9212" t="str">
            <v>SERVYRE</v>
          </cell>
          <cell r="B9212" t="str">
            <v>101-00015-001-3151</v>
          </cell>
          <cell r="J9212">
            <v>0</v>
          </cell>
        </row>
        <row r="9213">
          <cell r="A9213" t="str">
            <v>SERVYRE</v>
          </cell>
          <cell r="B9213" t="str">
            <v>102-00000-000-0000</v>
          </cell>
          <cell r="J9213">
            <v>73664009.849999994</v>
          </cell>
        </row>
        <row r="9214">
          <cell r="A9214" t="str">
            <v>SERVYRE</v>
          </cell>
          <cell r="B9214" t="str">
            <v>102-00001-000-0000</v>
          </cell>
          <cell r="J9214">
            <v>1560153.22</v>
          </cell>
        </row>
        <row r="9215">
          <cell r="A9215" t="str">
            <v>SERVYRE</v>
          </cell>
          <cell r="B9215" t="str">
            <v>102-00001-001-0000</v>
          </cell>
          <cell r="J9215">
            <v>3801994.42</v>
          </cell>
        </row>
        <row r="9216">
          <cell r="A9216" t="str">
            <v>SERVYRE</v>
          </cell>
          <cell r="B9216" t="str">
            <v>102-00001-002-0000</v>
          </cell>
          <cell r="J9216">
            <v>-2241841.2000000002</v>
          </cell>
        </row>
        <row r="9217">
          <cell r="A9217" t="str">
            <v>SERVYRE</v>
          </cell>
          <cell r="B9217" t="str">
            <v>102-00002-000-0000</v>
          </cell>
          <cell r="J9217">
            <v>2274832.48</v>
          </cell>
        </row>
        <row r="9218">
          <cell r="A9218" t="str">
            <v>SERVYRE</v>
          </cell>
          <cell r="B9218" t="str">
            <v>102-00002-001-0000</v>
          </cell>
          <cell r="J9218">
            <v>30281690.23</v>
          </cell>
        </row>
        <row r="9219">
          <cell r="A9219" t="str">
            <v>SERVYRE</v>
          </cell>
          <cell r="B9219" t="str">
            <v>102-00002-002-0000</v>
          </cell>
          <cell r="J9219">
            <v>-28006857.75</v>
          </cell>
        </row>
        <row r="9220">
          <cell r="A9220" t="str">
            <v>SERVYRE</v>
          </cell>
          <cell r="B9220" t="str">
            <v>102-00003-000-0000</v>
          </cell>
          <cell r="J9220">
            <v>9302573.8499999996</v>
          </cell>
        </row>
        <row r="9221">
          <cell r="A9221" t="str">
            <v>SERVYRE</v>
          </cell>
          <cell r="B9221" t="str">
            <v>102-00003-001-0000</v>
          </cell>
          <cell r="J9221">
            <v>40688460.5</v>
          </cell>
        </row>
        <row r="9222">
          <cell r="A9222" t="str">
            <v>SERVYRE</v>
          </cell>
          <cell r="B9222" t="str">
            <v>102-00003-002-0000</v>
          </cell>
          <cell r="J9222">
            <v>-31385886.649999999</v>
          </cell>
        </row>
        <row r="9223">
          <cell r="A9223" t="str">
            <v>SERVYRE</v>
          </cell>
          <cell r="B9223" t="str">
            <v>102-00004-000-0000</v>
          </cell>
          <cell r="J9223">
            <v>1168349.6100000001</v>
          </cell>
        </row>
        <row r="9224">
          <cell r="A9224" t="str">
            <v>SERVYRE</v>
          </cell>
          <cell r="B9224" t="str">
            <v>102-00004-001-0000</v>
          </cell>
          <cell r="J9224">
            <v>3469150.46</v>
          </cell>
        </row>
        <row r="9225">
          <cell r="A9225" t="str">
            <v>SERVYRE</v>
          </cell>
          <cell r="B9225" t="str">
            <v>102-00004-002-0000</v>
          </cell>
          <cell r="J9225">
            <v>-2300800.85</v>
          </cell>
        </row>
        <row r="9226">
          <cell r="A9226" t="str">
            <v>SERVYRE</v>
          </cell>
          <cell r="B9226" t="str">
            <v>102-00005-000-0000</v>
          </cell>
          <cell r="J9226">
            <v>2</v>
          </cell>
        </row>
        <row r="9227">
          <cell r="A9227" t="str">
            <v>SERVYRE</v>
          </cell>
          <cell r="B9227" t="str">
            <v>102-00005-001-0000</v>
          </cell>
          <cell r="J9227">
            <v>3648174.59</v>
          </cell>
        </row>
        <row r="9228">
          <cell r="A9228" t="str">
            <v>SERVYRE</v>
          </cell>
          <cell r="B9228" t="str">
            <v>102-00005-002-0000</v>
          </cell>
          <cell r="J9228">
            <v>-3648172.59</v>
          </cell>
        </row>
        <row r="9229">
          <cell r="A9229" t="str">
            <v>SERVYRE</v>
          </cell>
          <cell r="B9229" t="str">
            <v>102-00006-000-0000</v>
          </cell>
          <cell r="J9229">
            <v>2155109.98</v>
          </cell>
        </row>
        <row r="9230">
          <cell r="A9230" t="str">
            <v>SERVYRE</v>
          </cell>
          <cell r="B9230" t="str">
            <v>102-00006-001-0000</v>
          </cell>
          <cell r="J9230">
            <v>2808792.92</v>
          </cell>
        </row>
        <row r="9231">
          <cell r="A9231" t="str">
            <v>SERVYRE</v>
          </cell>
          <cell r="B9231" t="str">
            <v>102-00006-002-0000</v>
          </cell>
          <cell r="J9231">
            <v>-653682.93999999994</v>
          </cell>
        </row>
        <row r="9232">
          <cell r="A9232" t="str">
            <v>SERVYRE</v>
          </cell>
          <cell r="B9232" t="str">
            <v>102-00015-000-0000</v>
          </cell>
          <cell r="J9232">
            <v>117123</v>
          </cell>
        </row>
        <row r="9233">
          <cell r="A9233" t="str">
            <v>SERVYRE</v>
          </cell>
          <cell r="B9233" t="str">
            <v>102-00015-001-0000</v>
          </cell>
          <cell r="J9233">
            <v>117123</v>
          </cell>
        </row>
        <row r="9234">
          <cell r="A9234" t="str">
            <v>SERVYRE</v>
          </cell>
          <cell r="B9234" t="str">
            <v>102-00015-001-0443</v>
          </cell>
          <cell r="J9234">
            <v>109323</v>
          </cell>
        </row>
        <row r="9235">
          <cell r="A9235" t="str">
            <v>SERVYRE</v>
          </cell>
          <cell r="B9235" t="str">
            <v>102-00015-001-1392</v>
          </cell>
          <cell r="J9235">
            <v>5800</v>
          </cell>
        </row>
        <row r="9236">
          <cell r="A9236" t="str">
            <v>SERVYRE</v>
          </cell>
          <cell r="B9236" t="str">
            <v>102-00015-001-2531</v>
          </cell>
          <cell r="J9236">
            <v>2000</v>
          </cell>
        </row>
        <row r="9237">
          <cell r="A9237" t="str">
            <v>SERVYRE</v>
          </cell>
          <cell r="B9237" t="str">
            <v>102-00016-000-0000</v>
          </cell>
          <cell r="J9237">
            <v>57085865.710000001</v>
          </cell>
        </row>
        <row r="9238">
          <cell r="A9238" t="str">
            <v>SERVYRE</v>
          </cell>
          <cell r="B9238" t="str">
            <v>102-00016-001-0000</v>
          </cell>
          <cell r="J9238">
            <v>57085865.710000001</v>
          </cell>
        </row>
        <row r="9239">
          <cell r="A9239" t="str">
            <v>SERVYRE</v>
          </cell>
          <cell r="B9239" t="str">
            <v>102-00016-001-0251</v>
          </cell>
          <cell r="J9239">
            <v>55928354.049999997</v>
          </cell>
        </row>
        <row r="9240">
          <cell r="A9240" t="str">
            <v>SERVYRE</v>
          </cell>
          <cell r="B9240" t="str">
            <v>102-00016-001-2533</v>
          </cell>
          <cell r="J9240">
            <v>1157511.6599999999</v>
          </cell>
        </row>
        <row r="9241">
          <cell r="A9241" t="str">
            <v>SERVYRE</v>
          </cell>
          <cell r="B9241" t="str">
            <v>103-00000-000-0000</v>
          </cell>
          <cell r="J9241">
            <v>43229714.939999998</v>
          </cell>
        </row>
        <row r="9242">
          <cell r="A9242" t="str">
            <v>SERVYRE</v>
          </cell>
          <cell r="B9242" t="str">
            <v>103-00001-000-0000</v>
          </cell>
          <cell r="J9242">
            <v>43229714.939999998</v>
          </cell>
        </row>
        <row r="9243">
          <cell r="A9243" t="str">
            <v>SERVYRE</v>
          </cell>
          <cell r="B9243" t="str">
            <v>103-00001-001-0000</v>
          </cell>
          <cell r="J9243">
            <v>55206648.75</v>
          </cell>
        </row>
        <row r="9244">
          <cell r="A9244" t="str">
            <v>SERVYRE</v>
          </cell>
          <cell r="B9244" t="str">
            <v>103-00001-002-0000</v>
          </cell>
          <cell r="J9244">
            <v>-11976933.810000001</v>
          </cell>
        </row>
        <row r="9245">
          <cell r="A9245" t="str">
            <v>SERVYRE</v>
          </cell>
          <cell r="B9245" t="str">
            <v>201-00000-000-0000</v>
          </cell>
          <cell r="J9245">
            <v>-65730660.509999998</v>
          </cell>
        </row>
        <row r="9246">
          <cell r="A9246" t="str">
            <v>SERVYRE</v>
          </cell>
          <cell r="B9246" t="str">
            <v>201-00002-000-0000</v>
          </cell>
          <cell r="J9246">
            <v>-12605316.99</v>
          </cell>
        </row>
        <row r="9247">
          <cell r="A9247" t="str">
            <v>SERVYRE</v>
          </cell>
          <cell r="B9247" t="str">
            <v>201-00002-001-0000</v>
          </cell>
          <cell r="J9247">
            <v>-1840485.46</v>
          </cell>
        </row>
        <row r="9248">
          <cell r="A9248" t="str">
            <v>SERVYRE</v>
          </cell>
          <cell r="B9248" t="str">
            <v>201-00002-001-1396</v>
          </cell>
          <cell r="J9248">
            <v>-1088796</v>
          </cell>
        </row>
        <row r="9249">
          <cell r="A9249" t="str">
            <v>SERVYRE</v>
          </cell>
          <cell r="B9249" t="str">
            <v>201-00002-001-2353</v>
          </cell>
          <cell r="J9249">
            <v>-546395.82999999996</v>
          </cell>
        </row>
        <row r="9250">
          <cell r="A9250" t="str">
            <v>SERVYRE</v>
          </cell>
          <cell r="B9250" t="str">
            <v>201-00002-001-2354</v>
          </cell>
          <cell r="J9250">
            <v>-109279.14</v>
          </cell>
        </row>
        <row r="9251">
          <cell r="A9251" t="str">
            <v>SERVYRE</v>
          </cell>
          <cell r="B9251" t="str">
            <v>201-00002-001-2367</v>
          </cell>
          <cell r="J9251">
            <v>-19670.23</v>
          </cell>
        </row>
        <row r="9252">
          <cell r="A9252" t="str">
            <v>SERVYRE</v>
          </cell>
          <cell r="B9252" t="str">
            <v>201-00002-001-2918</v>
          </cell>
          <cell r="J9252">
            <v>-76344.259999999995</v>
          </cell>
        </row>
        <row r="9253">
          <cell r="A9253" t="str">
            <v>SERVYRE</v>
          </cell>
          <cell r="B9253" t="str">
            <v>201-00002-002-0000</v>
          </cell>
          <cell r="J9253">
            <v>-10764831.529999999</v>
          </cell>
        </row>
        <row r="9254">
          <cell r="A9254" t="str">
            <v>SERVYRE</v>
          </cell>
          <cell r="B9254" t="str">
            <v>201-00002-002-0050</v>
          </cell>
          <cell r="J9254">
            <v>-13641.6</v>
          </cell>
        </row>
        <row r="9255">
          <cell r="A9255" t="str">
            <v>SERVYRE</v>
          </cell>
          <cell r="B9255" t="str">
            <v>201-00002-002-0060</v>
          </cell>
          <cell r="J9255">
            <v>-5.89</v>
          </cell>
        </row>
        <row r="9256">
          <cell r="A9256" t="str">
            <v>SERVYRE</v>
          </cell>
          <cell r="B9256" t="str">
            <v>201-00002-002-0064</v>
          </cell>
          <cell r="J9256">
            <v>-241765.05</v>
          </cell>
        </row>
        <row r="9257">
          <cell r="A9257" t="str">
            <v>SERVYRE</v>
          </cell>
          <cell r="B9257" t="str">
            <v>201-00002-002-0089</v>
          </cell>
          <cell r="J9257">
            <v>20854.98</v>
          </cell>
        </row>
        <row r="9258">
          <cell r="A9258" t="str">
            <v>SERVYRE</v>
          </cell>
          <cell r="B9258" t="str">
            <v>201-00002-002-0092</v>
          </cell>
          <cell r="J9258">
            <v>-8864.4599999999991</v>
          </cell>
        </row>
        <row r="9259">
          <cell r="A9259" t="str">
            <v>SERVYRE</v>
          </cell>
          <cell r="B9259" t="str">
            <v>201-00002-002-0095</v>
          </cell>
          <cell r="J9259">
            <v>-2726</v>
          </cell>
        </row>
        <row r="9260">
          <cell r="A9260" t="str">
            <v>SERVYRE</v>
          </cell>
          <cell r="B9260" t="str">
            <v>201-00002-002-0305</v>
          </cell>
          <cell r="J9260">
            <v>-31853.49</v>
          </cell>
        </row>
        <row r="9261">
          <cell r="A9261" t="str">
            <v>SERVYRE</v>
          </cell>
          <cell r="B9261" t="str">
            <v>201-00002-002-0306</v>
          </cell>
          <cell r="J9261">
            <v>-58.12</v>
          </cell>
        </row>
        <row r="9262">
          <cell r="A9262" t="str">
            <v>SERVYRE</v>
          </cell>
          <cell r="B9262" t="str">
            <v>201-00002-002-0318</v>
          </cell>
          <cell r="J9262">
            <v>464</v>
          </cell>
        </row>
        <row r="9263">
          <cell r="A9263" t="str">
            <v>SERVYRE</v>
          </cell>
          <cell r="B9263" t="str">
            <v>201-00002-002-0327</v>
          </cell>
          <cell r="J9263">
            <v>-100000</v>
          </cell>
        </row>
        <row r="9264">
          <cell r="A9264" t="str">
            <v>SERVYRE</v>
          </cell>
          <cell r="B9264" t="str">
            <v>201-00002-002-0335</v>
          </cell>
          <cell r="J9264">
            <v>-200</v>
          </cell>
        </row>
        <row r="9265">
          <cell r="A9265" t="str">
            <v>SERVYRE</v>
          </cell>
          <cell r="B9265" t="str">
            <v>201-00002-002-0401</v>
          </cell>
          <cell r="J9265">
            <v>144.13999999999999</v>
          </cell>
        </row>
        <row r="9266">
          <cell r="A9266" t="str">
            <v>SERVYRE</v>
          </cell>
          <cell r="B9266" t="str">
            <v>201-00002-002-0443</v>
          </cell>
          <cell r="J9266">
            <v>0</v>
          </cell>
        </row>
        <row r="9267">
          <cell r="A9267" t="str">
            <v>SERVYRE</v>
          </cell>
          <cell r="B9267" t="str">
            <v>201-00002-002-0458</v>
          </cell>
          <cell r="J9267">
            <v>-400438.56</v>
          </cell>
        </row>
        <row r="9268">
          <cell r="A9268" t="str">
            <v>SERVYRE</v>
          </cell>
          <cell r="B9268" t="str">
            <v>201-00002-002-0495</v>
          </cell>
          <cell r="J9268">
            <v>-0.4</v>
          </cell>
        </row>
        <row r="9269">
          <cell r="A9269" t="str">
            <v>SERVYRE</v>
          </cell>
          <cell r="B9269" t="str">
            <v>201-00002-002-0499</v>
          </cell>
          <cell r="J9269">
            <v>-19975.2</v>
          </cell>
        </row>
        <row r="9270">
          <cell r="A9270" t="str">
            <v>SERVYRE</v>
          </cell>
          <cell r="B9270" t="str">
            <v>201-00002-002-0511</v>
          </cell>
          <cell r="J9270">
            <v>0</v>
          </cell>
        </row>
        <row r="9271">
          <cell r="A9271" t="str">
            <v>SERVYRE</v>
          </cell>
          <cell r="B9271" t="str">
            <v>201-00002-002-0548</v>
          </cell>
          <cell r="J9271">
            <v>-49668.44</v>
          </cell>
        </row>
        <row r="9272">
          <cell r="A9272" t="str">
            <v>SERVYRE</v>
          </cell>
          <cell r="B9272" t="str">
            <v>201-00002-002-0552</v>
          </cell>
          <cell r="J9272">
            <v>-1134000</v>
          </cell>
        </row>
        <row r="9273">
          <cell r="A9273" t="str">
            <v>SERVYRE</v>
          </cell>
          <cell r="B9273" t="str">
            <v>201-00002-002-0554</v>
          </cell>
          <cell r="J9273">
            <v>-13275</v>
          </cell>
        </row>
        <row r="9274">
          <cell r="A9274" t="str">
            <v>SERVYRE</v>
          </cell>
          <cell r="B9274" t="str">
            <v>201-00002-002-0555</v>
          </cell>
          <cell r="J9274">
            <v>0</v>
          </cell>
        </row>
        <row r="9275">
          <cell r="A9275" t="str">
            <v>SERVYRE</v>
          </cell>
          <cell r="B9275" t="str">
            <v>201-00002-002-0556</v>
          </cell>
          <cell r="J9275">
            <v>-348</v>
          </cell>
        </row>
        <row r="9276">
          <cell r="A9276" t="str">
            <v>SERVYRE</v>
          </cell>
          <cell r="B9276" t="str">
            <v>201-00002-002-0628</v>
          </cell>
          <cell r="J9276">
            <v>-107400.58</v>
          </cell>
        </row>
        <row r="9277">
          <cell r="A9277" t="str">
            <v>SERVYRE</v>
          </cell>
          <cell r="B9277" t="str">
            <v>201-00002-002-0659</v>
          </cell>
          <cell r="J9277">
            <v>0</v>
          </cell>
        </row>
        <row r="9278">
          <cell r="A9278" t="str">
            <v>SERVYRE</v>
          </cell>
          <cell r="B9278" t="str">
            <v>201-00002-002-0687</v>
          </cell>
          <cell r="J9278">
            <v>-4000.32</v>
          </cell>
        </row>
        <row r="9279">
          <cell r="A9279" t="str">
            <v>SERVYRE</v>
          </cell>
          <cell r="B9279" t="str">
            <v>201-00002-002-0735</v>
          </cell>
          <cell r="J9279">
            <v>0.34</v>
          </cell>
        </row>
        <row r="9280">
          <cell r="A9280" t="str">
            <v>SERVYRE</v>
          </cell>
          <cell r="B9280" t="str">
            <v>201-00002-002-0736</v>
          </cell>
          <cell r="J9280">
            <v>-129196.78</v>
          </cell>
        </row>
        <row r="9281">
          <cell r="A9281" t="str">
            <v>SERVYRE</v>
          </cell>
          <cell r="B9281" t="str">
            <v>201-00002-002-0737</v>
          </cell>
          <cell r="J9281">
            <v>-0.8</v>
          </cell>
        </row>
        <row r="9282">
          <cell r="A9282" t="str">
            <v>SERVYRE</v>
          </cell>
          <cell r="B9282" t="str">
            <v>201-00002-002-0738</v>
          </cell>
          <cell r="J9282">
            <v>-2327518.7799999998</v>
          </cell>
        </row>
        <row r="9283">
          <cell r="A9283" t="str">
            <v>SERVYRE</v>
          </cell>
          <cell r="B9283" t="str">
            <v>201-00002-002-0740</v>
          </cell>
          <cell r="J9283">
            <v>-19839.89</v>
          </cell>
        </row>
        <row r="9284">
          <cell r="A9284" t="str">
            <v>SERVYRE</v>
          </cell>
          <cell r="B9284" t="str">
            <v>201-00002-002-0834</v>
          </cell>
          <cell r="J9284">
            <v>0</v>
          </cell>
        </row>
        <row r="9285">
          <cell r="A9285" t="str">
            <v>SERVYRE</v>
          </cell>
          <cell r="B9285" t="str">
            <v>201-00002-002-0848</v>
          </cell>
          <cell r="J9285">
            <v>-44328.28</v>
          </cell>
        </row>
        <row r="9286">
          <cell r="A9286" t="str">
            <v>SERVYRE</v>
          </cell>
          <cell r="B9286" t="str">
            <v>201-00002-002-0991</v>
          </cell>
          <cell r="J9286">
            <v>-1576.01</v>
          </cell>
        </row>
        <row r="9287">
          <cell r="A9287" t="str">
            <v>SERVYRE</v>
          </cell>
          <cell r="B9287" t="str">
            <v>201-00002-002-1037</v>
          </cell>
          <cell r="J9287">
            <v>-93.23</v>
          </cell>
        </row>
        <row r="9288">
          <cell r="A9288" t="str">
            <v>SERVYRE</v>
          </cell>
          <cell r="B9288" t="str">
            <v>201-00002-002-1048</v>
          </cell>
          <cell r="J9288">
            <v>-0.01</v>
          </cell>
        </row>
        <row r="9289">
          <cell r="A9289" t="str">
            <v>SERVYRE</v>
          </cell>
          <cell r="B9289" t="str">
            <v>201-00002-002-1050</v>
          </cell>
          <cell r="J9289">
            <v>-75882.84</v>
          </cell>
        </row>
        <row r="9290">
          <cell r="A9290" t="str">
            <v>SERVYRE</v>
          </cell>
          <cell r="B9290" t="str">
            <v>201-00002-002-1069</v>
          </cell>
          <cell r="J9290">
            <v>-270</v>
          </cell>
        </row>
        <row r="9291">
          <cell r="A9291" t="str">
            <v>SERVYRE</v>
          </cell>
          <cell r="B9291" t="str">
            <v>201-00002-002-1108</v>
          </cell>
          <cell r="J9291">
            <v>-30000.81</v>
          </cell>
        </row>
        <row r="9292">
          <cell r="A9292" t="str">
            <v>SERVYRE</v>
          </cell>
          <cell r="B9292" t="str">
            <v>201-00002-002-1133</v>
          </cell>
          <cell r="J9292">
            <v>0</v>
          </cell>
        </row>
        <row r="9293">
          <cell r="A9293" t="str">
            <v>SERVYRE</v>
          </cell>
          <cell r="B9293" t="str">
            <v>201-00002-002-1142</v>
          </cell>
          <cell r="J9293">
            <v>-356391.44</v>
          </cell>
        </row>
        <row r="9294">
          <cell r="A9294" t="str">
            <v>SERVYRE</v>
          </cell>
          <cell r="B9294" t="str">
            <v>201-00002-002-1409</v>
          </cell>
          <cell r="J9294">
            <v>-28594</v>
          </cell>
        </row>
        <row r="9295">
          <cell r="A9295" t="str">
            <v>SERVYRE</v>
          </cell>
          <cell r="B9295" t="str">
            <v>201-00002-002-1416</v>
          </cell>
          <cell r="J9295">
            <v>-4180</v>
          </cell>
        </row>
        <row r="9296">
          <cell r="A9296" t="str">
            <v>SERVYRE</v>
          </cell>
          <cell r="B9296" t="str">
            <v>201-00002-002-1519</v>
          </cell>
          <cell r="J9296">
            <v>-15403.64</v>
          </cell>
        </row>
        <row r="9297">
          <cell r="A9297" t="str">
            <v>SERVYRE</v>
          </cell>
          <cell r="B9297" t="str">
            <v>201-00002-002-1552</v>
          </cell>
          <cell r="J9297">
            <v>-450.08</v>
          </cell>
        </row>
        <row r="9298">
          <cell r="A9298" t="str">
            <v>SERVYRE</v>
          </cell>
          <cell r="B9298" t="str">
            <v>201-00002-002-1615</v>
          </cell>
          <cell r="J9298">
            <v>-899.91</v>
          </cell>
        </row>
        <row r="9299">
          <cell r="A9299" t="str">
            <v>SERVYRE</v>
          </cell>
          <cell r="B9299" t="str">
            <v>201-00002-002-1641</v>
          </cell>
          <cell r="J9299">
            <v>-36200</v>
          </cell>
        </row>
        <row r="9300">
          <cell r="A9300" t="str">
            <v>SERVYRE</v>
          </cell>
          <cell r="B9300" t="str">
            <v>201-00002-002-1648</v>
          </cell>
          <cell r="J9300">
            <v>-1648759.65</v>
          </cell>
        </row>
        <row r="9301">
          <cell r="A9301" t="str">
            <v>SERVYRE</v>
          </cell>
          <cell r="B9301" t="str">
            <v>201-00002-002-1650</v>
          </cell>
          <cell r="J9301">
            <v>-300</v>
          </cell>
        </row>
        <row r="9302">
          <cell r="A9302" t="str">
            <v>SERVYRE</v>
          </cell>
          <cell r="B9302" t="str">
            <v>201-00002-002-1820</v>
          </cell>
          <cell r="J9302">
            <v>0</v>
          </cell>
        </row>
        <row r="9303">
          <cell r="A9303" t="str">
            <v>SERVYRE</v>
          </cell>
          <cell r="B9303" t="str">
            <v>201-00002-002-1821</v>
          </cell>
          <cell r="J9303">
            <v>-209.28</v>
          </cell>
        </row>
        <row r="9304">
          <cell r="A9304" t="str">
            <v>SERVYRE</v>
          </cell>
          <cell r="B9304" t="str">
            <v>201-00002-002-1830</v>
          </cell>
          <cell r="J9304">
            <v>0</v>
          </cell>
        </row>
        <row r="9305">
          <cell r="A9305" t="str">
            <v>SERVYRE</v>
          </cell>
          <cell r="B9305" t="str">
            <v>201-00002-002-1857</v>
          </cell>
          <cell r="J9305">
            <v>-559380.86</v>
          </cell>
        </row>
        <row r="9306">
          <cell r="A9306" t="str">
            <v>SERVYRE</v>
          </cell>
          <cell r="B9306" t="str">
            <v>201-00002-002-1863</v>
          </cell>
          <cell r="J9306">
            <v>-73891.759999999995</v>
          </cell>
        </row>
        <row r="9307">
          <cell r="A9307" t="str">
            <v>SERVYRE</v>
          </cell>
          <cell r="B9307" t="str">
            <v>201-00002-002-1889</v>
          </cell>
          <cell r="J9307">
            <v>-19140</v>
          </cell>
        </row>
        <row r="9308">
          <cell r="A9308" t="str">
            <v>SERVYRE</v>
          </cell>
          <cell r="B9308" t="str">
            <v>201-00002-002-1922</v>
          </cell>
          <cell r="J9308">
            <v>0</v>
          </cell>
        </row>
        <row r="9309">
          <cell r="A9309" t="str">
            <v>SERVYRE</v>
          </cell>
          <cell r="B9309" t="str">
            <v>201-00002-002-1983</v>
          </cell>
          <cell r="J9309">
            <v>-427361.25</v>
          </cell>
        </row>
        <row r="9310">
          <cell r="A9310" t="str">
            <v>SERVYRE</v>
          </cell>
          <cell r="B9310" t="str">
            <v>201-00002-002-2109</v>
          </cell>
          <cell r="J9310">
            <v>-3000</v>
          </cell>
        </row>
        <row r="9311">
          <cell r="A9311" t="str">
            <v>SERVYRE</v>
          </cell>
          <cell r="B9311" t="str">
            <v>201-00002-002-2206</v>
          </cell>
          <cell r="J9311">
            <v>-35306.199999999997</v>
          </cell>
        </row>
        <row r="9312">
          <cell r="A9312" t="str">
            <v>SERVYRE</v>
          </cell>
          <cell r="B9312" t="str">
            <v>201-00002-002-2224</v>
          </cell>
          <cell r="J9312">
            <v>-30928.240000000002</v>
          </cell>
        </row>
        <row r="9313">
          <cell r="A9313" t="str">
            <v>SERVYRE</v>
          </cell>
          <cell r="B9313" t="str">
            <v>201-00002-002-2228</v>
          </cell>
          <cell r="J9313">
            <v>-82757.259999999995</v>
          </cell>
        </row>
        <row r="9314">
          <cell r="A9314" t="str">
            <v>SERVYRE</v>
          </cell>
          <cell r="B9314" t="str">
            <v>201-00002-002-2229</v>
          </cell>
          <cell r="J9314">
            <v>-8331.36</v>
          </cell>
        </row>
        <row r="9315">
          <cell r="A9315" t="str">
            <v>SERVYRE</v>
          </cell>
          <cell r="B9315" t="str">
            <v>201-00002-002-2312</v>
          </cell>
          <cell r="J9315">
            <v>-778515.45</v>
          </cell>
        </row>
        <row r="9316">
          <cell r="A9316" t="str">
            <v>SERVYRE</v>
          </cell>
          <cell r="B9316" t="str">
            <v>201-00002-002-2320</v>
          </cell>
          <cell r="J9316">
            <v>-57976.79</v>
          </cell>
        </row>
        <row r="9317">
          <cell r="A9317" t="str">
            <v>SERVYRE</v>
          </cell>
          <cell r="B9317" t="str">
            <v>201-00002-002-2321</v>
          </cell>
          <cell r="J9317">
            <v>0</v>
          </cell>
        </row>
        <row r="9318">
          <cell r="A9318" t="str">
            <v>SERVYRE</v>
          </cell>
          <cell r="B9318" t="str">
            <v>201-00002-002-2499</v>
          </cell>
          <cell r="J9318">
            <v>-6117.84</v>
          </cell>
        </row>
        <row r="9319">
          <cell r="A9319" t="str">
            <v>SERVYRE</v>
          </cell>
          <cell r="B9319" t="str">
            <v>201-00002-002-2531</v>
          </cell>
          <cell r="J9319">
            <v>0</v>
          </cell>
        </row>
        <row r="9320">
          <cell r="A9320" t="str">
            <v>SERVYRE</v>
          </cell>
          <cell r="B9320" t="str">
            <v>201-00002-002-2544</v>
          </cell>
          <cell r="J9320">
            <v>-170010.41</v>
          </cell>
        </row>
        <row r="9321">
          <cell r="A9321" t="str">
            <v>SERVYRE</v>
          </cell>
          <cell r="B9321" t="str">
            <v>201-00002-002-2579</v>
          </cell>
          <cell r="J9321">
            <v>-4543.3100000000004</v>
          </cell>
        </row>
        <row r="9322">
          <cell r="A9322" t="str">
            <v>SERVYRE</v>
          </cell>
          <cell r="B9322" t="str">
            <v>201-00002-002-2603</v>
          </cell>
          <cell r="J9322">
            <v>-158720.4</v>
          </cell>
        </row>
        <row r="9323">
          <cell r="A9323" t="str">
            <v>SERVYRE</v>
          </cell>
          <cell r="B9323" t="str">
            <v>201-00002-002-2730</v>
          </cell>
          <cell r="J9323">
            <v>0</v>
          </cell>
        </row>
        <row r="9324">
          <cell r="A9324" t="str">
            <v>SERVYRE</v>
          </cell>
          <cell r="B9324" t="str">
            <v>201-00002-002-2777</v>
          </cell>
          <cell r="J9324">
            <v>0</v>
          </cell>
        </row>
        <row r="9325">
          <cell r="A9325" t="str">
            <v>SERVYRE</v>
          </cell>
          <cell r="B9325" t="str">
            <v>201-00002-002-2784</v>
          </cell>
          <cell r="J9325">
            <v>0</v>
          </cell>
        </row>
        <row r="9326">
          <cell r="A9326" t="str">
            <v>SERVYRE</v>
          </cell>
          <cell r="B9326" t="str">
            <v>201-00002-002-2834</v>
          </cell>
          <cell r="J9326">
            <v>-338.31</v>
          </cell>
        </row>
        <row r="9327">
          <cell r="A9327" t="str">
            <v>SERVYRE</v>
          </cell>
          <cell r="B9327" t="str">
            <v>201-00002-002-2838</v>
          </cell>
          <cell r="J9327">
            <v>-95540</v>
          </cell>
        </row>
        <row r="9328">
          <cell r="A9328" t="str">
            <v>SERVYRE</v>
          </cell>
          <cell r="B9328" t="str">
            <v>201-00002-002-2845</v>
          </cell>
          <cell r="J9328">
            <v>-3667.92</v>
          </cell>
        </row>
        <row r="9329">
          <cell r="A9329" t="str">
            <v>SERVYRE</v>
          </cell>
          <cell r="B9329" t="str">
            <v>201-00002-002-2875</v>
          </cell>
          <cell r="J9329">
            <v>-43063.44</v>
          </cell>
        </row>
        <row r="9330">
          <cell r="A9330" t="str">
            <v>SERVYRE</v>
          </cell>
          <cell r="B9330" t="str">
            <v>201-00002-002-2895</v>
          </cell>
          <cell r="J9330">
            <v>-0.01</v>
          </cell>
        </row>
        <row r="9331">
          <cell r="A9331" t="str">
            <v>SERVYRE</v>
          </cell>
          <cell r="B9331" t="str">
            <v>201-00002-002-2966</v>
          </cell>
          <cell r="J9331">
            <v>-153060.89000000001</v>
          </cell>
        </row>
        <row r="9332">
          <cell r="A9332" t="str">
            <v>SERVYRE</v>
          </cell>
          <cell r="B9332" t="str">
            <v>201-00002-002-3017</v>
          </cell>
          <cell r="J9332">
            <v>-52697.39</v>
          </cell>
        </row>
        <row r="9333">
          <cell r="A9333" t="str">
            <v>SERVYRE</v>
          </cell>
          <cell r="B9333" t="str">
            <v>201-00002-002-3109</v>
          </cell>
          <cell r="J9333">
            <v>-16239.44</v>
          </cell>
        </row>
        <row r="9334">
          <cell r="A9334" t="str">
            <v>SERVYRE</v>
          </cell>
          <cell r="B9334" t="str">
            <v>201-00002-002-3113</v>
          </cell>
          <cell r="J9334">
            <v>-3000.03</v>
          </cell>
        </row>
        <row r="9335">
          <cell r="A9335" t="str">
            <v>SERVYRE</v>
          </cell>
          <cell r="B9335" t="str">
            <v>201-00002-002-3122</v>
          </cell>
          <cell r="J9335">
            <v>-210</v>
          </cell>
        </row>
        <row r="9336">
          <cell r="A9336" t="str">
            <v>SERVYRE</v>
          </cell>
          <cell r="B9336" t="str">
            <v>201-00002-002-3123</v>
          </cell>
          <cell r="J9336">
            <v>0</v>
          </cell>
        </row>
        <row r="9337">
          <cell r="A9337" t="str">
            <v>SERVYRE</v>
          </cell>
          <cell r="B9337" t="str">
            <v>201-00002-002-3132</v>
          </cell>
          <cell r="J9337">
            <v>-210860.38</v>
          </cell>
        </row>
        <row r="9338">
          <cell r="A9338" t="str">
            <v>SERVYRE</v>
          </cell>
          <cell r="B9338" t="str">
            <v>201-00002-002-3140</v>
          </cell>
          <cell r="J9338">
            <v>0</v>
          </cell>
        </row>
        <row r="9339">
          <cell r="A9339" t="str">
            <v>SERVYRE</v>
          </cell>
          <cell r="B9339" t="str">
            <v>201-00002-002-3160</v>
          </cell>
          <cell r="J9339">
            <v>0</v>
          </cell>
        </row>
        <row r="9340">
          <cell r="A9340" t="str">
            <v>SERVYRE</v>
          </cell>
          <cell r="B9340" t="str">
            <v>201-00002-002-3238</v>
          </cell>
          <cell r="J9340">
            <v>0.86</v>
          </cell>
        </row>
        <row r="9341">
          <cell r="A9341" t="str">
            <v>SERVYRE</v>
          </cell>
          <cell r="B9341" t="str">
            <v>201-00002-002-3254</v>
          </cell>
          <cell r="J9341">
            <v>-246059.02</v>
          </cell>
        </row>
        <row r="9342">
          <cell r="A9342" t="str">
            <v>SERVYRE</v>
          </cell>
          <cell r="B9342" t="str">
            <v>201-00002-002-3279</v>
          </cell>
          <cell r="J9342">
            <v>-100.82</v>
          </cell>
        </row>
        <row r="9343">
          <cell r="A9343" t="str">
            <v>SERVYRE</v>
          </cell>
          <cell r="B9343" t="str">
            <v>201-00002-002-3286</v>
          </cell>
          <cell r="J9343">
            <v>-16934.98</v>
          </cell>
        </row>
        <row r="9344">
          <cell r="A9344" t="str">
            <v>SERVYRE</v>
          </cell>
          <cell r="B9344" t="str">
            <v>201-00002-002-3457</v>
          </cell>
          <cell r="J9344">
            <v>-324105.55</v>
          </cell>
        </row>
        <row r="9345">
          <cell r="A9345" t="str">
            <v>SERVYRE</v>
          </cell>
          <cell r="B9345" t="str">
            <v>201-00002-002-4630</v>
          </cell>
          <cell r="J9345">
            <v>-356120</v>
          </cell>
        </row>
        <row r="9346">
          <cell r="A9346" t="str">
            <v>SERVYRE</v>
          </cell>
          <cell r="B9346" t="str">
            <v>201-00004-000-0000</v>
          </cell>
          <cell r="J9346">
            <v>-33999176.030000001</v>
          </cell>
        </row>
        <row r="9347">
          <cell r="A9347" t="str">
            <v>SERVYRE</v>
          </cell>
          <cell r="B9347" t="str">
            <v>201-00004-001-0000</v>
          </cell>
          <cell r="J9347">
            <v>-33999176.030000001</v>
          </cell>
        </row>
        <row r="9348">
          <cell r="A9348" t="str">
            <v>SERVYRE</v>
          </cell>
          <cell r="B9348" t="str">
            <v>201-00004-001-0468</v>
          </cell>
          <cell r="J9348">
            <v>-4202645.2</v>
          </cell>
        </row>
        <row r="9349">
          <cell r="A9349" t="str">
            <v>SERVYRE</v>
          </cell>
          <cell r="B9349" t="str">
            <v>201-00004-001-2284</v>
          </cell>
          <cell r="J9349">
            <v>-29796530.829999998</v>
          </cell>
        </row>
        <row r="9350">
          <cell r="A9350" t="str">
            <v>SERVYRE</v>
          </cell>
          <cell r="B9350" t="str">
            <v>201-00005-000-0000</v>
          </cell>
          <cell r="J9350">
            <v>47952.07</v>
          </cell>
        </row>
        <row r="9351">
          <cell r="A9351" t="str">
            <v>SERVYRE</v>
          </cell>
          <cell r="B9351" t="str">
            <v>201-00005-001-0000</v>
          </cell>
          <cell r="J9351">
            <v>6695</v>
          </cell>
        </row>
        <row r="9352">
          <cell r="A9352" t="str">
            <v>SERVYRE</v>
          </cell>
          <cell r="B9352" t="str">
            <v>201-00005-002-0000</v>
          </cell>
          <cell r="J9352">
            <v>111331</v>
          </cell>
        </row>
        <row r="9353">
          <cell r="A9353" t="str">
            <v>SERVYRE</v>
          </cell>
          <cell r="B9353" t="str">
            <v>201-00005-003-0000</v>
          </cell>
          <cell r="J9353">
            <v>-70073.929999999993</v>
          </cell>
        </row>
        <row r="9354">
          <cell r="A9354" t="str">
            <v>SERVYRE</v>
          </cell>
          <cell r="B9354" t="str">
            <v>201-00006-000-0000</v>
          </cell>
          <cell r="J9354">
            <v>-851241.03</v>
          </cell>
        </row>
        <row r="9355">
          <cell r="A9355" t="str">
            <v>SERVYRE</v>
          </cell>
          <cell r="B9355" t="str">
            <v>201-00006-001-0000</v>
          </cell>
          <cell r="J9355">
            <v>-105313.21</v>
          </cell>
        </row>
        <row r="9356">
          <cell r="A9356" t="str">
            <v>SERVYRE</v>
          </cell>
          <cell r="B9356" t="str">
            <v>201-00006-001-0002</v>
          </cell>
          <cell r="J9356">
            <v>-105313.21</v>
          </cell>
        </row>
        <row r="9357">
          <cell r="A9357" t="str">
            <v>SERVYRE</v>
          </cell>
          <cell r="B9357" t="str">
            <v>201-00006-002-0000</v>
          </cell>
          <cell r="J9357">
            <v>-174635.04</v>
          </cell>
        </row>
        <row r="9358">
          <cell r="A9358" t="str">
            <v>SERVYRE</v>
          </cell>
          <cell r="B9358" t="str">
            <v>201-00006-003-0000</v>
          </cell>
          <cell r="J9358">
            <v>-326288.45</v>
          </cell>
        </row>
        <row r="9359">
          <cell r="A9359" t="str">
            <v>SERVYRE</v>
          </cell>
          <cell r="B9359" t="str">
            <v>201-00006-004-0000</v>
          </cell>
          <cell r="J9359">
            <v>-155122.09</v>
          </cell>
        </row>
        <row r="9360">
          <cell r="A9360" t="str">
            <v>SERVYRE</v>
          </cell>
          <cell r="B9360" t="str">
            <v>201-00006-005-0000</v>
          </cell>
          <cell r="J9360">
            <v>6383.81</v>
          </cell>
        </row>
        <row r="9361">
          <cell r="A9361" t="str">
            <v>SERVYRE</v>
          </cell>
          <cell r="B9361" t="str">
            <v>201-00006-008-0000</v>
          </cell>
          <cell r="J9361">
            <v>-8171.84</v>
          </cell>
        </row>
        <row r="9362">
          <cell r="A9362" t="str">
            <v>SERVYRE</v>
          </cell>
          <cell r="B9362" t="str">
            <v>201-00006-011-0000</v>
          </cell>
          <cell r="J9362">
            <v>-5578.2</v>
          </cell>
        </row>
        <row r="9363">
          <cell r="A9363" t="str">
            <v>SERVYRE</v>
          </cell>
          <cell r="B9363" t="str">
            <v>201-00006-012-0000</v>
          </cell>
          <cell r="J9363">
            <v>-82516.009999999995</v>
          </cell>
        </row>
        <row r="9364">
          <cell r="A9364" t="str">
            <v>SERVYRE</v>
          </cell>
          <cell r="B9364" t="str">
            <v>201-00007-000-0000</v>
          </cell>
          <cell r="J9364">
            <v>-48209.29</v>
          </cell>
        </row>
        <row r="9365">
          <cell r="A9365" t="str">
            <v>SERVYRE</v>
          </cell>
          <cell r="B9365" t="str">
            <v>201-00008-000-0000</v>
          </cell>
          <cell r="J9365">
            <v>-1982411.49</v>
          </cell>
        </row>
        <row r="9366">
          <cell r="A9366" t="str">
            <v>SERVYRE</v>
          </cell>
          <cell r="B9366" t="str">
            <v>201-00009-000-0000</v>
          </cell>
          <cell r="J9366">
            <v>-8975363.9900000002</v>
          </cell>
        </row>
        <row r="9367">
          <cell r="A9367" t="str">
            <v>SERVYRE</v>
          </cell>
          <cell r="B9367" t="str">
            <v>201-00009-001-0000</v>
          </cell>
          <cell r="J9367">
            <v>-8975363.9900000002</v>
          </cell>
        </row>
        <row r="9368">
          <cell r="A9368" t="str">
            <v>SERVYRE</v>
          </cell>
          <cell r="B9368" t="str">
            <v>201-00010-000-0000</v>
          </cell>
          <cell r="J9368">
            <v>-7316893.7599999998</v>
          </cell>
        </row>
        <row r="9369">
          <cell r="A9369" t="str">
            <v>SERVYRE</v>
          </cell>
          <cell r="B9369" t="str">
            <v>201-00010-001-0000</v>
          </cell>
          <cell r="J9369">
            <v>-7316893.7599999998</v>
          </cell>
        </row>
        <row r="9370">
          <cell r="A9370" t="str">
            <v>SERVYRE</v>
          </cell>
          <cell r="B9370" t="str">
            <v>202-00000-000-0000</v>
          </cell>
          <cell r="J9370">
            <v>-20817764.289999999</v>
          </cell>
        </row>
        <row r="9371">
          <cell r="A9371" t="str">
            <v>SERVYRE</v>
          </cell>
          <cell r="B9371" t="str">
            <v>202-00001-000-0000</v>
          </cell>
          <cell r="J9371">
            <v>-20087755.289999999</v>
          </cell>
        </row>
        <row r="9372">
          <cell r="A9372" t="str">
            <v>SERVYRE</v>
          </cell>
          <cell r="B9372" t="str">
            <v>202-00001-009-0000</v>
          </cell>
          <cell r="J9372">
            <v>-20087755.289999999</v>
          </cell>
        </row>
        <row r="9373">
          <cell r="A9373" t="str">
            <v>SERVYRE</v>
          </cell>
          <cell r="B9373" t="str">
            <v>202-00001-009-0004</v>
          </cell>
          <cell r="J9373">
            <v>0</v>
          </cell>
        </row>
        <row r="9374">
          <cell r="A9374" t="str">
            <v>SERVYRE</v>
          </cell>
          <cell r="B9374" t="str">
            <v>202-00001-009-0006</v>
          </cell>
          <cell r="J9374">
            <v>-17353000</v>
          </cell>
        </row>
        <row r="9375">
          <cell r="A9375" t="str">
            <v>SERVYRE</v>
          </cell>
          <cell r="B9375" t="str">
            <v>202-00001-009-0008</v>
          </cell>
          <cell r="J9375">
            <v>-1000000</v>
          </cell>
        </row>
        <row r="9376">
          <cell r="A9376" t="str">
            <v>SERVYRE</v>
          </cell>
          <cell r="B9376" t="str">
            <v>202-00001-009-0468</v>
          </cell>
          <cell r="J9376">
            <v>0.01</v>
          </cell>
        </row>
        <row r="9377">
          <cell r="A9377" t="str">
            <v>SERVYRE</v>
          </cell>
          <cell r="B9377" t="str">
            <v>202-00001-009-0813</v>
          </cell>
          <cell r="J9377">
            <v>-1635000</v>
          </cell>
        </row>
        <row r="9378">
          <cell r="A9378" t="str">
            <v>SERVYRE</v>
          </cell>
          <cell r="B9378" t="str">
            <v>202-00001-009-0942</v>
          </cell>
          <cell r="J9378">
            <v>0</v>
          </cell>
        </row>
        <row r="9379">
          <cell r="A9379" t="str">
            <v>SERVYRE</v>
          </cell>
          <cell r="B9379" t="str">
            <v>202-00001-009-1127</v>
          </cell>
          <cell r="J9379">
            <v>-100000</v>
          </cell>
        </row>
        <row r="9380">
          <cell r="A9380" t="str">
            <v>SERVYRE</v>
          </cell>
          <cell r="B9380" t="str">
            <v>202-00001-009-1149</v>
          </cell>
          <cell r="J9380">
            <v>0</v>
          </cell>
        </row>
        <row r="9381">
          <cell r="A9381" t="str">
            <v>SERVYRE</v>
          </cell>
          <cell r="B9381" t="str">
            <v>202-00001-009-1616</v>
          </cell>
          <cell r="J9381">
            <v>0</v>
          </cell>
        </row>
        <row r="9382">
          <cell r="A9382" t="str">
            <v>SERVYRE</v>
          </cell>
          <cell r="B9382" t="str">
            <v>202-00001-009-2300</v>
          </cell>
          <cell r="J9382">
            <v>0</v>
          </cell>
        </row>
        <row r="9383">
          <cell r="A9383" t="str">
            <v>SERVYRE</v>
          </cell>
          <cell r="B9383" t="str">
            <v>202-00001-009-2303</v>
          </cell>
          <cell r="J9383">
            <v>0</v>
          </cell>
        </row>
        <row r="9384">
          <cell r="A9384" t="str">
            <v>SERVYRE</v>
          </cell>
          <cell r="B9384" t="str">
            <v>202-00001-009-2305</v>
          </cell>
          <cell r="J9384">
            <v>244.7</v>
          </cell>
        </row>
        <row r="9385">
          <cell r="A9385" t="str">
            <v>SERVYRE</v>
          </cell>
          <cell r="B9385" t="str">
            <v>202-00003-000-0000</v>
          </cell>
          <cell r="J9385">
            <v>-730009</v>
          </cell>
        </row>
        <row r="9386">
          <cell r="A9386" t="str">
            <v>SERVYRE</v>
          </cell>
          <cell r="B9386" t="str">
            <v>301-00000-000-0000</v>
          </cell>
          <cell r="J9386">
            <v>-209087983.91999999</v>
          </cell>
        </row>
        <row r="9387">
          <cell r="A9387" t="str">
            <v>SERVYRE</v>
          </cell>
          <cell r="B9387" t="str">
            <v>301-00001-000-0000</v>
          </cell>
          <cell r="J9387">
            <v>-100000804.02</v>
          </cell>
        </row>
        <row r="9388">
          <cell r="A9388" t="str">
            <v>SERVYRE</v>
          </cell>
          <cell r="B9388" t="str">
            <v>301-00001-001-0000</v>
          </cell>
          <cell r="J9388">
            <v>-50000</v>
          </cell>
        </row>
        <row r="9389">
          <cell r="A9389" t="str">
            <v>SERVYRE</v>
          </cell>
          <cell r="B9389" t="str">
            <v>301-00001-002-0000</v>
          </cell>
          <cell r="J9389">
            <v>-95589000</v>
          </cell>
        </row>
        <row r="9390">
          <cell r="A9390" t="str">
            <v>SERVYRE</v>
          </cell>
          <cell r="B9390" t="str">
            <v>301-00001-003-0000</v>
          </cell>
          <cell r="J9390">
            <v>-4361804.0199999996</v>
          </cell>
        </row>
        <row r="9391">
          <cell r="A9391" t="str">
            <v>SERVYRE</v>
          </cell>
          <cell r="B9391" t="str">
            <v>301-00002-000-0000</v>
          </cell>
          <cell r="J9391">
            <v>-150000</v>
          </cell>
        </row>
        <row r="9392">
          <cell r="A9392" t="str">
            <v>SERVYRE</v>
          </cell>
          <cell r="B9392" t="str">
            <v>301-00004-000-0000</v>
          </cell>
          <cell r="J9392">
            <v>-108937179.90000001</v>
          </cell>
        </row>
        <row r="9393">
          <cell r="A9393" t="str">
            <v>SERVYRE</v>
          </cell>
          <cell r="B9393" t="str">
            <v>301-00004-005-0000</v>
          </cell>
          <cell r="J9393">
            <v>-21586.57</v>
          </cell>
        </row>
        <row r="9394">
          <cell r="A9394" t="str">
            <v>SERVYRE</v>
          </cell>
          <cell r="B9394" t="str">
            <v>301-00004-006-0000</v>
          </cell>
          <cell r="J9394">
            <v>-22474189.5</v>
          </cell>
        </row>
        <row r="9395">
          <cell r="A9395" t="str">
            <v>SERVYRE</v>
          </cell>
          <cell r="B9395" t="str">
            <v>301-00004-007-0000</v>
          </cell>
          <cell r="J9395">
            <v>-9092819.5399999991</v>
          </cell>
        </row>
        <row r="9396">
          <cell r="A9396" t="str">
            <v>SERVYRE</v>
          </cell>
          <cell r="B9396" t="str">
            <v>301-00004-008-0000</v>
          </cell>
          <cell r="J9396">
            <v>-7287990</v>
          </cell>
        </row>
        <row r="9397">
          <cell r="A9397" t="str">
            <v>SERVYRE</v>
          </cell>
          <cell r="B9397" t="str">
            <v>301-00004-009-0000</v>
          </cell>
          <cell r="J9397">
            <v>-10476812.640000001</v>
          </cell>
        </row>
        <row r="9398">
          <cell r="A9398" t="str">
            <v>SERVYRE</v>
          </cell>
          <cell r="B9398" t="str">
            <v>301-00004-010-0000</v>
          </cell>
          <cell r="J9398">
            <v>-6957697.6699999999</v>
          </cell>
        </row>
        <row r="9399">
          <cell r="A9399" t="str">
            <v>SERVYRE</v>
          </cell>
          <cell r="B9399" t="str">
            <v>301-00004-011-0000</v>
          </cell>
          <cell r="J9399">
            <v>-9792853.4700000007</v>
          </cell>
        </row>
        <row r="9400">
          <cell r="A9400" t="str">
            <v>SERVYRE</v>
          </cell>
          <cell r="B9400" t="str">
            <v>301-00004-012-0000</v>
          </cell>
          <cell r="J9400">
            <v>-9330902.0800000001</v>
          </cell>
        </row>
        <row r="9401">
          <cell r="A9401" t="str">
            <v>SERVYRE</v>
          </cell>
          <cell r="B9401" t="str">
            <v>301-00004-013-0000</v>
          </cell>
          <cell r="J9401">
            <v>-16524910.27</v>
          </cell>
        </row>
        <row r="9402">
          <cell r="A9402" t="str">
            <v>SERVYRE</v>
          </cell>
          <cell r="B9402" t="str">
            <v>301-00004-014-0000</v>
          </cell>
          <cell r="J9402">
            <v>-4619018.82</v>
          </cell>
        </row>
        <row r="9403">
          <cell r="A9403" t="str">
            <v>SERVYRE</v>
          </cell>
          <cell r="B9403" t="str">
            <v>301-00004-015-0000</v>
          </cell>
          <cell r="J9403">
            <v>-8450345.3499999996</v>
          </cell>
        </row>
        <row r="9404">
          <cell r="A9404" t="str">
            <v>SERVYRE</v>
          </cell>
          <cell r="B9404" t="str">
            <v>301-00004-016-0000</v>
          </cell>
          <cell r="J9404">
            <v>-808183.58</v>
          </cell>
        </row>
        <row r="9405">
          <cell r="A9405" t="str">
            <v>SERVYRE</v>
          </cell>
          <cell r="B9405" t="str">
            <v>301-00004-017-0000</v>
          </cell>
          <cell r="J9405">
            <v>-3099870.41</v>
          </cell>
        </row>
        <row r="9406">
          <cell r="A9406" t="str">
            <v>SERVYRE</v>
          </cell>
          <cell r="B9406" t="str">
            <v>410-00000-000-0000</v>
          </cell>
          <cell r="J9406">
            <v>-194398653.06</v>
          </cell>
        </row>
        <row r="9407">
          <cell r="A9407" t="str">
            <v>SERVYRE</v>
          </cell>
          <cell r="B9407" t="str">
            <v>410-24077-000-0000</v>
          </cell>
          <cell r="J9407">
            <v>-2670429.92</v>
          </cell>
        </row>
        <row r="9408">
          <cell r="A9408" t="str">
            <v>SERVYRE</v>
          </cell>
          <cell r="B9408" t="str">
            <v>410-24077-002-0000</v>
          </cell>
          <cell r="J9408">
            <v>-2670429.92</v>
          </cell>
        </row>
        <row r="9409">
          <cell r="A9409" t="str">
            <v>SERVYRE</v>
          </cell>
          <cell r="B9409" t="str">
            <v>410-24077-002-1381</v>
          </cell>
          <cell r="J9409">
            <v>-2670429.92</v>
          </cell>
        </row>
        <row r="9410">
          <cell r="A9410" t="str">
            <v>SERVYRE</v>
          </cell>
          <cell r="B9410" t="str">
            <v>410-24305-000-0000</v>
          </cell>
          <cell r="J9410">
            <v>-43565.25</v>
          </cell>
        </row>
        <row r="9411">
          <cell r="A9411" t="str">
            <v>SERVYRE</v>
          </cell>
          <cell r="B9411" t="str">
            <v>410-24305-002-0000</v>
          </cell>
          <cell r="J9411">
            <v>-43565.25</v>
          </cell>
        </row>
        <row r="9412">
          <cell r="A9412" t="str">
            <v>SERVYRE</v>
          </cell>
          <cell r="B9412" t="str">
            <v>410-24305-002-2533</v>
          </cell>
          <cell r="J9412">
            <v>-40020.81</v>
          </cell>
        </row>
        <row r="9413">
          <cell r="A9413" t="str">
            <v>SERVYRE</v>
          </cell>
          <cell r="B9413" t="str">
            <v>410-24305-002-3133</v>
          </cell>
          <cell r="J9413">
            <v>-3544.44</v>
          </cell>
        </row>
        <row r="9414">
          <cell r="A9414" t="str">
            <v>SERVYRE</v>
          </cell>
          <cell r="B9414" t="str">
            <v>410-25001-000-0000</v>
          </cell>
          <cell r="J9414">
            <v>-611998.92000000004</v>
          </cell>
        </row>
        <row r="9415">
          <cell r="A9415" t="str">
            <v>SERVYRE</v>
          </cell>
          <cell r="B9415" t="str">
            <v>410-25001-002-0000</v>
          </cell>
          <cell r="J9415">
            <v>-611998.92000000004</v>
          </cell>
        </row>
        <row r="9416">
          <cell r="A9416" t="str">
            <v>SERVYRE</v>
          </cell>
          <cell r="B9416" t="str">
            <v>410-25001-002-0161</v>
          </cell>
          <cell r="J9416">
            <v>-611998.92000000004</v>
          </cell>
        </row>
        <row r="9417">
          <cell r="A9417" t="str">
            <v>SERVYRE</v>
          </cell>
          <cell r="B9417" t="str">
            <v>410-25017-000-0000</v>
          </cell>
          <cell r="J9417">
            <v>-1511353.09</v>
          </cell>
        </row>
        <row r="9418">
          <cell r="A9418" t="str">
            <v>SERVYRE</v>
          </cell>
          <cell r="B9418" t="str">
            <v>410-25017-002-0000</v>
          </cell>
          <cell r="J9418">
            <v>-1511353.09</v>
          </cell>
        </row>
        <row r="9419">
          <cell r="A9419" t="str">
            <v>SERVYRE</v>
          </cell>
          <cell r="B9419" t="str">
            <v>410-25017-002-2347</v>
          </cell>
          <cell r="J9419">
            <v>-1511353.09</v>
          </cell>
        </row>
        <row r="9420">
          <cell r="A9420" t="str">
            <v>SERVYRE</v>
          </cell>
          <cell r="B9420" t="str">
            <v>410-25018-000-0000</v>
          </cell>
          <cell r="J9420">
            <v>-2118582.58</v>
          </cell>
        </row>
        <row r="9421">
          <cell r="A9421" t="str">
            <v>SERVYRE</v>
          </cell>
          <cell r="B9421" t="str">
            <v>410-25018-002-0000</v>
          </cell>
          <cell r="J9421">
            <v>-2118582.58</v>
          </cell>
        </row>
        <row r="9422">
          <cell r="A9422" t="str">
            <v>SERVYRE</v>
          </cell>
          <cell r="B9422" t="str">
            <v>410-25018-002-2347</v>
          </cell>
          <cell r="J9422">
            <v>-2118582.58</v>
          </cell>
        </row>
        <row r="9423">
          <cell r="A9423" t="str">
            <v>SERVYRE</v>
          </cell>
          <cell r="B9423" t="str">
            <v>410-25019-000-0000</v>
          </cell>
          <cell r="J9423">
            <v>-1443555.93</v>
          </cell>
        </row>
        <row r="9424">
          <cell r="A9424" t="str">
            <v>SERVYRE</v>
          </cell>
          <cell r="B9424" t="str">
            <v>410-25019-002-0000</v>
          </cell>
          <cell r="J9424">
            <v>-1443555.93</v>
          </cell>
        </row>
        <row r="9425">
          <cell r="A9425" t="str">
            <v>SERVYRE</v>
          </cell>
          <cell r="B9425" t="str">
            <v>410-25019-002-2347</v>
          </cell>
          <cell r="J9425">
            <v>-1443555.93</v>
          </cell>
        </row>
        <row r="9426">
          <cell r="A9426" t="str">
            <v>SERVYRE</v>
          </cell>
          <cell r="B9426" t="str">
            <v>410-25020-000-0000</v>
          </cell>
          <cell r="J9426">
            <v>-706429.4</v>
          </cell>
        </row>
        <row r="9427">
          <cell r="A9427" t="str">
            <v>SERVYRE</v>
          </cell>
          <cell r="B9427" t="str">
            <v>410-25020-002-0000</v>
          </cell>
          <cell r="J9427">
            <v>-706429.4</v>
          </cell>
        </row>
        <row r="9428">
          <cell r="A9428" t="str">
            <v>SERVYRE</v>
          </cell>
          <cell r="B9428" t="str">
            <v>410-25020-002-2347</v>
          </cell>
          <cell r="J9428">
            <v>-706429.4</v>
          </cell>
        </row>
        <row r="9429">
          <cell r="A9429" t="str">
            <v>SERVYRE</v>
          </cell>
          <cell r="B9429" t="str">
            <v>410-25021-000-0000</v>
          </cell>
          <cell r="J9429">
            <v>-2085007.64</v>
          </cell>
        </row>
        <row r="9430">
          <cell r="A9430" t="str">
            <v>SERVYRE</v>
          </cell>
          <cell r="B9430" t="str">
            <v>410-25021-002-0000</v>
          </cell>
          <cell r="J9430">
            <v>-2085007.64</v>
          </cell>
        </row>
        <row r="9431">
          <cell r="A9431" t="str">
            <v>SERVYRE</v>
          </cell>
          <cell r="B9431" t="str">
            <v>410-25021-002-2347</v>
          </cell>
          <cell r="J9431">
            <v>-2085007.64</v>
          </cell>
        </row>
        <row r="9432">
          <cell r="A9432" t="str">
            <v>SERVYRE</v>
          </cell>
          <cell r="B9432" t="str">
            <v>410-25023-000-0000</v>
          </cell>
          <cell r="J9432">
            <v>-112020.48</v>
          </cell>
        </row>
        <row r="9433">
          <cell r="A9433" t="str">
            <v>SERVYRE</v>
          </cell>
          <cell r="B9433" t="str">
            <v>410-25023-002-0000</v>
          </cell>
          <cell r="J9433">
            <v>-112020.48</v>
          </cell>
        </row>
        <row r="9434">
          <cell r="A9434" t="str">
            <v>SERVYRE</v>
          </cell>
          <cell r="B9434" t="str">
            <v>410-25023-002-0047</v>
          </cell>
          <cell r="J9434">
            <v>-112020.48</v>
          </cell>
        </row>
        <row r="9435">
          <cell r="A9435" t="str">
            <v>SERVYRE</v>
          </cell>
          <cell r="B9435" t="str">
            <v>410-25025-000-0000</v>
          </cell>
          <cell r="J9435">
            <v>-2711104.9</v>
          </cell>
        </row>
        <row r="9436">
          <cell r="A9436" t="str">
            <v>SERVYRE</v>
          </cell>
          <cell r="B9436" t="str">
            <v>410-25025-002-0000</v>
          </cell>
          <cell r="J9436">
            <v>-2711104.9</v>
          </cell>
        </row>
        <row r="9437">
          <cell r="A9437" t="str">
            <v>SERVYRE</v>
          </cell>
          <cell r="B9437" t="str">
            <v>410-25025-002-3119</v>
          </cell>
          <cell r="J9437">
            <v>-2711104.9</v>
          </cell>
        </row>
        <row r="9438">
          <cell r="A9438" t="str">
            <v>SERVYRE</v>
          </cell>
          <cell r="B9438" t="str">
            <v>410-25035-000-0000</v>
          </cell>
          <cell r="J9438">
            <v>-633702.28</v>
          </cell>
        </row>
        <row r="9439">
          <cell r="A9439" t="str">
            <v>SERVYRE</v>
          </cell>
          <cell r="B9439" t="str">
            <v>410-25035-002-0000</v>
          </cell>
          <cell r="J9439">
            <v>-633702.28</v>
          </cell>
        </row>
        <row r="9440">
          <cell r="A9440" t="str">
            <v>SERVYRE</v>
          </cell>
          <cell r="B9440" t="str">
            <v>410-25035-002-3122</v>
          </cell>
          <cell r="J9440">
            <v>-633702.28</v>
          </cell>
        </row>
        <row r="9441">
          <cell r="A9441" t="str">
            <v>SERVYRE</v>
          </cell>
          <cell r="B9441" t="str">
            <v>410-25036-000-0000</v>
          </cell>
          <cell r="J9441">
            <v>-374212.72</v>
          </cell>
        </row>
        <row r="9442">
          <cell r="A9442" t="str">
            <v>SERVYRE</v>
          </cell>
          <cell r="B9442" t="str">
            <v>410-25036-002-0000</v>
          </cell>
          <cell r="J9442">
            <v>-374212.72</v>
          </cell>
        </row>
        <row r="9443">
          <cell r="A9443" t="str">
            <v>SERVYRE</v>
          </cell>
          <cell r="B9443" t="str">
            <v>410-25036-002-3122</v>
          </cell>
          <cell r="J9443">
            <v>-374212.72</v>
          </cell>
        </row>
        <row r="9444">
          <cell r="A9444" t="str">
            <v>SERVYRE</v>
          </cell>
          <cell r="B9444" t="str">
            <v>410-25041-000-0000</v>
          </cell>
          <cell r="J9444">
            <v>-1195936.46</v>
          </cell>
        </row>
        <row r="9445">
          <cell r="A9445" t="str">
            <v>SERVYRE</v>
          </cell>
          <cell r="B9445" t="str">
            <v>410-25041-002-0000</v>
          </cell>
          <cell r="J9445">
            <v>-1195936.46</v>
          </cell>
        </row>
        <row r="9446">
          <cell r="A9446" t="str">
            <v>SERVYRE</v>
          </cell>
          <cell r="B9446" t="str">
            <v>410-25041-002-3125</v>
          </cell>
          <cell r="J9446">
            <v>-1195936.46</v>
          </cell>
        </row>
        <row r="9447">
          <cell r="A9447" t="str">
            <v>SERVYRE</v>
          </cell>
          <cell r="B9447" t="str">
            <v>410-25043-000-0000</v>
          </cell>
          <cell r="J9447">
            <v>-2685468.96</v>
          </cell>
        </row>
        <row r="9448">
          <cell r="A9448" t="str">
            <v>SERVYRE</v>
          </cell>
          <cell r="B9448" t="str">
            <v>410-25043-002-0000</v>
          </cell>
          <cell r="J9448">
            <v>-2685468.96</v>
          </cell>
        </row>
        <row r="9449">
          <cell r="A9449" t="str">
            <v>SERVYRE</v>
          </cell>
          <cell r="B9449" t="str">
            <v>410-25043-002-3122</v>
          </cell>
          <cell r="J9449">
            <v>-2685468.96</v>
          </cell>
        </row>
        <row r="9450">
          <cell r="A9450" t="str">
            <v>SERVYRE</v>
          </cell>
          <cell r="B9450" t="str">
            <v>410-25044-000-0000</v>
          </cell>
          <cell r="J9450">
            <v>-25763443.68</v>
          </cell>
        </row>
        <row r="9451">
          <cell r="A9451" t="str">
            <v>SERVYRE</v>
          </cell>
          <cell r="B9451" t="str">
            <v>410-25044-002-0000</v>
          </cell>
          <cell r="J9451">
            <v>-25763443.68</v>
          </cell>
        </row>
        <row r="9452">
          <cell r="A9452" t="str">
            <v>SERVYRE</v>
          </cell>
          <cell r="B9452" t="str">
            <v>410-25044-002-3130</v>
          </cell>
          <cell r="J9452">
            <v>-25763443.68</v>
          </cell>
        </row>
        <row r="9453">
          <cell r="A9453" t="str">
            <v>SERVYRE</v>
          </cell>
          <cell r="B9453" t="str">
            <v>410-25045-000-0000</v>
          </cell>
          <cell r="J9453">
            <v>-33441670.460000001</v>
          </cell>
        </row>
        <row r="9454">
          <cell r="A9454" t="str">
            <v>SERVYRE</v>
          </cell>
          <cell r="B9454" t="str">
            <v>410-25045-002-0000</v>
          </cell>
          <cell r="J9454">
            <v>-33441670.460000001</v>
          </cell>
        </row>
        <row r="9455">
          <cell r="A9455" t="str">
            <v>SERVYRE</v>
          </cell>
          <cell r="B9455" t="str">
            <v>410-25045-002-3126</v>
          </cell>
          <cell r="J9455">
            <v>-33441670.460000001</v>
          </cell>
        </row>
        <row r="9456">
          <cell r="A9456" t="str">
            <v>SERVYRE</v>
          </cell>
          <cell r="B9456" t="str">
            <v>410-25046-000-0000</v>
          </cell>
          <cell r="J9456">
            <v>-8112553.5899999999</v>
          </cell>
        </row>
        <row r="9457">
          <cell r="A9457" t="str">
            <v>SERVYRE</v>
          </cell>
          <cell r="B9457" t="str">
            <v>410-25046-002-0000</v>
          </cell>
          <cell r="J9457">
            <v>-8112553.5899999999</v>
          </cell>
        </row>
        <row r="9458">
          <cell r="A9458" t="str">
            <v>SERVYRE</v>
          </cell>
          <cell r="B9458" t="str">
            <v>410-25046-002-3115</v>
          </cell>
          <cell r="J9458">
            <v>-8112553.5899999999</v>
          </cell>
        </row>
        <row r="9459">
          <cell r="A9459" t="str">
            <v>SERVYRE</v>
          </cell>
          <cell r="B9459" t="str">
            <v>410-25047-000-0000</v>
          </cell>
          <cell r="J9459">
            <v>-3851140.84</v>
          </cell>
        </row>
        <row r="9460">
          <cell r="A9460" t="str">
            <v>SERVYRE</v>
          </cell>
          <cell r="B9460" t="str">
            <v>410-25047-002-0000</v>
          </cell>
          <cell r="J9460">
            <v>-3851140.84</v>
          </cell>
        </row>
        <row r="9461">
          <cell r="A9461" t="str">
            <v>SERVYRE</v>
          </cell>
          <cell r="B9461" t="str">
            <v>410-25047-002-1381</v>
          </cell>
          <cell r="J9461">
            <v>-3851140.84</v>
          </cell>
        </row>
        <row r="9462">
          <cell r="A9462" t="str">
            <v>SERVYRE</v>
          </cell>
          <cell r="B9462" t="str">
            <v>410-25406-000-0000</v>
          </cell>
          <cell r="J9462">
            <v>-315495</v>
          </cell>
        </row>
        <row r="9463">
          <cell r="A9463" t="str">
            <v>SERVYRE</v>
          </cell>
          <cell r="B9463" t="str">
            <v>410-25406-002-0000</v>
          </cell>
          <cell r="J9463">
            <v>-315495</v>
          </cell>
        </row>
        <row r="9464">
          <cell r="A9464" t="str">
            <v>SERVYRE</v>
          </cell>
          <cell r="B9464" t="str">
            <v>410-25406-002-0956</v>
          </cell>
          <cell r="J9464">
            <v>-315495</v>
          </cell>
        </row>
        <row r="9465">
          <cell r="A9465" t="str">
            <v>SERVYRE</v>
          </cell>
          <cell r="B9465" t="str">
            <v>410-25777-000-0000</v>
          </cell>
          <cell r="J9465">
            <v>-17241.38</v>
          </cell>
        </row>
        <row r="9466">
          <cell r="A9466" t="str">
            <v>SERVYRE</v>
          </cell>
          <cell r="B9466" t="str">
            <v>410-25777-004-0000</v>
          </cell>
          <cell r="J9466">
            <v>-17241.38</v>
          </cell>
        </row>
        <row r="9467">
          <cell r="A9467" t="str">
            <v>SERVYRE</v>
          </cell>
          <cell r="B9467" t="str">
            <v>410-25777-004-3118</v>
          </cell>
          <cell r="J9467">
            <v>-17241.38</v>
          </cell>
        </row>
        <row r="9468">
          <cell r="A9468" t="str">
            <v>SERVYRE</v>
          </cell>
          <cell r="B9468" t="str">
            <v>410-26001-000-0000</v>
          </cell>
          <cell r="J9468">
            <v>-41700793.969999999</v>
          </cell>
        </row>
        <row r="9469">
          <cell r="A9469" t="str">
            <v>SERVYRE</v>
          </cell>
          <cell r="B9469" t="str">
            <v>410-26001-002-0000</v>
          </cell>
          <cell r="J9469">
            <v>-41700793.969999999</v>
          </cell>
        </row>
        <row r="9470">
          <cell r="A9470" t="str">
            <v>SERVYRE</v>
          </cell>
          <cell r="B9470" t="str">
            <v>410-26001-002-2533</v>
          </cell>
          <cell r="J9470">
            <v>-41700793.969999999</v>
          </cell>
        </row>
        <row r="9471">
          <cell r="A9471" t="str">
            <v>SERVYRE</v>
          </cell>
          <cell r="B9471" t="str">
            <v>410-26002-000-0000</v>
          </cell>
          <cell r="J9471">
            <v>-210273.16</v>
          </cell>
        </row>
        <row r="9472">
          <cell r="A9472" t="str">
            <v>SERVYRE</v>
          </cell>
          <cell r="B9472" t="str">
            <v>410-26002-002-0000</v>
          </cell>
          <cell r="J9472">
            <v>-210273.16</v>
          </cell>
        </row>
        <row r="9473">
          <cell r="A9473" t="str">
            <v>SERVYRE</v>
          </cell>
          <cell r="B9473" t="str">
            <v>410-26002-002-0481</v>
          </cell>
          <cell r="J9473">
            <v>-210273.16</v>
          </cell>
        </row>
        <row r="9474">
          <cell r="A9474" t="str">
            <v>SERVYRE</v>
          </cell>
          <cell r="B9474" t="str">
            <v>410-26003-000-0000</v>
          </cell>
          <cell r="J9474">
            <v>-329403.56</v>
          </cell>
        </row>
        <row r="9475">
          <cell r="A9475" t="str">
            <v>SERVYRE</v>
          </cell>
          <cell r="B9475" t="str">
            <v>410-26003-002-0000</v>
          </cell>
          <cell r="J9475">
            <v>-329403.56</v>
          </cell>
        </row>
        <row r="9476">
          <cell r="A9476" t="str">
            <v>SERVYRE</v>
          </cell>
          <cell r="B9476" t="str">
            <v>410-26003-002-0511</v>
          </cell>
          <cell r="J9476">
            <v>-329403.56</v>
          </cell>
        </row>
        <row r="9477">
          <cell r="A9477" t="str">
            <v>SERVYRE</v>
          </cell>
          <cell r="B9477" t="str">
            <v>410-26004-000-0000</v>
          </cell>
          <cell r="J9477">
            <v>-8122268.21</v>
          </cell>
        </row>
        <row r="9478">
          <cell r="A9478" t="str">
            <v>SERVYRE</v>
          </cell>
          <cell r="B9478" t="str">
            <v>410-26004-002-0000</v>
          </cell>
          <cell r="J9478">
            <v>-8122268.21</v>
          </cell>
        </row>
        <row r="9479">
          <cell r="A9479" t="str">
            <v>SERVYRE</v>
          </cell>
          <cell r="B9479" t="str">
            <v>410-26004-002-2347</v>
          </cell>
          <cell r="J9479">
            <v>-8122268.21</v>
          </cell>
        </row>
        <row r="9480">
          <cell r="A9480" t="str">
            <v>SERVYRE</v>
          </cell>
          <cell r="B9480" t="str">
            <v>410-26005-000-0000</v>
          </cell>
          <cell r="J9480">
            <v>-2299398.56</v>
          </cell>
        </row>
        <row r="9481">
          <cell r="A9481" t="str">
            <v>SERVYRE</v>
          </cell>
          <cell r="B9481" t="str">
            <v>410-26005-002-0000</v>
          </cell>
          <cell r="J9481">
            <v>-2299398.56</v>
          </cell>
        </row>
        <row r="9482">
          <cell r="A9482" t="str">
            <v>SERVYRE</v>
          </cell>
          <cell r="B9482" t="str">
            <v>410-26005-002-2347</v>
          </cell>
          <cell r="J9482">
            <v>-2299398.56</v>
          </cell>
        </row>
        <row r="9483">
          <cell r="A9483" t="str">
            <v>SERVYRE</v>
          </cell>
          <cell r="B9483" t="str">
            <v>410-26006-000-0000</v>
          </cell>
          <cell r="J9483">
            <v>-993089.87</v>
          </cell>
        </row>
        <row r="9484">
          <cell r="A9484" t="str">
            <v>SERVYRE</v>
          </cell>
          <cell r="B9484" t="str">
            <v>410-26006-002-0000</v>
          </cell>
          <cell r="J9484">
            <v>-993089.87</v>
          </cell>
        </row>
        <row r="9485">
          <cell r="A9485" t="str">
            <v>SERVYRE</v>
          </cell>
          <cell r="B9485" t="str">
            <v>410-26006-002-2347</v>
          </cell>
          <cell r="J9485">
            <v>-993089.87</v>
          </cell>
        </row>
        <row r="9486">
          <cell r="A9486" t="str">
            <v>SERVYRE</v>
          </cell>
          <cell r="B9486" t="str">
            <v>410-26007-000-0000</v>
          </cell>
          <cell r="J9486">
            <v>-1121341.03</v>
          </cell>
        </row>
        <row r="9487">
          <cell r="A9487" t="str">
            <v>SERVYRE</v>
          </cell>
          <cell r="B9487" t="str">
            <v>410-26007-002-0000</v>
          </cell>
          <cell r="J9487">
            <v>-1121341.03</v>
          </cell>
        </row>
        <row r="9488">
          <cell r="A9488" t="str">
            <v>SERVYRE</v>
          </cell>
          <cell r="B9488" t="str">
            <v>410-26007-002-3117</v>
          </cell>
          <cell r="J9488">
            <v>-1121341.03</v>
          </cell>
        </row>
        <row r="9489">
          <cell r="A9489" t="str">
            <v>SERVYRE</v>
          </cell>
          <cell r="B9489" t="str">
            <v>410-26008-000-0000</v>
          </cell>
          <cell r="J9489">
            <v>-7538178.6500000004</v>
          </cell>
        </row>
        <row r="9490">
          <cell r="A9490" t="str">
            <v>SERVYRE</v>
          </cell>
          <cell r="B9490" t="str">
            <v>410-26008-002-0000</v>
          </cell>
          <cell r="J9490">
            <v>-7538178.6500000004</v>
          </cell>
        </row>
        <row r="9491">
          <cell r="A9491" t="str">
            <v>SERVYRE</v>
          </cell>
          <cell r="B9491" t="str">
            <v>410-26008-002-2347</v>
          </cell>
          <cell r="J9491">
            <v>-7538178.6500000004</v>
          </cell>
        </row>
        <row r="9492">
          <cell r="A9492" t="str">
            <v>SERVYRE</v>
          </cell>
          <cell r="B9492" t="str">
            <v>410-26009-000-0000</v>
          </cell>
          <cell r="J9492">
            <v>-2095809.3</v>
          </cell>
        </row>
        <row r="9493">
          <cell r="A9493" t="str">
            <v>SERVYRE</v>
          </cell>
          <cell r="B9493" t="str">
            <v>410-26009-002-0000</v>
          </cell>
          <cell r="J9493">
            <v>-2095809.3</v>
          </cell>
        </row>
        <row r="9494">
          <cell r="A9494" t="str">
            <v>SERVYRE</v>
          </cell>
          <cell r="B9494" t="str">
            <v>410-26009-002-2347</v>
          </cell>
          <cell r="J9494">
            <v>-2095809.3</v>
          </cell>
        </row>
        <row r="9495">
          <cell r="A9495" t="str">
            <v>SERVYRE</v>
          </cell>
          <cell r="B9495" t="str">
            <v>410-26010-000-0000</v>
          </cell>
          <cell r="J9495">
            <v>-2062206.9</v>
          </cell>
        </row>
        <row r="9496">
          <cell r="A9496" t="str">
            <v>SERVYRE</v>
          </cell>
          <cell r="B9496" t="str">
            <v>410-26010-002-0000</v>
          </cell>
          <cell r="J9496">
            <v>-2062206.9</v>
          </cell>
        </row>
        <row r="9497">
          <cell r="A9497" t="str">
            <v>SERVYRE</v>
          </cell>
          <cell r="B9497" t="str">
            <v>410-26010-002-2347</v>
          </cell>
          <cell r="J9497">
            <v>-2062206.9</v>
          </cell>
        </row>
        <row r="9498">
          <cell r="A9498" t="str">
            <v>SERVYRE</v>
          </cell>
          <cell r="B9498" t="str">
            <v>410-26011-000-0000</v>
          </cell>
          <cell r="J9498">
            <v>-5637537.3600000003</v>
          </cell>
        </row>
        <row r="9499">
          <cell r="A9499" t="str">
            <v>SERVYRE</v>
          </cell>
          <cell r="B9499" t="str">
            <v>410-26011-002-0000</v>
          </cell>
          <cell r="J9499">
            <v>-5637537.3600000003</v>
          </cell>
        </row>
        <row r="9500">
          <cell r="A9500" t="str">
            <v>SERVYRE</v>
          </cell>
          <cell r="B9500" t="str">
            <v>410-26011-002-2347</v>
          </cell>
          <cell r="J9500">
            <v>-5637537.3600000003</v>
          </cell>
        </row>
        <row r="9501">
          <cell r="A9501" t="str">
            <v>SERVYRE</v>
          </cell>
          <cell r="B9501" t="str">
            <v>410-26012-000-0000</v>
          </cell>
          <cell r="J9501">
            <v>-2293484.1</v>
          </cell>
        </row>
        <row r="9502">
          <cell r="A9502" t="str">
            <v>SERVYRE</v>
          </cell>
          <cell r="B9502" t="str">
            <v>410-26012-002-0000</v>
          </cell>
          <cell r="J9502">
            <v>-2293484.1</v>
          </cell>
        </row>
        <row r="9503">
          <cell r="A9503" t="str">
            <v>SERVYRE</v>
          </cell>
          <cell r="B9503" t="str">
            <v>410-26012-002-2347</v>
          </cell>
          <cell r="J9503">
            <v>-2293484.1</v>
          </cell>
        </row>
        <row r="9504">
          <cell r="A9504" t="str">
            <v>SERVYRE</v>
          </cell>
          <cell r="B9504" t="str">
            <v>410-26013-000-0000</v>
          </cell>
          <cell r="J9504">
            <v>-1197132.24</v>
          </cell>
        </row>
        <row r="9505">
          <cell r="A9505" t="str">
            <v>SERVYRE</v>
          </cell>
          <cell r="B9505" t="str">
            <v>410-26013-002-0000</v>
          </cell>
          <cell r="J9505">
            <v>-1197132.24</v>
          </cell>
        </row>
        <row r="9506">
          <cell r="A9506" t="str">
            <v>SERVYRE</v>
          </cell>
          <cell r="B9506" t="str">
            <v>410-26013-002-0161</v>
          </cell>
          <cell r="J9506">
            <v>-1197132.24</v>
          </cell>
        </row>
        <row r="9507">
          <cell r="A9507" t="str">
            <v>SERVYRE</v>
          </cell>
          <cell r="B9507" t="str">
            <v>410-26014-000-0000</v>
          </cell>
          <cell r="J9507">
            <v>-2831108.05</v>
          </cell>
        </row>
        <row r="9508">
          <cell r="A9508" t="str">
            <v>SERVYRE</v>
          </cell>
          <cell r="B9508" t="str">
            <v>410-26014-002-0000</v>
          </cell>
          <cell r="J9508">
            <v>-2831108.05</v>
          </cell>
        </row>
        <row r="9509">
          <cell r="A9509" t="str">
            <v>SERVYRE</v>
          </cell>
          <cell r="B9509" t="str">
            <v>410-26014-002-2347</v>
          </cell>
          <cell r="J9509">
            <v>-2831108.05</v>
          </cell>
        </row>
        <row r="9510">
          <cell r="A9510" t="str">
            <v>SERVYRE</v>
          </cell>
          <cell r="B9510" t="str">
            <v>410-26015-000-0000</v>
          </cell>
          <cell r="J9510">
            <v>-4079808.79</v>
          </cell>
        </row>
        <row r="9511">
          <cell r="A9511" t="str">
            <v>SERVYRE</v>
          </cell>
          <cell r="B9511" t="str">
            <v>410-26015-002-0000</v>
          </cell>
          <cell r="J9511">
            <v>-4079808.79</v>
          </cell>
        </row>
        <row r="9512">
          <cell r="A9512" t="str">
            <v>SERVYRE</v>
          </cell>
          <cell r="B9512" t="str">
            <v>410-26015-002-2347</v>
          </cell>
          <cell r="J9512">
            <v>-4079808.79</v>
          </cell>
        </row>
        <row r="9513">
          <cell r="A9513" t="str">
            <v>SERVYRE</v>
          </cell>
          <cell r="B9513" t="str">
            <v>410-26016-000-0000</v>
          </cell>
          <cell r="J9513">
            <v>-98185.600000000006</v>
          </cell>
        </row>
        <row r="9514">
          <cell r="A9514" t="str">
            <v>SERVYRE</v>
          </cell>
          <cell r="B9514" t="str">
            <v>410-26016-002-0000</v>
          </cell>
          <cell r="J9514">
            <v>-98185.600000000006</v>
          </cell>
        </row>
        <row r="9515">
          <cell r="A9515" t="str">
            <v>SERVYRE</v>
          </cell>
          <cell r="B9515" t="str">
            <v>410-26016-002-3124</v>
          </cell>
          <cell r="J9515">
            <v>-98185.600000000006</v>
          </cell>
        </row>
        <row r="9516">
          <cell r="A9516" t="str">
            <v>SERVYRE</v>
          </cell>
          <cell r="B9516" t="str">
            <v>410-26017-000-0000</v>
          </cell>
          <cell r="J9516">
            <v>-9135664.3200000003</v>
          </cell>
        </row>
        <row r="9517">
          <cell r="A9517" t="str">
            <v>SERVYRE</v>
          </cell>
          <cell r="B9517" t="str">
            <v>410-26017-002-0000</v>
          </cell>
          <cell r="J9517">
            <v>-9135664.3200000003</v>
          </cell>
        </row>
        <row r="9518">
          <cell r="A9518" t="str">
            <v>SERVYRE</v>
          </cell>
          <cell r="B9518" t="str">
            <v>410-26017-002-3132</v>
          </cell>
          <cell r="J9518">
            <v>-9135664.3200000003</v>
          </cell>
        </row>
        <row r="9519">
          <cell r="A9519" t="str">
            <v>SERVYRE</v>
          </cell>
          <cell r="B9519" t="str">
            <v>410-26022-000-0000</v>
          </cell>
          <cell r="J9519">
            <v>-6001385.6100000003</v>
          </cell>
        </row>
        <row r="9520">
          <cell r="A9520" t="str">
            <v>SERVYRE</v>
          </cell>
          <cell r="B9520" t="str">
            <v>410-26022-002-0000</v>
          </cell>
          <cell r="J9520">
            <v>-6001385.6100000003</v>
          </cell>
        </row>
        <row r="9521">
          <cell r="A9521" t="str">
            <v>SERVYRE</v>
          </cell>
          <cell r="B9521" t="str">
            <v>410-26022-002-3115</v>
          </cell>
          <cell r="J9521">
            <v>-6001385.6100000003</v>
          </cell>
        </row>
        <row r="9522">
          <cell r="A9522" t="str">
            <v>SERVYRE</v>
          </cell>
          <cell r="B9522" t="str">
            <v>410-26032-000-0000</v>
          </cell>
          <cell r="J9522">
            <v>-1052056.1200000001</v>
          </cell>
        </row>
        <row r="9523">
          <cell r="A9523" t="str">
            <v>SERVYRE</v>
          </cell>
          <cell r="B9523" t="str">
            <v>410-26032-002-0000</v>
          </cell>
          <cell r="J9523">
            <v>-1052056.1200000001</v>
          </cell>
        </row>
        <row r="9524">
          <cell r="A9524" t="str">
            <v>SERVYRE</v>
          </cell>
          <cell r="B9524" t="str">
            <v>410-26032-002-0956</v>
          </cell>
          <cell r="J9524">
            <v>-1052056.1200000001</v>
          </cell>
        </row>
        <row r="9525">
          <cell r="A9525" t="str">
            <v>SERVYRE</v>
          </cell>
          <cell r="B9525" t="str">
            <v>410-26034-000-0000</v>
          </cell>
          <cell r="J9525">
            <v>-1912701.62</v>
          </cell>
        </row>
        <row r="9526">
          <cell r="A9526" t="str">
            <v>SERVYRE</v>
          </cell>
          <cell r="B9526" t="str">
            <v>410-26034-002-0000</v>
          </cell>
          <cell r="J9526">
            <v>-1912701.62</v>
          </cell>
        </row>
        <row r="9527">
          <cell r="A9527" t="str">
            <v>SERVYRE</v>
          </cell>
          <cell r="B9527" t="str">
            <v>410-26034-002-0956</v>
          </cell>
          <cell r="J9527">
            <v>-1912701.62</v>
          </cell>
        </row>
        <row r="9528">
          <cell r="A9528" t="str">
            <v>SERVYRE</v>
          </cell>
          <cell r="B9528" t="str">
            <v>410-26777-000-0000</v>
          </cell>
          <cell r="J9528">
            <v>-3269843.32</v>
          </cell>
        </row>
        <row r="9529">
          <cell r="A9529" t="str">
            <v>SERVYRE</v>
          </cell>
          <cell r="B9529" t="str">
            <v>410-26777-004-0000</v>
          </cell>
          <cell r="J9529">
            <v>-3269843.32</v>
          </cell>
        </row>
        <row r="9530">
          <cell r="A9530" t="str">
            <v>SERVYRE</v>
          </cell>
          <cell r="B9530" t="str">
            <v>410-26777-004-3124</v>
          </cell>
          <cell r="J9530">
            <v>-3218119.18</v>
          </cell>
        </row>
        <row r="9531">
          <cell r="A9531" t="str">
            <v>SERVYRE</v>
          </cell>
          <cell r="B9531" t="str">
            <v>410-26777-004-3127</v>
          </cell>
          <cell r="J9531">
            <v>-51724.14</v>
          </cell>
        </row>
        <row r="9532">
          <cell r="A9532" t="str">
            <v>SERVYRE</v>
          </cell>
          <cell r="B9532" t="str">
            <v>410-26999-000-0000</v>
          </cell>
          <cell r="J9532">
            <v>-12069.24</v>
          </cell>
        </row>
        <row r="9533">
          <cell r="A9533" t="str">
            <v>SERVYRE</v>
          </cell>
          <cell r="B9533" t="str">
            <v>410-26999-004-0000</v>
          </cell>
          <cell r="J9533">
            <v>-12069.24</v>
          </cell>
        </row>
        <row r="9534">
          <cell r="A9534" t="str">
            <v>SERVYRE</v>
          </cell>
          <cell r="B9534" t="str">
            <v>410-26999-004-3124</v>
          </cell>
          <cell r="J9534">
            <v>-12069.24</v>
          </cell>
        </row>
        <row r="9535">
          <cell r="A9535" t="str">
            <v>SERVYRE</v>
          </cell>
          <cell r="B9535" t="str">
            <v>430-00000-000-0000</v>
          </cell>
          <cell r="J9535">
            <v>-160007.34</v>
          </cell>
        </row>
        <row r="9536">
          <cell r="A9536" t="str">
            <v>SERVYRE</v>
          </cell>
          <cell r="B9536" t="str">
            <v>430-00001-000-0000</v>
          </cell>
          <cell r="J9536">
            <v>-160007.34</v>
          </cell>
        </row>
        <row r="9537">
          <cell r="A9537" t="str">
            <v>SERVYRE</v>
          </cell>
          <cell r="B9537" t="str">
            <v>720-00000-000-0000</v>
          </cell>
          <cell r="J9537">
            <v>-121638</v>
          </cell>
        </row>
        <row r="9538">
          <cell r="A9538" t="str">
            <v>SERVYRE</v>
          </cell>
          <cell r="B9538" t="str">
            <v>720-99999-000-0000</v>
          </cell>
          <cell r="J9538">
            <v>-121638</v>
          </cell>
        </row>
        <row r="9539">
          <cell r="A9539" t="str">
            <v>SERVYRE</v>
          </cell>
          <cell r="B9539" t="str">
            <v>720-99999-001-0000</v>
          </cell>
          <cell r="J9539">
            <v>-121638</v>
          </cell>
        </row>
        <row r="9540">
          <cell r="A9540" t="str">
            <v>SERVYRE</v>
          </cell>
          <cell r="B9540" t="str">
            <v>720-99999-001-0001</v>
          </cell>
          <cell r="J9540">
            <v>-121638</v>
          </cell>
        </row>
        <row r="9541">
          <cell r="A9541" t="str">
            <v>SERVYRE</v>
          </cell>
          <cell r="B9541" t="str">
            <v>730-00000-000-0000</v>
          </cell>
          <cell r="J9541">
            <v>-79150.41</v>
          </cell>
        </row>
        <row r="9542">
          <cell r="A9542" t="str">
            <v>SERVYRE</v>
          </cell>
          <cell r="B9542" t="str">
            <v>730-99999-000-0000</v>
          </cell>
          <cell r="J9542">
            <v>-79150.41</v>
          </cell>
        </row>
        <row r="9543">
          <cell r="A9543" t="str">
            <v>SERVYRE</v>
          </cell>
          <cell r="B9543" t="str">
            <v>730-99999-002-0000</v>
          </cell>
          <cell r="J9543">
            <v>-79150.41</v>
          </cell>
        </row>
        <row r="9544">
          <cell r="A9544" t="str">
            <v>SERVYRE</v>
          </cell>
          <cell r="B9544" t="str">
            <v>420-00000-000-0000</v>
          </cell>
          <cell r="J9544">
            <v>4768274.55</v>
          </cell>
        </row>
        <row r="9545">
          <cell r="A9545" t="str">
            <v>SERVYRE</v>
          </cell>
          <cell r="B9545" t="str">
            <v>420-25004-000-0000</v>
          </cell>
          <cell r="J9545">
            <v>838148.49</v>
          </cell>
        </row>
        <row r="9546">
          <cell r="A9546" t="str">
            <v>SERVYRE</v>
          </cell>
          <cell r="B9546" t="str">
            <v>420-25004-002-0000</v>
          </cell>
          <cell r="J9546">
            <v>838148.49</v>
          </cell>
        </row>
        <row r="9547">
          <cell r="A9547" t="str">
            <v>SERVYRE</v>
          </cell>
          <cell r="B9547" t="str">
            <v>420-25004-002-0485</v>
          </cell>
          <cell r="J9547">
            <v>838148.49</v>
          </cell>
        </row>
        <row r="9548">
          <cell r="A9548" t="str">
            <v>SERVYRE</v>
          </cell>
          <cell r="B9548" t="str">
            <v>420-25036-000-0000</v>
          </cell>
          <cell r="J9548">
            <v>85769.57</v>
          </cell>
        </row>
        <row r="9549">
          <cell r="A9549" t="str">
            <v>SERVYRE</v>
          </cell>
          <cell r="B9549" t="str">
            <v>420-25036-002-0000</v>
          </cell>
          <cell r="J9549">
            <v>85769.57</v>
          </cell>
        </row>
        <row r="9550">
          <cell r="A9550" t="str">
            <v>SERVYRE</v>
          </cell>
          <cell r="B9550" t="str">
            <v>420-25036-002-3122</v>
          </cell>
          <cell r="J9550">
            <v>85769.57</v>
          </cell>
        </row>
        <row r="9551">
          <cell r="A9551" t="str">
            <v>SERVYRE</v>
          </cell>
          <cell r="B9551" t="str">
            <v>420-25046-000-0000</v>
          </cell>
          <cell r="J9551">
            <v>1763991.78</v>
          </cell>
        </row>
        <row r="9552">
          <cell r="A9552" t="str">
            <v>SERVYRE</v>
          </cell>
          <cell r="B9552" t="str">
            <v>420-25046-002-0000</v>
          </cell>
          <cell r="J9552">
            <v>1763991.78</v>
          </cell>
        </row>
        <row r="9553">
          <cell r="A9553" t="str">
            <v>SERVYRE</v>
          </cell>
          <cell r="B9553" t="str">
            <v>420-25046-002-1381</v>
          </cell>
          <cell r="J9553">
            <v>874092.32</v>
          </cell>
        </row>
        <row r="9554">
          <cell r="A9554" t="str">
            <v>SERVYRE</v>
          </cell>
          <cell r="B9554" t="str">
            <v>420-25046-002-3115</v>
          </cell>
          <cell r="J9554">
            <v>889899.46</v>
          </cell>
        </row>
        <row r="9555">
          <cell r="A9555" t="str">
            <v>SERVYRE</v>
          </cell>
          <cell r="B9555" t="str">
            <v>420-25047-000-0000</v>
          </cell>
          <cell r="J9555">
            <v>571182.51</v>
          </cell>
        </row>
        <row r="9556">
          <cell r="A9556" t="str">
            <v>SERVYRE</v>
          </cell>
          <cell r="B9556" t="str">
            <v>420-25047-002-0000</v>
          </cell>
          <cell r="J9556">
            <v>571182.51</v>
          </cell>
        </row>
        <row r="9557">
          <cell r="A9557" t="str">
            <v>SERVYRE</v>
          </cell>
          <cell r="B9557" t="str">
            <v>420-25047-002-1381</v>
          </cell>
          <cell r="J9557">
            <v>571182.51</v>
          </cell>
        </row>
        <row r="9558">
          <cell r="A9558" t="str">
            <v>SERVYRE</v>
          </cell>
          <cell r="B9558" t="str">
            <v>420-26008-000-0000</v>
          </cell>
          <cell r="J9558">
            <v>1492525.91</v>
          </cell>
        </row>
        <row r="9559">
          <cell r="A9559" t="str">
            <v>SERVYRE</v>
          </cell>
          <cell r="B9559" t="str">
            <v>420-26008-002-0000</v>
          </cell>
          <cell r="J9559">
            <v>1492525.91</v>
          </cell>
        </row>
        <row r="9560">
          <cell r="A9560" t="str">
            <v>SERVYRE</v>
          </cell>
          <cell r="B9560" t="str">
            <v>420-26008-002-2347</v>
          </cell>
          <cell r="J9560">
            <v>1492525.91</v>
          </cell>
        </row>
        <row r="9561">
          <cell r="A9561" t="str">
            <v>SERVYRE</v>
          </cell>
          <cell r="B9561" t="str">
            <v>420-26010-000-0000</v>
          </cell>
          <cell r="J9561">
            <v>16656.29</v>
          </cell>
        </row>
        <row r="9562">
          <cell r="A9562" t="str">
            <v>SERVYRE</v>
          </cell>
          <cell r="B9562" t="str">
            <v>420-26010-002-0000</v>
          </cell>
          <cell r="J9562">
            <v>16656.29</v>
          </cell>
        </row>
        <row r="9563">
          <cell r="A9563" t="str">
            <v>SERVYRE</v>
          </cell>
          <cell r="B9563" t="str">
            <v>420-26010-002-2347</v>
          </cell>
          <cell r="J9563">
            <v>16656.29</v>
          </cell>
        </row>
        <row r="9564">
          <cell r="A9564" t="str">
            <v>SERVYRE</v>
          </cell>
          <cell r="B9564" t="str">
            <v>423-00000-000-0000</v>
          </cell>
          <cell r="J9564">
            <v>13116585.66</v>
          </cell>
        </row>
        <row r="9565">
          <cell r="A9565" t="str">
            <v>SERVYRE</v>
          </cell>
          <cell r="B9565" t="str">
            <v>423-25001-000-0000</v>
          </cell>
          <cell r="J9565">
            <v>183599.68</v>
          </cell>
        </row>
        <row r="9566">
          <cell r="A9566" t="str">
            <v>SERVYRE</v>
          </cell>
          <cell r="B9566" t="str">
            <v>423-25001-002-0000</v>
          </cell>
          <cell r="J9566">
            <v>183599.68</v>
          </cell>
        </row>
        <row r="9567">
          <cell r="A9567" t="str">
            <v>SERVYRE</v>
          </cell>
          <cell r="B9567" t="str">
            <v>423-25001-002-0161</v>
          </cell>
          <cell r="J9567">
            <v>183599.68</v>
          </cell>
        </row>
        <row r="9568">
          <cell r="A9568" t="str">
            <v>SERVYRE</v>
          </cell>
          <cell r="B9568" t="str">
            <v>423-25017-000-0000</v>
          </cell>
          <cell r="J9568">
            <v>453405.93</v>
          </cell>
        </row>
        <row r="9569">
          <cell r="A9569" t="str">
            <v>SERVYRE</v>
          </cell>
          <cell r="B9569" t="str">
            <v>423-25017-002-0000</v>
          </cell>
          <cell r="J9569">
            <v>453405.93</v>
          </cell>
        </row>
        <row r="9570">
          <cell r="A9570" t="str">
            <v>SERVYRE</v>
          </cell>
          <cell r="B9570" t="str">
            <v>423-25017-002-2347</v>
          </cell>
          <cell r="J9570">
            <v>453405.93</v>
          </cell>
        </row>
        <row r="9571">
          <cell r="A9571" t="str">
            <v>SERVYRE</v>
          </cell>
          <cell r="B9571" t="str">
            <v>423-25018-000-0000</v>
          </cell>
          <cell r="J9571">
            <v>635574.77</v>
          </cell>
        </row>
        <row r="9572">
          <cell r="A9572" t="str">
            <v>SERVYRE</v>
          </cell>
          <cell r="B9572" t="str">
            <v>423-25018-002-0000</v>
          </cell>
          <cell r="J9572">
            <v>635574.77</v>
          </cell>
        </row>
        <row r="9573">
          <cell r="A9573" t="str">
            <v>SERVYRE</v>
          </cell>
          <cell r="B9573" t="str">
            <v>423-25018-002-2347</v>
          </cell>
          <cell r="J9573">
            <v>635574.77</v>
          </cell>
        </row>
        <row r="9574">
          <cell r="A9574" t="str">
            <v>SERVYRE</v>
          </cell>
          <cell r="B9574" t="str">
            <v>423-25019-000-0000</v>
          </cell>
          <cell r="J9574">
            <v>433066.78</v>
          </cell>
        </row>
        <row r="9575">
          <cell r="A9575" t="str">
            <v>SERVYRE</v>
          </cell>
          <cell r="B9575" t="str">
            <v>423-25019-002-0000</v>
          </cell>
          <cell r="J9575">
            <v>433066.78</v>
          </cell>
        </row>
        <row r="9576">
          <cell r="A9576" t="str">
            <v>SERVYRE</v>
          </cell>
          <cell r="B9576" t="str">
            <v>423-25019-002-2347</v>
          </cell>
          <cell r="J9576">
            <v>433066.78</v>
          </cell>
        </row>
        <row r="9577">
          <cell r="A9577" t="str">
            <v>SERVYRE</v>
          </cell>
          <cell r="B9577" t="str">
            <v>423-25020-000-0000</v>
          </cell>
          <cell r="J9577">
            <v>211930.56</v>
          </cell>
        </row>
        <row r="9578">
          <cell r="A9578" t="str">
            <v>SERVYRE</v>
          </cell>
          <cell r="B9578" t="str">
            <v>423-25020-002-0000</v>
          </cell>
          <cell r="J9578">
            <v>211930.56</v>
          </cell>
        </row>
        <row r="9579">
          <cell r="A9579" t="str">
            <v>SERVYRE</v>
          </cell>
          <cell r="B9579" t="str">
            <v>423-25020-002-2347</v>
          </cell>
          <cell r="J9579">
            <v>211930.56</v>
          </cell>
        </row>
        <row r="9580">
          <cell r="A9580" t="str">
            <v>SERVYRE</v>
          </cell>
          <cell r="B9580" t="str">
            <v>423-25021-000-0000</v>
          </cell>
          <cell r="J9580">
            <v>625502.30000000005</v>
          </cell>
        </row>
        <row r="9581">
          <cell r="A9581" t="str">
            <v>SERVYRE</v>
          </cell>
          <cell r="B9581" t="str">
            <v>423-25021-002-0000</v>
          </cell>
          <cell r="J9581">
            <v>625502.30000000005</v>
          </cell>
        </row>
        <row r="9582">
          <cell r="A9582" t="str">
            <v>SERVYRE</v>
          </cell>
          <cell r="B9582" t="str">
            <v>423-25021-002-2347</v>
          </cell>
          <cell r="J9582">
            <v>625502.30000000005</v>
          </cell>
        </row>
        <row r="9583">
          <cell r="A9583" t="str">
            <v>SERVYRE</v>
          </cell>
          <cell r="B9583" t="str">
            <v>423-25025-000-0000</v>
          </cell>
          <cell r="J9583">
            <v>542220.99</v>
          </cell>
        </row>
        <row r="9584">
          <cell r="A9584" t="str">
            <v>SERVYRE</v>
          </cell>
          <cell r="B9584" t="str">
            <v>423-25025-002-0000</v>
          </cell>
          <cell r="J9584">
            <v>542220.99</v>
          </cell>
        </row>
        <row r="9585">
          <cell r="A9585" t="str">
            <v>SERVYRE</v>
          </cell>
          <cell r="B9585" t="str">
            <v>423-25025-002-3119</v>
          </cell>
          <cell r="J9585">
            <v>542220.99</v>
          </cell>
        </row>
        <row r="9586">
          <cell r="A9586" t="str">
            <v>SERVYRE</v>
          </cell>
          <cell r="B9586" t="str">
            <v>423-25035-000-0000</v>
          </cell>
          <cell r="J9586">
            <v>158425.57</v>
          </cell>
        </row>
        <row r="9587">
          <cell r="A9587" t="str">
            <v>SERVYRE</v>
          </cell>
          <cell r="B9587" t="str">
            <v>423-25035-002-0000</v>
          </cell>
          <cell r="J9587">
            <v>158425.57</v>
          </cell>
        </row>
        <row r="9588">
          <cell r="A9588" t="str">
            <v>SERVYRE</v>
          </cell>
          <cell r="B9588" t="str">
            <v>423-25035-002-3122</v>
          </cell>
          <cell r="J9588">
            <v>158425.57</v>
          </cell>
        </row>
        <row r="9589">
          <cell r="A9589" t="str">
            <v>SERVYRE</v>
          </cell>
          <cell r="B9589" t="str">
            <v>423-25036-000-0000</v>
          </cell>
          <cell r="J9589">
            <v>72110.789999999994</v>
          </cell>
        </row>
        <row r="9590">
          <cell r="A9590" t="str">
            <v>SERVYRE</v>
          </cell>
          <cell r="B9590" t="str">
            <v>423-25036-002-0000</v>
          </cell>
          <cell r="J9590">
            <v>72110.789999999994</v>
          </cell>
        </row>
        <row r="9591">
          <cell r="A9591" t="str">
            <v>SERVYRE</v>
          </cell>
          <cell r="B9591" t="str">
            <v>423-25036-002-3122</v>
          </cell>
          <cell r="J9591">
            <v>72110.789999999994</v>
          </cell>
        </row>
        <row r="9592">
          <cell r="A9592" t="str">
            <v>SERVYRE</v>
          </cell>
          <cell r="B9592" t="str">
            <v>423-25041-000-0000</v>
          </cell>
          <cell r="J9592">
            <v>251776.1</v>
          </cell>
        </row>
        <row r="9593">
          <cell r="A9593" t="str">
            <v>SERVYRE</v>
          </cell>
          <cell r="B9593" t="str">
            <v>423-25041-002-0000</v>
          </cell>
          <cell r="J9593">
            <v>251776.1</v>
          </cell>
        </row>
        <row r="9594">
          <cell r="A9594" t="str">
            <v>SERVYRE</v>
          </cell>
          <cell r="B9594" t="str">
            <v>423-25041-002-3125</v>
          </cell>
          <cell r="J9594">
            <v>251776.1</v>
          </cell>
        </row>
        <row r="9595">
          <cell r="A9595" t="str">
            <v>SERVYRE</v>
          </cell>
          <cell r="B9595" t="str">
            <v>423-25043-000-0000</v>
          </cell>
          <cell r="J9595">
            <v>604925.07999999996</v>
          </cell>
        </row>
        <row r="9596">
          <cell r="A9596" t="str">
            <v>SERVYRE</v>
          </cell>
          <cell r="B9596" t="str">
            <v>423-25043-002-0000</v>
          </cell>
          <cell r="J9596">
            <v>604925.07999999996</v>
          </cell>
        </row>
        <row r="9597">
          <cell r="A9597" t="str">
            <v>SERVYRE</v>
          </cell>
          <cell r="B9597" t="str">
            <v>423-25043-002-3122</v>
          </cell>
          <cell r="J9597">
            <v>604925.07999999996</v>
          </cell>
        </row>
        <row r="9598">
          <cell r="A9598" t="str">
            <v>SERVYRE</v>
          </cell>
          <cell r="B9598" t="str">
            <v>423-26004-000-0000</v>
          </cell>
          <cell r="J9598">
            <v>1874369.59</v>
          </cell>
        </row>
        <row r="9599">
          <cell r="A9599" t="str">
            <v>SERVYRE</v>
          </cell>
          <cell r="B9599" t="str">
            <v>423-26004-002-0000</v>
          </cell>
          <cell r="J9599">
            <v>1874369.59</v>
          </cell>
        </row>
        <row r="9600">
          <cell r="A9600" t="str">
            <v>SERVYRE</v>
          </cell>
          <cell r="B9600" t="str">
            <v>423-26004-002-2347</v>
          </cell>
          <cell r="J9600">
            <v>1874369.59</v>
          </cell>
        </row>
        <row r="9601">
          <cell r="A9601" t="str">
            <v>SERVYRE</v>
          </cell>
          <cell r="B9601" t="str">
            <v>423-26005-000-0000</v>
          </cell>
          <cell r="J9601">
            <v>539103.94999999995</v>
          </cell>
        </row>
        <row r="9602">
          <cell r="A9602" t="str">
            <v>SERVYRE</v>
          </cell>
          <cell r="B9602" t="str">
            <v>423-26005-002-0000</v>
          </cell>
          <cell r="J9602">
            <v>539103.94999999995</v>
          </cell>
        </row>
        <row r="9603">
          <cell r="A9603" t="str">
            <v>SERVYRE</v>
          </cell>
          <cell r="B9603" t="str">
            <v>423-26005-002-2347</v>
          </cell>
          <cell r="J9603">
            <v>539103.94999999995</v>
          </cell>
        </row>
        <row r="9604">
          <cell r="A9604" t="str">
            <v>SERVYRE</v>
          </cell>
          <cell r="B9604" t="str">
            <v>423-26006-000-0000</v>
          </cell>
          <cell r="J9604">
            <v>229766.51</v>
          </cell>
        </row>
        <row r="9605">
          <cell r="A9605" t="str">
            <v>SERVYRE</v>
          </cell>
          <cell r="B9605" t="str">
            <v>423-26006-002-0000</v>
          </cell>
          <cell r="J9605">
            <v>229766.51</v>
          </cell>
        </row>
        <row r="9606">
          <cell r="A9606" t="str">
            <v>SERVYRE</v>
          </cell>
          <cell r="B9606" t="str">
            <v>423-26006-002-2347</v>
          </cell>
          <cell r="J9606">
            <v>229766.51</v>
          </cell>
        </row>
        <row r="9607">
          <cell r="A9607" t="str">
            <v>SERVYRE</v>
          </cell>
          <cell r="B9607" t="str">
            <v>423-26007-000-0000</v>
          </cell>
          <cell r="J9607">
            <v>258771.01</v>
          </cell>
        </row>
        <row r="9608">
          <cell r="A9608" t="str">
            <v>SERVYRE</v>
          </cell>
          <cell r="B9608" t="str">
            <v>423-26007-002-0000</v>
          </cell>
          <cell r="J9608">
            <v>258771.01</v>
          </cell>
        </row>
        <row r="9609">
          <cell r="A9609" t="str">
            <v>SERVYRE</v>
          </cell>
          <cell r="B9609" t="str">
            <v>423-26007-002-3117</v>
          </cell>
          <cell r="J9609">
            <v>258771.01</v>
          </cell>
        </row>
        <row r="9610">
          <cell r="A9610" t="str">
            <v>SERVYRE</v>
          </cell>
          <cell r="B9610" t="str">
            <v>423-26008-000-0000</v>
          </cell>
          <cell r="J9610">
            <v>1395150.63</v>
          </cell>
        </row>
        <row r="9611">
          <cell r="A9611" t="str">
            <v>SERVYRE</v>
          </cell>
          <cell r="B9611" t="str">
            <v>423-26008-002-0000</v>
          </cell>
          <cell r="J9611">
            <v>1395150.63</v>
          </cell>
        </row>
        <row r="9612">
          <cell r="A9612" t="str">
            <v>SERVYRE</v>
          </cell>
          <cell r="B9612" t="str">
            <v>423-26008-002-2347</v>
          </cell>
          <cell r="J9612">
            <v>1395150.63</v>
          </cell>
        </row>
        <row r="9613">
          <cell r="A9613" t="str">
            <v>SERVYRE</v>
          </cell>
          <cell r="B9613" t="str">
            <v>423-26009-000-0000</v>
          </cell>
          <cell r="J9613">
            <v>499573.26</v>
          </cell>
        </row>
        <row r="9614">
          <cell r="A9614" t="str">
            <v>SERVYRE</v>
          </cell>
          <cell r="B9614" t="str">
            <v>423-26009-002-0000</v>
          </cell>
          <cell r="J9614">
            <v>499573.26</v>
          </cell>
        </row>
        <row r="9615">
          <cell r="A9615" t="str">
            <v>SERVYRE</v>
          </cell>
          <cell r="B9615" t="str">
            <v>423-26009-002-2347</v>
          </cell>
          <cell r="J9615">
            <v>499573.26</v>
          </cell>
        </row>
        <row r="9616">
          <cell r="A9616" t="str">
            <v>SERVYRE</v>
          </cell>
          <cell r="B9616" t="str">
            <v>423-26010-000-0000</v>
          </cell>
          <cell r="J9616">
            <v>475893.9</v>
          </cell>
        </row>
        <row r="9617">
          <cell r="A9617" t="str">
            <v>SERVYRE</v>
          </cell>
          <cell r="B9617" t="str">
            <v>423-26010-002-0000</v>
          </cell>
          <cell r="J9617">
            <v>475893.9</v>
          </cell>
        </row>
        <row r="9618">
          <cell r="A9618" t="str">
            <v>SERVYRE</v>
          </cell>
          <cell r="B9618" t="str">
            <v>423-26010-002-2347</v>
          </cell>
          <cell r="J9618">
            <v>475893.9</v>
          </cell>
        </row>
        <row r="9619">
          <cell r="A9619" t="str">
            <v>SERVYRE</v>
          </cell>
          <cell r="B9619" t="str">
            <v>423-26011-000-0000</v>
          </cell>
          <cell r="J9619">
            <v>1300970.1599999999</v>
          </cell>
        </row>
        <row r="9620">
          <cell r="A9620" t="str">
            <v>SERVYRE</v>
          </cell>
          <cell r="B9620" t="str">
            <v>423-26011-002-0000</v>
          </cell>
          <cell r="J9620">
            <v>1300970.1599999999</v>
          </cell>
        </row>
        <row r="9621">
          <cell r="A9621" t="str">
            <v>SERVYRE</v>
          </cell>
          <cell r="B9621" t="str">
            <v>423-26011-002-2347</v>
          </cell>
          <cell r="J9621">
            <v>1300970.1599999999</v>
          </cell>
        </row>
        <row r="9622">
          <cell r="A9622" t="str">
            <v>SERVYRE</v>
          </cell>
          <cell r="B9622" t="str">
            <v>423-26012-000-0000</v>
          </cell>
          <cell r="J9622">
            <v>529265.56000000006</v>
          </cell>
        </row>
        <row r="9623">
          <cell r="A9623" t="str">
            <v>SERVYRE</v>
          </cell>
          <cell r="B9623" t="str">
            <v>423-26012-002-0000</v>
          </cell>
          <cell r="J9623">
            <v>529265.56000000006</v>
          </cell>
        </row>
        <row r="9624">
          <cell r="A9624" t="str">
            <v>SERVYRE</v>
          </cell>
          <cell r="B9624" t="str">
            <v>423-26012-002-2347</v>
          </cell>
          <cell r="J9624">
            <v>529265.56000000006</v>
          </cell>
        </row>
        <row r="9625">
          <cell r="A9625" t="str">
            <v>SERVYRE</v>
          </cell>
          <cell r="B9625" t="str">
            <v>423-26013-000-0000</v>
          </cell>
          <cell r="J9625">
            <v>276261.28999999998</v>
          </cell>
        </row>
        <row r="9626">
          <cell r="A9626" t="str">
            <v>SERVYRE</v>
          </cell>
          <cell r="B9626" t="str">
            <v>423-26013-002-0000</v>
          </cell>
          <cell r="J9626">
            <v>276261.28999999998</v>
          </cell>
        </row>
        <row r="9627">
          <cell r="A9627" t="str">
            <v>SERVYRE</v>
          </cell>
          <cell r="B9627" t="str">
            <v>423-26013-002-0161</v>
          </cell>
          <cell r="J9627">
            <v>276261.28999999998</v>
          </cell>
        </row>
        <row r="9628">
          <cell r="A9628" t="str">
            <v>SERVYRE</v>
          </cell>
          <cell r="B9628" t="str">
            <v>423-26014-000-0000</v>
          </cell>
          <cell r="J9628">
            <v>867495.64</v>
          </cell>
        </row>
        <row r="9629">
          <cell r="A9629" t="str">
            <v>SERVYRE</v>
          </cell>
          <cell r="B9629" t="str">
            <v>423-26014-002-0000</v>
          </cell>
          <cell r="J9629">
            <v>867495.64</v>
          </cell>
        </row>
        <row r="9630">
          <cell r="A9630" t="str">
            <v>SERVYRE</v>
          </cell>
          <cell r="B9630" t="str">
            <v>423-26014-002-2347</v>
          </cell>
          <cell r="J9630">
            <v>867495.64</v>
          </cell>
        </row>
        <row r="9631">
          <cell r="A9631" t="str">
            <v>SERVYRE</v>
          </cell>
          <cell r="B9631" t="str">
            <v>423-26015-000-0000</v>
          </cell>
          <cell r="J9631">
            <v>697425.61</v>
          </cell>
        </row>
        <row r="9632">
          <cell r="A9632" t="str">
            <v>SERVYRE</v>
          </cell>
          <cell r="B9632" t="str">
            <v>423-26015-002-0000</v>
          </cell>
          <cell r="J9632">
            <v>697425.61</v>
          </cell>
        </row>
        <row r="9633">
          <cell r="A9633" t="str">
            <v>SERVYRE</v>
          </cell>
          <cell r="B9633" t="str">
            <v>423-26015-002-2347</v>
          </cell>
          <cell r="J9633">
            <v>697425.61</v>
          </cell>
        </row>
        <row r="9634">
          <cell r="A9634" t="str">
            <v>SERVYRE</v>
          </cell>
          <cell r="B9634" t="str">
            <v>530-00000-000-0000</v>
          </cell>
          <cell r="J9634">
            <v>56303541.920000002</v>
          </cell>
        </row>
        <row r="9635">
          <cell r="A9635" t="str">
            <v>SERVYRE</v>
          </cell>
          <cell r="B9635" t="str">
            <v>530-23039-000-0000</v>
          </cell>
          <cell r="J9635">
            <v>62000</v>
          </cell>
        </row>
        <row r="9636">
          <cell r="A9636" t="str">
            <v>SERVYRE</v>
          </cell>
          <cell r="B9636" t="str">
            <v>530-23039-017-0000</v>
          </cell>
          <cell r="J9636">
            <v>62000</v>
          </cell>
        </row>
        <row r="9637">
          <cell r="A9637" t="str">
            <v>SERVYRE</v>
          </cell>
          <cell r="B9637" t="str">
            <v>530-23040-000-0000</v>
          </cell>
          <cell r="J9637">
            <v>19474.63</v>
          </cell>
        </row>
        <row r="9638">
          <cell r="A9638" t="str">
            <v>SERVYRE</v>
          </cell>
          <cell r="B9638" t="str">
            <v>530-23040-001-0000</v>
          </cell>
          <cell r="J9638">
            <v>4102.62</v>
          </cell>
        </row>
        <row r="9639">
          <cell r="A9639" t="str">
            <v>SERVYRE</v>
          </cell>
          <cell r="B9639" t="str">
            <v>530-23040-001-0001</v>
          </cell>
          <cell r="J9639">
            <v>4.5</v>
          </cell>
        </row>
        <row r="9640">
          <cell r="A9640" t="str">
            <v>SERVYRE</v>
          </cell>
          <cell r="B9640" t="str">
            <v>530-23040-001-0002</v>
          </cell>
          <cell r="J9640">
            <v>2835</v>
          </cell>
        </row>
        <row r="9641">
          <cell r="A9641" t="str">
            <v>SERVYRE</v>
          </cell>
          <cell r="B9641" t="str">
            <v>530-23040-001-0011</v>
          </cell>
          <cell r="J9641">
            <v>1263.1199999999999</v>
          </cell>
        </row>
        <row r="9642">
          <cell r="A9642" t="str">
            <v>SERVYRE</v>
          </cell>
          <cell r="B9642" t="str">
            <v>530-23040-002-0000</v>
          </cell>
          <cell r="J9642">
            <v>3334.51</v>
          </cell>
        </row>
        <row r="9643">
          <cell r="A9643" t="str">
            <v>SERVYRE</v>
          </cell>
          <cell r="B9643" t="str">
            <v>530-23040-002-0002</v>
          </cell>
          <cell r="J9643">
            <v>928.02</v>
          </cell>
        </row>
        <row r="9644">
          <cell r="A9644" t="str">
            <v>SERVYRE</v>
          </cell>
          <cell r="B9644" t="str">
            <v>530-23040-002-0003</v>
          </cell>
          <cell r="J9644">
            <v>2320.06</v>
          </cell>
        </row>
        <row r="9645">
          <cell r="A9645" t="str">
            <v>SERVYRE</v>
          </cell>
          <cell r="B9645" t="str">
            <v>530-23040-002-0004</v>
          </cell>
          <cell r="J9645">
            <v>86.43</v>
          </cell>
        </row>
        <row r="9646">
          <cell r="A9646" t="str">
            <v>SERVYRE</v>
          </cell>
          <cell r="B9646" t="str">
            <v>530-23040-003-0000</v>
          </cell>
          <cell r="J9646">
            <v>12037.5</v>
          </cell>
        </row>
        <row r="9647">
          <cell r="A9647" t="str">
            <v>SERVYRE</v>
          </cell>
          <cell r="B9647" t="str">
            <v>530-23046-000-0000</v>
          </cell>
          <cell r="J9647">
            <v>56583</v>
          </cell>
        </row>
        <row r="9648">
          <cell r="A9648" t="str">
            <v>SERVYRE</v>
          </cell>
          <cell r="B9648" t="str">
            <v>530-23046-017-0000</v>
          </cell>
          <cell r="J9648">
            <v>56583</v>
          </cell>
        </row>
        <row r="9649">
          <cell r="A9649" t="str">
            <v>SERVYRE</v>
          </cell>
          <cell r="B9649" t="str">
            <v>530-24014-000-0000</v>
          </cell>
          <cell r="J9649">
            <v>15305.38</v>
          </cell>
        </row>
        <row r="9650">
          <cell r="A9650" t="str">
            <v>SERVYRE</v>
          </cell>
          <cell r="B9650" t="str">
            <v>530-24014-001-0000</v>
          </cell>
          <cell r="J9650">
            <v>4462.58</v>
          </cell>
        </row>
        <row r="9651">
          <cell r="A9651" t="str">
            <v>SERVYRE</v>
          </cell>
          <cell r="B9651" t="str">
            <v>530-24014-001-0001</v>
          </cell>
          <cell r="J9651">
            <v>3295.01</v>
          </cell>
        </row>
        <row r="9652">
          <cell r="A9652" t="str">
            <v>SERVYRE</v>
          </cell>
          <cell r="B9652" t="str">
            <v>530-24014-001-0002</v>
          </cell>
          <cell r="J9652">
            <v>336</v>
          </cell>
        </row>
        <row r="9653">
          <cell r="A9653" t="str">
            <v>SERVYRE</v>
          </cell>
          <cell r="B9653" t="str">
            <v>530-24014-001-0005</v>
          </cell>
          <cell r="J9653">
            <v>345.74</v>
          </cell>
        </row>
        <row r="9654">
          <cell r="A9654" t="str">
            <v>SERVYRE</v>
          </cell>
          <cell r="B9654" t="str">
            <v>530-24014-001-0006</v>
          </cell>
          <cell r="J9654">
            <v>345.74</v>
          </cell>
        </row>
        <row r="9655">
          <cell r="A9655" t="str">
            <v>SERVYRE</v>
          </cell>
          <cell r="B9655" t="str">
            <v>530-24014-001-0011</v>
          </cell>
          <cell r="J9655">
            <v>140.09</v>
          </cell>
        </row>
        <row r="9656">
          <cell r="A9656" t="str">
            <v>SERVYRE</v>
          </cell>
          <cell r="B9656" t="str">
            <v>530-24014-002-0000</v>
          </cell>
          <cell r="J9656">
            <v>1597.01</v>
          </cell>
        </row>
        <row r="9657">
          <cell r="A9657" t="str">
            <v>SERVYRE</v>
          </cell>
          <cell r="B9657" t="str">
            <v>530-24014-002-0001</v>
          </cell>
          <cell r="J9657">
            <v>398.07</v>
          </cell>
        </row>
        <row r="9658">
          <cell r="A9658" t="str">
            <v>SERVYRE</v>
          </cell>
          <cell r="B9658" t="str">
            <v>530-24014-002-0002</v>
          </cell>
          <cell r="J9658">
            <v>648.75</v>
          </cell>
        </row>
        <row r="9659">
          <cell r="A9659" t="str">
            <v>SERVYRE</v>
          </cell>
          <cell r="B9659" t="str">
            <v>530-24014-002-0003</v>
          </cell>
          <cell r="J9659">
            <v>376.61</v>
          </cell>
        </row>
        <row r="9660">
          <cell r="A9660" t="str">
            <v>SERVYRE</v>
          </cell>
          <cell r="B9660" t="str">
            <v>530-24014-002-0004</v>
          </cell>
          <cell r="J9660">
            <v>173.58</v>
          </cell>
        </row>
        <row r="9661">
          <cell r="A9661" t="str">
            <v>SERVYRE</v>
          </cell>
          <cell r="B9661" t="str">
            <v>530-24014-003-0000</v>
          </cell>
          <cell r="J9661">
            <v>9245.7900000000009</v>
          </cell>
        </row>
        <row r="9662">
          <cell r="A9662" t="str">
            <v>SERVYRE</v>
          </cell>
          <cell r="B9662" t="str">
            <v>530-24015-000-0000</v>
          </cell>
          <cell r="J9662">
            <v>54275.27</v>
          </cell>
        </row>
        <row r="9663">
          <cell r="A9663" t="str">
            <v>SERVYRE</v>
          </cell>
          <cell r="B9663" t="str">
            <v>530-24015-001-0000</v>
          </cell>
          <cell r="J9663">
            <v>21962.73</v>
          </cell>
        </row>
        <row r="9664">
          <cell r="A9664" t="str">
            <v>SERVYRE</v>
          </cell>
          <cell r="B9664" t="str">
            <v>530-24015-001-0001</v>
          </cell>
          <cell r="J9664">
            <v>16475.05</v>
          </cell>
        </row>
        <row r="9665">
          <cell r="A9665" t="str">
            <v>SERVYRE</v>
          </cell>
          <cell r="B9665" t="str">
            <v>530-24015-001-0002</v>
          </cell>
          <cell r="J9665">
            <v>1680</v>
          </cell>
        </row>
        <row r="9666">
          <cell r="A9666" t="str">
            <v>SERVYRE</v>
          </cell>
          <cell r="B9666" t="str">
            <v>530-24015-001-0005</v>
          </cell>
          <cell r="J9666">
            <v>1728.72</v>
          </cell>
        </row>
        <row r="9667">
          <cell r="A9667" t="str">
            <v>SERVYRE</v>
          </cell>
          <cell r="B9667" t="str">
            <v>530-24015-001-0006</v>
          </cell>
          <cell r="J9667">
            <v>1728.72</v>
          </cell>
        </row>
        <row r="9668">
          <cell r="A9668" t="str">
            <v>SERVYRE</v>
          </cell>
          <cell r="B9668" t="str">
            <v>530-24015-001-0011</v>
          </cell>
          <cell r="J9668">
            <v>350.24</v>
          </cell>
        </row>
        <row r="9669">
          <cell r="A9669" t="str">
            <v>SERVYRE</v>
          </cell>
          <cell r="B9669" t="str">
            <v>530-24015-002-0000</v>
          </cell>
          <cell r="J9669">
            <v>7942.42</v>
          </cell>
        </row>
        <row r="9670">
          <cell r="A9670" t="str">
            <v>SERVYRE</v>
          </cell>
          <cell r="B9670" t="str">
            <v>530-24015-002-0001</v>
          </cell>
          <cell r="J9670">
            <v>1997.5</v>
          </cell>
        </row>
        <row r="9671">
          <cell r="A9671" t="str">
            <v>SERVYRE</v>
          </cell>
          <cell r="B9671" t="str">
            <v>530-24015-002-0002</v>
          </cell>
          <cell r="J9671">
            <v>3293.2</v>
          </cell>
        </row>
        <row r="9672">
          <cell r="A9672" t="str">
            <v>SERVYRE</v>
          </cell>
          <cell r="B9672" t="str">
            <v>530-24015-002-0003</v>
          </cell>
          <cell r="J9672">
            <v>1836.77</v>
          </cell>
        </row>
        <row r="9673">
          <cell r="A9673" t="str">
            <v>SERVYRE</v>
          </cell>
          <cell r="B9673" t="str">
            <v>530-24015-002-0004</v>
          </cell>
          <cell r="J9673">
            <v>814.95</v>
          </cell>
        </row>
        <row r="9674">
          <cell r="A9674" t="str">
            <v>SERVYRE</v>
          </cell>
          <cell r="B9674" t="str">
            <v>530-24015-003-0000</v>
          </cell>
          <cell r="J9674">
            <v>24370.12</v>
          </cell>
        </row>
        <row r="9675">
          <cell r="A9675" t="str">
            <v>SERVYRE</v>
          </cell>
          <cell r="B9675" t="str">
            <v>530-24044-000-0000</v>
          </cell>
          <cell r="J9675">
            <v>1255.95</v>
          </cell>
        </row>
        <row r="9676">
          <cell r="A9676" t="str">
            <v>SERVYRE</v>
          </cell>
          <cell r="B9676" t="str">
            <v>530-24044-001-0000</v>
          </cell>
          <cell r="J9676">
            <v>837.42</v>
          </cell>
        </row>
        <row r="9677">
          <cell r="A9677" t="str">
            <v>SERVYRE</v>
          </cell>
          <cell r="B9677" t="str">
            <v>530-24044-001-0001</v>
          </cell>
          <cell r="J9677">
            <v>621.73</v>
          </cell>
        </row>
        <row r="9678">
          <cell r="A9678" t="str">
            <v>SERVYRE</v>
          </cell>
          <cell r="B9678" t="str">
            <v>530-24044-001-0002</v>
          </cell>
          <cell r="J9678">
            <v>57.27</v>
          </cell>
        </row>
        <row r="9679">
          <cell r="A9679" t="str">
            <v>SERVYRE</v>
          </cell>
          <cell r="B9679" t="str">
            <v>530-24044-001-0005</v>
          </cell>
          <cell r="J9679">
            <v>65.33</v>
          </cell>
        </row>
        <row r="9680">
          <cell r="A9680" t="str">
            <v>SERVYRE</v>
          </cell>
          <cell r="B9680" t="str">
            <v>530-24044-001-0006</v>
          </cell>
          <cell r="J9680">
            <v>65.33</v>
          </cell>
        </row>
        <row r="9681">
          <cell r="A9681" t="str">
            <v>SERVYRE</v>
          </cell>
          <cell r="B9681" t="str">
            <v>530-24044-001-0011</v>
          </cell>
          <cell r="J9681">
            <v>27.76</v>
          </cell>
        </row>
        <row r="9682">
          <cell r="A9682" t="str">
            <v>SERVYRE</v>
          </cell>
          <cell r="B9682" t="str">
            <v>530-24044-002-0000</v>
          </cell>
          <cell r="J9682">
            <v>103.6</v>
          </cell>
        </row>
        <row r="9683">
          <cell r="A9683" t="str">
            <v>SERVYRE</v>
          </cell>
          <cell r="B9683" t="str">
            <v>530-24044-002-0001</v>
          </cell>
          <cell r="J9683">
            <v>73.5</v>
          </cell>
        </row>
        <row r="9684">
          <cell r="A9684" t="str">
            <v>SERVYRE</v>
          </cell>
          <cell r="B9684" t="str">
            <v>530-24044-002-0004</v>
          </cell>
          <cell r="J9684">
            <v>30.1</v>
          </cell>
        </row>
        <row r="9685">
          <cell r="A9685" t="str">
            <v>SERVYRE</v>
          </cell>
          <cell r="B9685" t="str">
            <v>530-24044-003-0000</v>
          </cell>
          <cell r="J9685">
            <v>314.93</v>
          </cell>
        </row>
        <row r="9686">
          <cell r="A9686" t="str">
            <v>SERVYRE</v>
          </cell>
          <cell r="B9686" t="str">
            <v>530-24048-000-0000</v>
          </cell>
          <cell r="J9686">
            <v>0</v>
          </cell>
        </row>
        <row r="9687">
          <cell r="A9687" t="str">
            <v>SERVYRE</v>
          </cell>
          <cell r="B9687" t="str">
            <v>530-24048-055-0000</v>
          </cell>
          <cell r="J9687">
            <v>0</v>
          </cell>
        </row>
        <row r="9688">
          <cell r="A9688" t="str">
            <v>SERVYRE</v>
          </cell>
          <cell r="B9688" t="str">
            <v>530-24305-000-0000</v>
          </cell>
          <cell r="J9688">
            <v>-50665.88</v>
          </cell>
        </row>
        <row r="9689">
          <cell r="A9689" t="str">
            <v>SERVYRE</v>
          </cell>
          <cell r="B9689" t="str">
            <v>530-24305-017-0000</v>
          </cell>
          <cell r="J9689">
            <v>-50665.88</v>
          </cell>
        </row>
        <row r="9690">
          <cell r="A9690" t="str">
            <v>SERVYRE</v>
          </cell>
          <cell r="B9690" t="str">
            <v>530-24305-055-0000</v>
          </cell>
          <cell r="J9690">
            <v>0</v>
          </cell>
        </row>
        <row r="9691">
          <cell r="A9691" t="str">
            <v>SERVYRE</v>
          </cell>
          <cell r="B9691" t="str">
            <v>530-25001-000-0000</v>
          </cell>
          <cell r="J9691">
            <v>-136984.79999999999</v>
          </cell>
        </row>
        <row r="9692">
          <cell r="A9692" t="str">
            <v>SERVYRE</v>
          </cell>
          <cell r="B9692" t="str">
            <v>530-25001-055-0000</v>
          </cell>
          <cell r="J9692">
            <v>-136984.79999999999</v>
          </cell>
        </row>
        <row r="9693">
          <cell r="A9693" t="str">
            <v>SERVYRE</v>
          </cell>
          <cell r="B9693" t="str">
            <v>530-25004-000-0000</v>
          </cell>
          <cell r="J9693">
            <v>-5111690.33</v>
          </cell>
        </row>
        <row r="9694">
          <cell r="A9694" t="str">
            <v>SERVYRE</v>
          </cell>
          <cell r="B9694" t="str">
            <v>530-25004-001-0000</v>
          </cell>
          <cell r="J9694">
            <v>5064.8900000000003</v>
          </cell>
        </row>
        <row r="9695">
          <cell r="A9695" t="str">
            <v>SERVYRE</v>
          </cell>
          <cell r="B9695" t="str">
            <v>530-25004-001-0001</v>
          </cell>
          <cell r="J9695">
            <v>4264.2700000000004</v>
          </cell>
        </row>
        <row r="9696">
          <cell r="A9696" t="str">
            <v>SERVYRE</v>
          </cell>
          <cell r="B9696" t="str">
            <v>530-25004-001-0002</v>
          </cell>
          <cell r="J9696">
            <v>392.36</v>
          </cell>
        </row>
        <row r="9697">
          <cell r="A9697" t="str">
            <v>SERVYRE</v>
          </cell>
          <cell r="B9697" t="str">
            <v>530-25004-001-0009</v>
          </cell>
          <cell r="J9697">
            <v>313.05</v>
          </cell>
        </row>
        <row r="9698">
          <cell r="A9698" t="str">
            <v>SERVYRE</v>
          </cell>
          <cell r="B9698" t="str">
            <v>530-25004-001-0011</v>
          </cell>
          <cell r="J9698">
            <v>95.21</v>
          </cell>
        </row>
        <row r="9699">
          <cell r="A9699" t="str">
            <v>SERVYRE</v>
          </cell>
          <cell r="B9699" t="str">
            <v>530-25004-002-0000</v>
          </cell>
          <cell r="J9699">
            <v>1400.28</v>
          </cell>
        </row>
        <row r="9700">
          <cell r="A9700" t="str">
            <v>SERVYRE</v>
          </cell>
          <cell r="B9700" t="str">
            <v>530-25004-002-0001</v>
          </cell>
          <cell r="J9700">
            <v>846.48</v>
          </cell>
        </row>
        <row r="9701">
          <cell r="A9701" t="str">
            <v>SERVYRE</v>
          </cell>
          <cell r="B9701" t="str">
            <v>530-25004-002-0002</v>
          </cell>
          <cell r="J9701">
            <v>231</v>
          </cell>
        </row>
        <row r="9702">
          <cell r="A9702" t="str">
            <v>SERVYRE</v>
          </cell>
          <cell r="B9702" t="str">
            <v>530-25004-002-0003</v>
          </cell>
          <cell r="J9702">
            <v>139.71</v>
          </cell>
        </row>
        <row r="9703">
          <cell r="A9703" t="str">
            <v>SERVYRE</v>
          </cell>
          <cell r="B9703" t="str">
            <v>530-25004-002-0004</v>
          </cell>
          <cell r="J9703">
            <v>183.09</v>
          </cell>
        </row>
        <row r="9704">
          <cell r="A9704" t="str">
            <v>SERVYRE</v>
          </cell>
          <cell r="B9704" t="str">
            <v>530-25004-003-0000</v>
          </cell>
          <cell r="J9704">
            <v>86.29</v>
          </cell>
        </row>
        <row r="9705">
          <cell r="A9705" t="str">
            <v>SERVYRE</v>
          </cell>
          <cell r="B9705" t="str">
            <v>530-25004-016-0000</v>
          </cell>
          <cell r="J9705">
            <v>8407.2099999999991</v>
          </cell>
        </row>
        <row r="9706">
          <cell r="A9706" t="str">
            <v>SERVYRE</v>
          </cell>
          <cell r="B9706" t="str">
            <v>530-25004-017-0000</v>
          </cell>
          <cell r="J9706">
            <v>48628.75</v>
          </cell>
        </row>
        <row r="9707">
          <cell r="A9707" t="str">
            <v>SERVYRE</v>
          </cell>
          <cell r="B9707" t="str">
            <v>530-25004-055-0000</v>
          </cell>
          <cell r="J9707">
            <v>-5175277.75</v>
          </cell>
        </row>
        <row r="9708">
          <cell r="A9708" t="str">
            <v>SERVYRE</v>
          </cell>
          <cell r="B9708" t="str">
            <v>530-25005-000-0000</v>
          </cell>
          <cell r="J9708">
            <v>1208.44</v>
          </cell>
        </row>
        <row r="9709">
          <cell r="A9709" t="str">
            <v>SERVYRE</v>
          </cell>
          <cell r="B9709" t="str">
            <v>530-25005-003-0000</v>
          </cell>
          <cell r="J9709">
            <v>1208.44</v>
          </cell>
        </row>
        <row r="9710">
          <cell r="A9710" t="str">
            <v>SERVYRE</v>
          </cell>
          <cell r="B9710" t="str">
            <v>530-25007-000-0000</v>
          </cell>
          <cell r="J9710">
            <v>826.25</v>
          </cell>
        </row>
        <row r="9711">
          <cell r="A9711" t="str">
            <v>SERVYRE</v>
          </cell>
          <cell r="B9711" t="str">
            <v>530-25007-001-0000</v>
          </cell>
          <cell r="J9711">
            <v>801.8</v>
          </cell>
        </row>
        <row r="9712">
          <cell r="A9712" t="str">
            <v>SERVYRE</v>
          </cell>
          <cell r="B9712" t="str">
            <v>530-25007-001-0001</v>
          </cell>
          <cell r="J9712">
            <v>597.05999999999995</v>
          </cell>
        </row>
        <row r="9713">
          <cell r="A9713" t="str">
            <v>SERVYRE</v>
          </cell>
          <cell r="B9713" t="str">
            <v>530-25007-001-0002</v>
          </cell>
          <cell r="J9713">
            <v>49.74</v>
          </cell>
        </row>
        <row r="9714">
          <cell r="A9714" t="str">
            <v>SERVYRE</v>
          </cell>
          <cell r="B9714" t="str">
            <v>530-25007-001-0005</v>
          </cell>
          <cell r="J9714">
            <v>62.98</v>
          </cell>
        </row>
        <row r="9715">
          <cell r="A9715" t="str">
            <v>SERVYRE</v>
          </cell>
          <cell r="B9715" t="str">
            <v>530-25007-001-0006</v>
          </cell>
          <cell r="J9715">
            <v>62.98</v>
          </cell>
        </row>
        <row r="9716">
          <cell r="A9716" t="str">
            <v>SERVYRE</v>
          </cell>
          <cell r="B9716" t="str">
            <v>530-25007-001-0011</v>
          </cell>
          <cell r="J9716">
            <v>29.04</v>
          </cell>
        </row>
        <row r="9717">
          <cell r="A9717" t="str">
            <v>SERVYRE</v>
          </cell>
          <cell r="B9717" t="str">
            <v>530-25007-002-0000</v>
          </cell>
          <cell r="J9717">
            <v>205.63</v>
          </cell>
        </row>
        <row r="9718">
          <cell r="A9718" t="str">
            <v>SERVYRE</v>
          </cell>
          <cell r="B9718" t="str">
            <v>530-25007-002-0001</v>
          </cell>
          <cell r="J9718">
            <v>43.97</v>
          </cell>
        </row>
        <row r="9719">
          <cell r="A9719" t="str">
            <v>SERVYRE</v>
          </cell>
          <cell r="B9719" t="str">
            <v>530-25007-002-0002</v>
          </cell>
          <cell r="J9719">
            <v>87.01</v>
          </cell>
        </row>
        <row r="9720">
          <cell r="A9720" t="str">
            <v>SERVYRE</v>
          </cell>
          <cell r="B9720" t="str">
            <v>530-25007-002-0003</v>
          </cell>
          <cell r="J9720">
            <v>45.73</v>
          </cell>
        </row>
        <row r="9721">
          <cell r="A9721" t="str">
            <v>SERVYRE</v>
          </cell>
          <cell r="B9721" t="str">
            <v>530-25007-002-0004</v>
          </cell>
          <cell r="J9721">
            <v>28.92</v>
          </cell>
        </row>
        <row r="9722">
          <cell r="A9722" t="str">
            <v>SERVYRE</v>
          </cell>
          <cell r="B9722" t="str">
            <v>530-25007-061-0000</v>
          </cell>
          <cell r="J9722">
            <v>-181.18</v>
          </cell>
        </row>
        <row r="9723">
          <cell r="A9723" t="str">
            <v>SERVYRE</v>
          </cell>
          <cell r="B9723" t="str">
            <v>530-25009-000-0000</v>
          </cell>
          <cell r="J9723">
            <v>3396.43</v>
          </cell>
        </row>
        <row r="9724">
          <cell r="A9724" t="str">
            <v>SERVYRE</v>
          </cell>
          <cell r="B9724" t="str">
            <v>530-25009-001-0000</v>
          </cell>
          <cell r="J9724">
            <v>2934.8</v>
          </cell>
        </row>
        <row r="9725">
          <cell r="A9725" t="str">
            <v>SERVYRE</v>
          </cell>
          <cell r="B9725" t="str">
            <v>530-25009-001-0001</v>
          </cell>
          <cell r="J9725">
            <v>2595.4</v>
          </cell>
        </row>
        <row r="9726">
          <cell r="A9726" t="str">
            <v>SERVYRE</v>
          </cell>
          <cell r="B9726" t="str">
            <v>530-25009-001-0002</v>
          </cell>
          <cell r="J9726">
            <v>224.93</v>
          </cell>
        </row>
        <row r="9727">
          <cell r="A9727" t="str">
            <v>SERVYRE</v>
          </cell>
          <cell r="B9727" t="str">
            <v>530-25009-001-0011</v>
          </cell>
          <cell r="J9727">
            <v>114.47</v>
          </cell>
        </row>
        <row r="9728">
          <cell r="A9728" t="str">
            <v>SERVYRE</v>
          </cell>
          <cell r="B9728" t="str">
            <v>530-25009-002-0000</v>
          </cell>
          <cell r="J9728">
            <v>461.63</v>
          </cell>
        </row>
        <row r="9729">
          <cell r="A9729" t="str">
            <v>SERVYRE</v>
          </cell>
          <cell r="B9729" t="str">
            <v>530-25009-002-0001</v>
          </cell>
          <cell r="J9729">
            <v>357.02</v>
          </cell>
        </row>
        <row r="9730">
          <cell r="A9730" t="str">
            <v>SERVYRE</v>
          </cell>
          <cell r="B9730" t="str">
            <v>530-25009-002-0004</v>
          </cell>
          <cell r="J9730">
            <v>104.61</v>
          </cell>
        </row>
        <row r="9731">
          <cell r="A9731" t="str">
            <v>SERVYRE</v>
          </cell>
          <cell r="B9731" t="str">
            <v>530-25010-000-0000</v>
          </cell>
          <cell r="J9731">
            <v>3388.21</v>
          </cell>
        </row>
        <row r="9732">
          <cell r="A9732" t="str">
            <v>SERVYRE</v>
          </cell>
          <cell r="B9732" t="str">
            <v>530-25010-001-0000</v>
          </cell>
          <cell r="J9732">
            <v>2682.52</v>
          </cell>
        </row>
        <row r="9733">
          <cell r="A9733" t="str">
            <v>SERVYRE</v>
          </cell>
          <cell r="B9733" t="str">
            <v>530-25010-001-0001</v>
          </cell>
          <cell r="J9733">
            <v>2245.0500000000002</v>
          </cell>
        </row>
        <row r="9734">
          <cell r="A9734" t="str">
            <v>SERVYRE</v>
          </cell>
          <cell r="B9734" t="str">
            <v>530-25010-001-0002</v>
          </cell>
          <cell r="J9734">
            <v>191.07</v>
          </cell>
        </row>
        <row r="9735">
          <cell r="A9735" t="str">
            <v>SERVYRE</v>
          </cell>
          <cell r="B9735" t="str">
            <v>530-25010-001-0005</v>
          </cell>
          <cell r="J9735">
            <v>64.89</v>
          </cell>
        </row>
        <row r="9736">
          <cell r="A9736" t="str">
            <v>SERVYRE</v>
          </cell>
          <cell r="B9736" t="str">
            <v>530-25010-001-0006</v>
          </cell>
          <cell r="J9736">
            <v>64.89</v>
          </cell>
        </row>
        <row r="9737">
          <cell r="A9737" t="str">
            <v>SERVYRE</v>
          </cell>
          <cell r="B9737" t="str">
            <v>530-25010-001-0011</v>
          </cell>
          <cell r="J9737">
            <v>116.62</v>
          </cell>
        </row>
        <row r="9738">
          <cell r="A9738" t="str">
            <v>SERVYRE</v>
          </cell>
          <cell r="B9738" t="str">
            <v>530-25010-002-0000</v>
          </cell>
          <cell r="J9738">
            <v>758.92</v>
          </cell>
        </row>
        <row r="9739">
          <cell r="A9739" t="str">
            <v>SERVYRE</v>
          </cell>
          <cell r="B9739" t="str">
            <v>530-25010-002-0001</v>
          </cell>
          <cell r="J9739">
            <v>193.29</v>
          </cell>
        </row>
        <row r="9740">
          <cell r="A9740" t="str">
            <v>SERVYRE</v>
          </cell>
          <cell r="B9740" t="str">
            <v>530-25010-002-0002</v>
          </cell>
          <cell r="J9740">
            <v>295.83</v>
          </cell>
        </row>
        <row r="9741">
          <cell r="A9741" t="str">
            <v>SERVYRE</v>
          </cell>
          <cell r="B9741" t="str">
            <v>530-25010-002-0003</v>
          </cell>
          <cell r="J9741">
            <v>171.82</v>
          </cell>
        </row>
        <row r="9742">
          <cell r="A9742" t="str">
            <v>SERVYRE</v>
          </cell>
          <cell r="B9742" t="str">
            <v>530-25010-002-0004</v>
          </cell>
          <cell r="J9742">
            <v>97.98</v>
          </cell>
        </row>
        <row r="9743">
          <cell r="A9743" t="str">
            <v>SERVYRE</v>
          </cell>
          <cell r="B9743" t="str">
            <v>530-25010-061-0000</v>
          </cell>
          <cell r="J9743">
            <v>-53.23</v>
          </cell>
        </row>
        <row r="9744">
          <cell r="A9744" t="str">
            <v>SERVYRE</v>
          </cell>
          <cell r="B9744" t="str">
            <v>530-25012-000-0000</v>
          </cell>
          <cell r="J9744">
            <v>2083.02</v>
          </cell>
        </row>
        <row r="9745">
          <cell r="A9745" t="str">
            <v>SERVYRE</v>
          </cell>
          <cell r="B9745" t="str">
            <v>530-25012-001-0000</v>
          </cell>
          <cell r="J9745">
            <v>1656.88</v>
          </cell>
        </row>
        <row r="9746">
          <cell r="A9746" t="str">
            <v>SERVYRE</v>
          </cell>
          <cell r="B9746" t="str">
            <v>530-25012-001-0001</v>
          </cell>
          <cell r="J9746">
            <v>1214.22</v>
          </cell>
        </row>
        <row r="9747">
          <cell r="A9747" t="str">
            <v>SERVYRE</v>
          </cell>
          <cell r="B9747" t="str">
            <v>530-25012-001-0002</v>
          </cell>
          <cell r="J9747">
            <v>121.94</v>
          </cell>
        </row>
        <row r="9748">
          <cell r="A9748" t="str">
            <v>SERVYRE</v>
          </cell>
          <cell r="B9748" t="str">
            <v>530-25012-001-0005</v>
          </cell>
          <cell r="J9748">
            <v>133.78</v>
          </cell>
        </row>
        <row r="9749">
          <cell r="A9749" t="str">
            <v>SERVYRE</v>
          </cell>
          <cell r="B9749" t="str">
            <v>530-25012-001-0006</v>
          </cell>
          <cell r="J9749">
            <v>133.78</v>
          </cell>
        </row>
        <row r="9750">
          <cell r="A9750" t="str">
            <v>SERVYRE</v>
          </cell>
          <cell r="B9750" t="str">
            <v>530-25012-001-0011</v>
          </cell>
          <cell r="J9750">
            <v>53.16</v>
          </cell>
        </row>
        <row r="9751">
          <cell r="A9751" t="str">
            <v>SERVYRE</v>
          </cell>
          <cell r="B9751" t="str">
            <v>530-25012-002-0000</v>
          </cell>
          <cell r="J9751">
            <v>426.14</v>
          </cell>
        </row>
        <row r="9752">
          <cell r="A9752" t="str">
            <v>SERVYRE</v>
          </cell>
          <cell r="B9752" t="str">
            <v>530-25012-002-0001</v>
          </cell>
          <cell r="J9752">
            <v>94.99</v>
          </cell>
        </row>
        <row r="9753">
          <cell r="A9753" t="str">
            <v>SERVYRE</v>
          </cell>
          <cell r="B9753" t="str">
            <v>530-25012-002-0002</v>
          </cell>
          <cell r="J9753">
            <v>178.09</v>
          </cell>
        </row>
        <row r="9754">
          <cell r="A9754" t="str">
            <v>SERVYRE</v>
          </cell>
          <cell r="B9754" t="str">
            <v>530-25012-002-0003</v>
          </cell>
          <cell r="J9754">
            <v>93.61</v>
          </cell>
        </row>
        <row r="9755">
          <cell r="A9755" t="str">
            <v>SERVYRE</v>
          </cell>
          <cell r="B9755" t="str">
            <v>530-25012-002-0004</v>
          </cell>
          <cell r="J9755">
            <v>59.45</v>
          </cell>
        </row>
        <row r="9756">
          <cell r="A9756" t="str">
            <v>SERVYRE</v>
          </cell>
          <cell r="B9756" t="str">
            <v>530-25013-000-0000</v>
          </cell>
          <cell r="J9756">
            <v>142325.96</v>
          </cell>
        </row>
        <row r="9757">
          <cell r="A9757" t="str">
            <v>SERVYRE</v>
          </cell>
          <cell r="B9757" t="str">
            <v>530-25013-017-0000</v>
          </cell>
          <cell r="J9757">
            <v>142325.96</v>
          </cell>
        </row>
        <row r="9758">
          <cell r="A9758" t="str">
            <v>SERVYRE</v>
          </cell>
          <cell r="B9758" t="str">
            <v>530-25015-000-0000</v>
          </cell>
          <cell r="J9758">
            <v>-62559.73</v>
          </cell>
        </row>
        <row r="9759">
          <cell r="A9759" t="str">
            <v>SERVYRE</v>
          </cell>
          <cell r="B9759" t="str">
            <v>530-25015-001-0000</v>
          </cell>
          <cell r="J9759">
            <v>13356.82</v>
          </cell>
        </row>
        <row r="9760">
          <cell r="A9760" t="str">
            <v>SERVYRE</v>
          </cell>
          <cell r="B9760" t="str">
            <v>530-25015-001-0001</v>
          </cell>
          <cell r="J9760">
            <v>9883.11</v>
          </cell>
        </row>
        <row r="9761">
          <cell r="A9761" t="str">
            <v>SERVYRE</v>
          </cell>
          <cell r="B9761" t="str">
            <v>530-25015-001-0002</v>
          </cell>
          <cell r="J9761">
            <v>962.65</v>
          </cell>
        </row>
        <row r="9762">
          <cell r="A9762" t="str">
            <v>SERVYRE</v>
          </cell>
          <cell r="B9762" t="str">
            <v>530-25015-001-0005</v>
          </cell>
          <cell r="J9762">
            <v>1056.1600000000001</v>
          </cell>
        </row>
        <row r="9763">
          <cell r="A9763" t="str">
            <v>SERVYRE</v>
          </cell>
          <cell r="B9763" t="str">
            <v>530-25015-001-0006</v>
          </cell>
          <cell r="J9763">
            <v>1056.1600000000001</v>
          </cell>
        </row>
        <row r="9764">
          <cell r="A9764" t="str">
            <v>SERVYRE</v>
          </cell>
          <cell r="B9764" t="str">
            <v>530-25015-001-0011</v>
          </cell>
          <cell r="J9764">
            <v>398.74</v>
          </cell>
        </row>
        <row r="9765">
          <cell r="A9765" t="str">
            <v>SERVYRE</v>
          </cell>
          <cell r="B9765" t="str">
            <v>530-25015-002-0000</v>
          </cell>
          <cell r="J9765">
            <v>2339.96</v>
          </cell>
        </row>
        <row r="9766">
          <cell r="A9766" t="str">
            <v>SERVYRE</v>
          </cell>
          <cell r="B9766" t="str">
            <v>530-25015-002-0001</v>
          </cell>
          <cell r="J9766">
            <v>1044.51</v>
          </cell>
        </row>
        <row r="9767">
          <cell r="A9767" t="str">
            <v>SERVYRE</v>
          </cell>
          <cell r="B9767" t="str">
            <v>530-25015-002-0002</v>
          </cell>
          <cell r="J9767">
            <v>534.28</v>
          </cell>
        </row>
        <row r="9768">
          <cell r="A9768" t="str">
            <v>SERVYRE</v>
          </cell>
          <cell r="B9768" t="str">
            <v>530-25015-002-0003</v>
          </cell>
          <cell r="J9768">
            <v>280.82</v>
          </cell>
        </row>
        <row r="9769">
          <cell r="A9769" t="str">
            <v>SERVYRE</v>
          </cell>
          <cell r="B9769" t="str">
            <v>530-25015-002-0004</v>
          </cell>
          <cell r="J9769">
            <v>480.35</v>
          </cell>
        </row>
        <row r="9770">
          <cell r="A9770" t="str">
            <v>SERVYRE</v>
          </cell>
          <cell r="B9770" t="str">
            <v>530-25015-003-0000</v>
          </cell>
          <cell r="J9770">
            <v>933.65</v>
          </cell>
        </row>
        <row r="9771">
          <cell r="A9771" t="str">
            <v>SERVYRE</v>
          </cell>
          <cell r="B9771" t="str">
            <v>530-25015-017-0000</v>
          </cell>
          <cell r="J9771">
            <v>105013.42</v>
          </cell>
        </row>
        <row r="9772">
          <cell r="A9772" t="str">
            <v>SERVYRE</v>
          </cell>
          <cell r="B9772" t="str">
            <v>530-25015-055-0000</v>
          </cell>
          <cell r="J9772">
            <v>-184203.58</v>
          </cell>
        </row>
        <row r="9773">
          <cell r="A9773" t="str">
            <v>SERVYRE</v>
          </cell>
          <cell r="B9773" t="str">
            <v>530-25016-000-0000</v>
          </cell>
          <cell r="J9773">
            <v>29321.68</v>
          </cell>
        </row>
        <row r="9774">
          <cell r="A9774" t="str">
            <v>SERVYRE</v>
          </cell>
          <cell r="B9774" t="str">
            <v>530-25016-017-0000</v>
          </cell>
          <cell r="J9774">
            <v>29321.68</v>
          </cell>
        </row>
        <row r="9775">
          <cell r="A9775" t="str">
            <v>SERVYRE</v>
          </cell>
          <cell r="B9775" t="str">
            <v>530-25017-000-0000</v>
          </cell>
          <cell r="J9775">
            <v>35111.019999999997</v>
          </cell>
        </row>
        <row r="9776">
          <cell r="A9776" t="str">
            <v>SERVYRE</v>
          </cell>
          <cell r="B9776" t="str">
            <v>530-25017-017-0000</v>
          </cell>
          <cell r="J9776">
            <v>296233.44</v>
          </cell>
        </row>
        <row r="9777">
          <cell r="A9777" t="str">
            <v>SERVYRE</v>
          </cell>
          <cell r="B9777" t="str">
            <v>530-25017-055-0000</v>
          </cell>
          <cell r="J9777">
            <v>-261122.42</v>
          </cell>
        </row>
        <row r="9778">
          <cell r="A9778" t="str">
            <v>SERVYRE</v>
          </cell>
          <cell r="B9778" t="str">
            <v>530-25018-000-0000</v>
          </cell>
          <cell r="J9778">
            <v>63777.68</v>
          </cell>
        </row>
        <row r="9779">
          <cell r="A9779" t="str">
            <v>SERVYRE</v>
          </cell>
          <cell r="B9779" t="str">
            <v>530-25018-001-0000</v>
          </cell>
          <cell r="J9779">
            <v>9942.11</v>
          </cell>
        </row>
        <row r="9780">
          <cell r="A9780" t="str">
            <v>SERVYRE</v>
          </cell>
          <cell r="B9780" t="str">
            <v>530-25018-001-0001</v>
          </cell>
          <cell r="J9780">
            <v>7373.44</v>
          </cell>
        </row>
        <row r="9781">
          <cell r="A9781" t="str">
            <v>SERVYRE</v>
          </cell>
          <cell r="B9781" t="str">
            <v>530-25018-001-0002</v>
          </cell>
          <cell r="J9781">
            <v>673.18</v>
          </cell>
        </row>
        <row r="9782">
          <cell r="A9782" t="str">
            <v>SERVYRE</v>
          </cell>
          <cell r="B9782" t="str">
            <v>530-25018-001-0005</v>
          </cell>
          <cell r="J9782">
            <v>667.59</v>
          </cell>
        </row>
        <row r="9783">
          <cell r="A9783" t="str">
            <v>SERVYRE</v>
          </cell>
          <cell r="B9783" t="str">
            <v>530-25018-001-0006</v>
          </cell>
          <cell r="J9783">
            <v>667.59</v>
          </cell>
        </row>
        <row r="9784">
          <cell r="A9784" t="str">
            <v>SERVYRE</v>
          </cell>
          <cell r="B9784" t="str">
            <v>530-25018-001-0011</v>
          </cell>
          <cell r="J9784">
            <v>560.30999999999995</v>
          </cell>
        </row>
        <row r="9785">
          <cell r="A9785" t="str">
            <v>SERVYRE</v>
          </cell>
          <cell r="B9785" t="str">
            <v>530-25018-002-0000</v>
          </cell>
          <cell r="J9785">
            <v>2861.28</v>
          </cell>
        </row>
        <row r="9786">
          <cell r="A9786" t="str">
            <v>SERVYRE</v>
          </cell>
          <cell r="B9786" t="str">
            <v>530-25018-002-0001</v>
          </cell>
          <cell r="J9786">
            <v>1067.56</v>
          </cell>
        </row>
        <row r="9787">
          <cell r="A9787" t="str">
            <v>SERVYRE</v>
          </cell>
          <cell r="B9787" t="str">
            <v>530-25018-002-0002</v>
          </cell>
          <cell r="J9787">
            <v>930.49</v>
          </cell>
        </row>
        <row r="9788">
          <cell r="A9788" t="str">
            <v>SERVYRE</v>
          </cell>
          <cell r="B9788" t="str">
            <v>530-25018-002-0003</v>
          </cell>
          <cell r="J9788">
            <v>514.89</v>
          </cell>
        </row>
        <row r="9789">
          <cell r="A9789" t="str">
            <v>SERVYRE</v>
          </cell>
          <cell r="B9789" t="str">
            <v>530-25018-002-0004</v>
          </cell>
          <cell r="J9789">
            <v>348.34</v>
          </cell>
        </row>
        <row r="9790">
          <cell r="A9790" t="str">
            <v>SERVYRE</v>
          </cell>
          <cell r="B9790" t="str">
            <v>530-25018-017-0000</v>
          </cell>
          <cell r="J9790">
            <v>30280.75</v>
          </cell>
        </row>
        <row r="9791">
          <cell r="A9791" t="str">
            <v>SERVYRE</v>
          </cell>
          <cell r="B9791" t="str">
            <v>530-25018-054-0000</v>
          </cell>
          <cell r="J9791">
            <v>20693.54</v>
          </cell>
        </row>
        <row r="9792">
          <cell r="A9792" t="str">
            <v>SERVYRE</v>
          </cell>
          <cell r="B9792" t="str">
            <v>530-25018-054-0006</v>
          </cell>
          <cell r="J9792">
            <v>20693.54</v>
          </cell>
        </row>
        <row r="9793">
          <cell r="A9793" t="str">
            <v>SERVYRE</v>
          </cell>
          <cell r="B9793" t="str">
            <v>530-25019-000-0000</v>
          </cell>
          <cell r="J9793">
            <v>31985.58</v>
          </cell>
        </row>
        <row r="9794">
          <cell r="A9794" t="str">
            <v>SERVYRE</v>
          </cell>
          <cell r="B9794" t="str">
            <v>530-25019-017-0000</v>
          </cell>
          <cell r="J9794">
            <v>16970.580000000002</v>
          </cell>
        </row>
        <row r="9795">
          <cell r="A9795" t="str">
            <v>SERVYRE</v>
          </cell>
          <cell r="B9795" t="str">
            <v>530-25019-054-0000</v>
          </cell>
          <cell r="J9795">
            <v>15015</v>
          </cell>
        </row>
        <row r="9796">
          <cell r="A9796" t="str">
            <v>SERVYRE</v>
          </cell>
          <cell r="B9796" t="str">
            <v>530-25019-054-0006</v>
          </cell>
          <cell r="J9796">
            <v>15015</v>
          </cell>
        </row>
        <row r="9797">
          <cell r="A9797" t="str">
            <v>SERVYRE</v>
          </cell>
          <cell r="B9797" t="str">
            <v>530-25020-000-0000</v>
          </cell>
          <cell r="J9797">
            <v>253438.78</v>
          </cell>
        </row>
        <row r="9798">
          <cell r="A9798" t="str">
            <v>SERVYRE</v>
          </cell>
          <cell r="B9798" t="str">
            <v>530-25020-055-0000</v>
          </cell>
          <cell r="J9798">
            <v>253438.78</v>
          </cell>
        </row>
        <row r="9799">
          <cell r="A9799" t="str">
            <v>SERVYRE</v>
          </cell>
          <cell r="B9799" t="str">
            <v>530-25022-000-0000</v>
          </cell>
          <cell r="J9799">
            <v>235117.12</v>
          </cell>
        </row>
        <row r="9800">
          <cell r="A9800" t="str">
            <v>SERVYRE</v>
          </cell>
          <cell r="B9800" t="str">
            <v>530-25022-055-0000</v>
          </cell>
          <cell r="J9800">
            <v>235117.12</v>
          </cell>
        </row>
        <row r="9801">
          <cell r="A9801" t="str">
            <v>SERVYRE</v>
          </cell>
          <cell r="B9801" t="str">
            <v>530-25023-000-0000</v>
          </cell>
          <cell r="J9801">
            <v>-301052.67</v>
          </cell>
        </row>
        <row r="9802">
          <cell r="A9802" t="str">
            <v>SERVYRE</v>
          </cell>
          <cell r="B9802" t="str">
            <v>530-25023-017-0000</v>
          </cell>
          <cell r="J9802">
            <v>90247.88</v>
          </cell>
        </row>
        <row r="9803">
          <cell r="A9803" t="str">
            <v>SERVYRE</v>
          </cell>
          <cell r="B9803" t="str">
            <v>530-25023-055-0000</v>
          </cell>
          <cell r="J9803">
            <v>-391300.55</v>
          </cell>
        </row>
        <row r="9804">
          <cell r="A9804" t="str">
            <v>SERVYRE</v>
          </cell>
          <cell r="B9804" t="str">
            <v>530-25024-000-0000</v>
          </cell>
          <cell r="J9804">
            <v>-24111.200000000001</v>
          </cell>
        </row>
        <row r="9805">
          <cell r="A9805" t="str">
            <v>SERVYRE</v>
          </cell>
          <cell r="B9805" t="str">
            <v>530-25024-055-0000</v>
          </cell>
          <cell r="J9805">
            <v>-24111.200000000001</v>
          </cell>
        </row>
        <row r="9806">
          <cell r="A9806" t="str">
            <v>SERVYRE</v>
          </cell>
          <cell r="B9806" t="str">
            <v>530-25025-000-0000</v>
          </cell>
          <cell r="J9806">
            <v>873759.85</v>
          </cell>
        </row>
        <row r="9807">
          <cell r="A9807" t="str">
            <v>SERVYRE</v>
          </cell>
          <cell r="B9807" t="str">
            <v>530-25025-001-0000</v>
          </cell>
          <cell r="J9807">
            <v>675871.32</v>
          </cell>
        </row>
        <row r="9808">
          <cell r="A9808" t="str">
            <v>SERVYRE</v>
          </cell>
          <cell r="B9808" t="str">
            <v>530-25025-001-0001</v>
          </cell>
          <cell r="J9808">
            <v>541780.36</v>
          </cell>
        </row>
        <row r="9809">
          <cell r="A9809" t="str">
            <v>SERVYRE</v>
          </cell>
          <cell r="B9809" t="str">
            <v>530-25025-001-0002</v>
          </cell>
          <cell r="J9809">
            <v>54500.83</v>
          </cell>
        </row>
        <row r="9810">
          <cell r="A9810" t="str">
            <v>SERVYRE</v>
          </cell>
          <cell r="B9810" t="str">
            <v>530-25025-001-0004</v>
          </cell>
          <cell r="J9810">
            <v>35.83</v>
          </cell>
        </row>
        <row r="9811">
          <cell r="A9811" t="str">
            <v>SERVYRE</v>
          </cell>
          <cell r="B9811" t="str">
            <v>530-25025-001-0005</v>
          </cell>
          <cell r="J9811">
            <v>26233.99</v>
          </cell>
        </row>
        <row r="9812">
          <cell r="A9812" t="str">
            <v>SERVYRE</v>
          </cell>
          <cell r="B9812" t="str">
            <v>530-25025-001-0006</v>
          </cell>
          <cell r="J9812">
            <v>26233.99</v>
          </cell>
        </row>
        <row r="9813">
          <cell r="A9813" t="str">
            <v>SERVYRE</v>
          </cell>
          <cell r="B9813" t="str">
            <v>530-25025-001-0009</v>
          </cell>
          <cell r="J9813">
            <v>1272.18</v>
          </cell>
        </row>
        <row r="9814">
          <cell r="A9814" t="str">
            <v>SERVYRE</v>
          </cell>
          <cell r="B9814" t="str">
            <v>530-25025-001-0011</v>
          </cell>
          <cell r="J9814">
            <v>25814.14</v>
          </cell>
        </row>
        <row r="9815">
          <cell r="A9815" t="str">
            <v>SERVYRE</v>
          </cell>
          <cell r="B9815" t="str">
            <v>530-25025-002-0000</v>
          </cell>
          <cell r="J9815">
            <v>173557.55</v>
          </cell>
        </row>
        <row r="9816">
          <cell r="A9816" t="str">
            <v>SERVYRE</v>
          </cell>
          <cell r="B9816" t="str">
            <v>530-25025-002-0001</v>
          </cell>
          <cell r="J9816">
            <v>66275.55</v>
          </cell>
        </row>
        <row r="9817">
          <cell r="A9817" t="str">
            <v>SERVYRE</v>
          </cell>
          <cell r="B9817" t="str">
            <v>530-25025-002-0002</v>
          </cell>
          <cell r="J9817">
            <v>52074.01</v>
          </cell>
        </row>
        <row r="9818">
          <cell r="A9818" t="str">
            <v>SERVYRE</v>
          </cell>
          <cell r="B9818" t="str">
            <v>530-25025-002-0003</v>
          </cell>
          <cell r="J9818">
            <v>31164.21</v>
          </cell>
        </row>
        <row r="9819">
          <cell r="A9819" t="str">
            <v>SERVYRE</v>
          </cell>
          <cell r="B9819" t="str">
            <v>530-25025-002-0004</v>
          </cell>
          <cell r="J9819">
            <v>24043.78</v>
          </cell>
        </row>
        <row r="9820">
          <cell r="A9820" t="str">
            <v>SERVYRE</v>
          </cell>
          <cell r="B9820" t="str">
            <v>530-25025-003-0000</v>
          </cell>
          <cell r="J9820">
            <v>52336.43</v>
          </cell>
        </row>
        <row r="9821">
          <cell r="A9821" t="str">
            <v>SERVYRE</v>
          </cell>
          <cell r="B9821" t="str">
            <v>530-25025-054-0000</v>
          </cell>
          <cell r="J9821">
            <v>-14405.54</v>
          </cell>
        </row>
        <row r="9822">
          <cell r="A9822" t="str">
            <v>SERVYRE</v>
          </cell>
          <cell r="B9822" t="str">
            <v>530-25025-054-0006</v>
          </cell>
          <cell r="J9822">
            <v>-14405.54</v>
          </cell>
        </row>
        <row r="9823">
          <cell r="A9823" t="str">
            <v>SERVYRE</v>
          </cell>
          <cell r="B9823" t="str">
            <v>530-25025-061-0000</v>
          </cell>
          <cell r="J9823">
            <v>-13599.91</v>
          </cell>
        </row>
        <row r="9824">
          <cell r="A9824" t="str">
            <v>SERVYRE</v>
          </cell>
          <cell r="B9824" t="str">
            <v>530-25027-000-0000</v>
          </cell>
          <cell r="J9824">
            <v>21817.51</v>
          </cell>
        </row>
        <row r="9825">
          <cell r="A9825" t="str">
            <v>SERVYRE</v>
          </cell>
          <cell r="B9825" t="str">
            <v>530-25027-001-0000</v>
          </cell>
          <cell r="J9825">
            <v>7054.88</v>
          </cell>
        </row>
        <row r="9826">
          <cell r="A9826" t="str">
            <v>SERVYRE</v>
          </cell>
          <cell r="B9826" t="str">
            <v>530-25027-001-0001</v>
          </cell>
          <cell r="J9826">
            <v>773.07</v>
          </cell>
        </row>
        <row r="9827">
          <cell r="A9827" t="str">
            <v>SERVYRE</v>
          </cell>
          <cell r="B9827" t="str">
            <v>530-25027-001-0002</v>
          </cell>
          <cell r="J9827">
            <v>4116.47</v>
          </cell>
        </row>
        <row r="9828">
          <cell r="A9828" t="str">
            <v>SERVYRE</v>
          </cell>
          <cell r="B9828" t="str">
            <v>530-25027-001-0011</v>
          </cell>
          <cell r="J9828">
            <v>2165.34</v>
          </cell>
        </row>
        <row r="9829">
          <cell r="A9829" t="str">
            <v>SERVYRE</v>
          </cell>
          <cell r="B9829" t="str">
            <v>530-25027-002-0000</v>
          </cell>
          <cell r="J9829">
            <v>5160.57</v>
          </cell>
        </row>
        <row r="9830">
          <cell r="A9830" t="str">
            <v>SERVYRE</v>
          </cell>
          <cell r="B9830" t="str">
            <v>530-25027-002-0001</v>
          </cell>
          <cell r="J9830">
            <v>1036.69</v>
          </cell>
        </row>
        <row r="9831">
          <cell r="A9831" t="str">
            <v>SERVYRE</v>
          </cell>
          <cell r="B9831" t="str">
            <v>530-25027-002-0002</v>
          </cell>
          <cell r="J9831">
            <v>1609.8</v>
          </cell>
        </row>
        <row r="9832">
          <cell r="A9832" t="str">
            <v>SERVYRE</v>
          </cell>
          <cell r="B9832" t="str">
            <v>530-25027-002-0003</v>
          </cell>
          <cell r="J9832">
            <v>2320.06</v>
          </cell>
        </row>
        <row r="9833">
          <cell r="A9833" t="str">
            <v>SERVYRE</v>
          </cell>
          <cell r="B9833" t="str">
            <v>530-25027-002-0004</v>
          </cell>
          <cell r="J9833">
            <v>194.02</v>
          </cell>
        </row>
        <row r="9834">
          <cell r="A9834" t="str">
            <v>SERVYRE</v>
          </cell>
          <cell r="B9834" t="str">
            <v>530-25027-003-0000</v>
          </cell>
          <cell r="J9834">
            <v>9602.06</v>
          </cell>
        </row>
        <row r="9835">
          <cell r="A9835" t="str">
            <v>SERVYRE</v>
          </cell>
          <cell r="B9835" t="str">
            <v>530-25028-000-0000</v>
          </cell>
          <cell r="J9835">
            <v>38521.71</v>
          </cell>
        </row>
        <row r="9836">
          <cell r="A9836" t="str">
            <v>SERVYRE</v>
          </cell>
          <cell r="B9836" t="str">
            <v>530-25028-001-0000</v>
          </cell>
          <cell r="J9836">
            <v>30963.83</v>
          </cell>
        </row>
        <row r="9837">
          <cell r="A9837" t="str">
            <v>SERVYRE</v>
          </cell>
          <cell r="B9837" t="str">
            <v>530-25028-001-0001</v>
          </cell>
          <cell r="J9837">
            <v>20497.810000000001</v>
          </cell>
        </row>
        <row r="9838">
          <cell r="A9838" t="str">
            <v>SERVYRE</v>
          </cell>
          <cell r="B9838" t="str">
            <v>530-25028-001-0002</v>
          </cell>
          <cell r="J9838">
            <v>1983.63</v>
          </cell>
        </row>
        <row r="9839">
          <cell r="A9839" t="str">
            <v>SERVYRE</v>
          </cell>
          <cell r="B9839" t="str">
            <v>530-25028-001-0005</v>
          </cell>
          <cell r="J9839">
            <v>2449.83</v>
          </cell>
        </row>
        <row r="9840">
          <cell r="A9840" t="str">
            <v>SERVYRE</v>
          </cell>
          <cell r="B9840" t="str">
            <v>530-25028-001-0006</v>
          </cell>
          <cell r="J9840">
            <v>2449.83</v>
          </cell>
        </row>
        <row r="9841">
          <cell r="A9841" t="str">
            <v>SERVYRE</v>
          </cell>
          <cell r="B9841" t="str">
            <v>530-25028-001-0009</v>
          </cell>
          <cell r="J9841">
            <v>2748.45</v>
          </cell>
        </row>
        <row r="9842">
          <cell r="A9842" t="str">
            <v>SERVYRE</v>
          </cell>
          <cell r="B9842" t="str">
            <v>530-25028-001-0011</v>
          </cell>
          <cell r="J9842">
            <v>834.28</v>
          </cell>
        </row>
        <row r="9843">
          <cell r="A9843" t="str">
            <v>SERVYRE</v>
          </cell>
          <cell r="B9843" t="str">
            <v>530-25028-002-0000</v>
          </cell>
          <cell r="J9843">
            <v>8042.47</v>
          </cell>
        </row>
        <row r="9844">
          <cell r="A9844" t="str">
            <v>SERVYRE</v>
          </cell>
          <cell r="B9844" t="str">
            <v>530-25028-002-0001</v>
          </cell>
          <cell r="J9844">
            <v>2769.47</v>
          </cell>
        </row>
        <row r="9845">
          <cell r="A9845" t="str">
            <v>SERVYRE</v>
          </cell>
          <cell r="B9845" t="str">
            <v>530-25028-002-0002</v>
          </cell>
          <cell r="J9845">
            <v>2718.39</v>
          </cell>
        </row>
        <row r="9846">
          <cell r="A9846" t="str">
            <v>SERVYRE</v>
          </cell>
          <cell r="B9846" t="str">
            <v>530-25028-002-0003</v>
          </cell>
          <cell r="J9846">
            <v>1428.77</v>
          </cell>
        </row>
        <row r="9847">
          <cell r="A9847" t="str">
            <v>SERVYRE</v>
          </cell>
          <cell r="B9847" t="str">
            <v>530-25028-002-0004</v>
          </cell>
          <cell r="J9847">
            <v>1125.8399999999999</v>
          </cell>
        </row>
        <row r="9848">
          <cell r="A9848" t="str">
            <v>SERVYRE</v>
          </cell>
          <cell r="B9848" t="str">
            <v>530-25028-003-0000</v>
          </cell>
          <cell r="J9848">
            <v>1886.84</v>
          </cell>
        </row>
        <row r="9849">
          <cell r="A9849" t="str">
            <v>SERVYRE</v>
          </cell>
          <cell r="B9849" t="str">
            <v>530-25028-061-0000</v>
          </cell>
          <cell r="J9849">
            <v>-2371.4299999999998</v>
          </cell>
        </row>
        <row r="9850">
          <cell r="A9850" t="str">
            <v>SERVYRE</v>
          </cell>
          <cell r="B9850" t="str">
            <v>530-25029-000-0000</v>
          </cell>
          <cell r="J9850">
            <v>-1977806.35</v>
          </cell>
        </row>
        <row r="9851">
          <cell r="A9851" t="str">
            <v>SERVYRE</v>
          </cell>
          <cell r="B9851" t="str">
            <v>530-25029-017-0000</v>
          </cell>
          <cell r="J9851">
            <v>170045.7</v>
          </cell>
        </row>
        <row r="9852">
          <cell r="A9852" t="str">
            <v>SERVYRE</v>
          </cell>
          <cell r="B9852" t="str">
            <v>530-25029-055-0000</v>
          </cell>
          <cell r="J9852">
            <v>-2147852.0499999998</v>
          </cell>
        </row>
        <row r="9853">
          <cell r="A9853" t="str">
            <v>SERVYRE</v>
          </cell>
          <cell r="B9853" t="str">
            <v>530-25031-000-0000</v>
          </cell>
          <cell r="J9853">
            <v>94612.24</v>
          </cell>
        </row>
        <row r="9854">
          <cell r="A9854" t="str">
            <v>SERVYRE</v>
          </cell>
          <cell r="B9854" t="str">
            <v>530-25031-001-0000</v>
          </cell>
          <cell r="J9854">
            <v>67290.41</v>
          </cell>
        </row>
        <row r="9855">
          <cell r="A9855" t="str">
            <v>SERVYRE</v>
          </cell>
          <cell r="B9855" t="str">
            <v>530-25031-001-0001</v>
          </cell>
          <cell r="J9855">
            <v>49329.27</v>
          </cell>
        </row>
        <row r="9856">
          <cell r="A9856" t="str">
            <v>SERVYRE</v>
          </cell>
          <cell r="B9856" t="str">
            <v>530-25031-001-0002</v>
          </cell>
          <cell r="J9856">
            <v>4807.8900000000003</v>
          </cell>
        </row>
        <row r="9857">
          <cell r="A9857" t="str">
            <v>SERVYRE</v>
          </cell>
          <cell r="B9857" t="str">
            <v>530-25031-001-0005</v>
          </cell>
          <cell r="J9857">
            <v>5274.9</v>
          </cell>
        </row>
        <row r="9858">
          <cell r="A9858" t="str">
            <v>SERVYRE</v>
          </cell>
          <cell r="B9858" t="str">
            <v>530-25031-001-0006</v>
          </cell>
          <cell r="J9858">
            <v>5274.9</v>
          </cell>
        </row>
        <row r="9859">
          <cell r="A9859" t="str">
            <v>SERVYRE</v>
          </cell>
          <cell r="B9859" t="str">
            <v>530-25031-001-0011</v>
          </cell>
          <cell r="J9859">
            <v>2603.4499999999998</v>
          </cell>
        </row>
        <row r="9860">
          <cell r="A9860" t="str">
            <v>SERVYRE</v>
          </cell>
          <cell r="B9860" t="str">
            <v>530-25031-002-0000</v>
          </cell>
          <cell r="J9860">
            <v>15956.53</v>
          </cell>
        </row>
        <row r="9861">
          <cell r="A9861" t="str">
            <v>SERVYRE</v>
          </cell>
          <cell r="B9861" t="str">
            <v>530-25031-002-0001</v>
          </cell>
          <cell r="J9861">
            <v>5119.78</v>
          </cell>
        </row>
        <row r="9862">
          <cell r="A9862" t="str">
            <v>SERVYRE</v>
          </cell>
          <cell r="B9862" t="str">
            <v>530-25031-002-0002</v>
          </cell>
          <cell r="J9862">
            <v>5531.5</v>
          </cell>
        </row>
        <row r="9863">
          <cell r="A9863" t="str">
            <v>SERVYRE</v>
          </cell>
          <cell r="B9863" t="str">
            <v>530-25031-002-0003</v>
          </cell>
          <cell r="J9863">
            <v>2907.33</v>
          </cell>
        </row>
        <row r="9864">
          <cell r="A9864" t="str">
            <v>SERVYRE</v>
          </cell>
          <cell r="B9864" t="str">
            <v>530-25031-002-0004</v>
          </cell>
          <cell r="J9864">
            <v>2397.92</v>
          </cell>
        </row>
        <row r="9865">
          <cell r="A9865" t="str">
            <v>SERVYRE</v>
          </cell>
          <cell r="B9865" t="str">
            <v>530-25031-003-0000</v>
          </cell>
          <cell r="J9865">
            <v>11365.3</v>
          </cell>
        </row>
        <row r="9866">
          <cell r="A9866" t="str">
            <v>SERVYRE</v>
          </cell>
          <cell r="B9866" t="str">
            <v>530-25032-000-0000</v>
          </cell>
          <cell r="J9866">
            <v>2700.48</v>
          </cell>
        </row>
        <row r="9867">
          <cell r="A9867" t="str">
            <v>SERVYRE</v>
          </cell>
          <cell r="B9867" t="str">
            <v>530-25032-001-0000</v>
          </cell>
          <cell r="J9867">
            <v>2377.66</v>
          </cell>
        </row>
        <row r="9868">
          <cell r="A9868" t="str">
            <v>SERVYRE</v>
          </cell>
          <cell r="B9868" t="str">
            <v>530-25032-001-0001</v>
          </cell>
          <cell r="J9868">
            <v>1769.56</v>
          </cell>
        </row>
        <row r="9869">
          <cell r="A9869" t="str">
            <v>SERVYRE</v>
          </cell>
          <cell r="B9869" t="str">
            <v>530-25032-001-0002</v>
          </cell>
          <cell r="J9869">
            <v>162.72</v>
          </cell>
        </row>
        <row r="9870">
          <cell r="A9870" t="str">
            <v>SERVYRE</v>
          </cell>
          <cell r="B9870" t="str">
            <v>530-25032-001-0005</v>
          </cell>
          <cell r="J9870">
            <v>144.1</v>
          </cell>
        </row>
        <row r="9871">
          <cell r="A9871" t="str">
            <v>SERVYRE</v>
          </cell>
          <cell r="B9871" t="str">
            <v>530-25032-001-0006</v>
          </cell>
          <cell r="J9871">
            <v>144.1</v>
          </cell>
        </row>
        <row r="9872">
          <cell r="A9872" t="str">
            <v>SERVYRE</v>
          </cell>
          <cell r="B9872" t="str">
            <v>530-25032-001-0011</v>
          </cell>
          <cell r="J9872">
            <v>157.18</v>
          </cell>
        </row>
        <row r="9873">
          <cell r="A9873" t="str">
            <v>SERVYRE</v>
          </cell>
          <cell r="B9873" t="str">
            <v>530-25032-002-0000</v>
          </cell>
          <cell r="J9873">
            <v>535.5</v>
          </cell>
        </row>
        <row r="9874">
          <cell r="A9874" t="str">
            <v>SERVYRE</v>
          </cell>
          <cell r="B9874" t="str">
            <v>530-25032-002-0001</v>
          </cell>
          <cell r="J9874">
            <v>221.88</v>
          </cell>
        </row>
        <row r="9875">
          <cell r="A9875" t="str">
            <v>SERVYRE</v>
          </cell>
          <cell r="B9875" t="str">
            <v>530-25032-002-0002</v>
          </cell>
          <cell r="J9875">
            <v>151.61000000000001</v>
          </cell>
        </row>
        <row r="9876">
          <cell r="A9876" t="str">
            <v>SERVYRE</v>
          </cell>
          <cell r="B9876" t="str">
            <v>530-25032-002-0003</v>
          </cell>
          <cell r="J9876">
            <v>79.69</v>
          </cell>
        </row>
        <row r="9877">
          <cell r="A9877" t="str">
            <v>SERVYRE</v>
          </cell>
          <cell r="B9877" t="str">
            <v>530-25032-002-0004</v>
          </cell>
          <cell r="J9877">
            <v>82.32</v>
          </cell>
        </row>
        <row r="9878">
          <cell r="A9878" t="str">
            <v>SERVYRE</v>
          </cell>
          <cell r="B9878" t="str">
            <v>530-25032-003-0000</v>
          </cell>
          <cell r="J9878">
            <v>90.58</v>
          </cell>
        </row>
        <row r="9879">
          <cell r="A9879" t="str">
            <v>SERVYRE</v>
          </cell>
          <cell r="B9879" t="str">
            <v>530-25032-061-0000</v>
          </cell>
          <cell r="J9879">
            <v>-303.26</v>
          </cell>
        </row>
        <row r="9880">
          <cell r="A9880" t="str">
            <v>SERVYRE</v>
          </cell>
          <cell r="B9880" t="str">
            <v>530-25033-000-0000</v>
          </cell>
          <cell r="J9880">
            <v>4827.75</v>
          </cell>
        </row>
        <row r="9881">
          <cell r="A9881" t="str">
            <v>SERVYRE</v>
          </cell>
          <cell r="B9881" t="str">
            <v>530-25033-017-0000</v>
          </cell>
          <cell r="J9881">
            <v>4827.75</v>
          </cell>
        </row>
        <row r="9882">
          <cell r="A9882" t="str">
            <v>SERVYRE</v>
          </cell>
          <cell r="B9882" t="str">
            <v>530-25034-001-0000</v>
          </cell>
          <cell r="J9882">
            <v>136164.6</v>
          </cell>
        </row>
        <row r="9883">
          <cell r="A9883" t="str">
            <v>SERVYRE</v>
          </cell>
          <cell r="B9883" t="str">
            <v>530-25034-001-0001</v>
          </cell>
          <cell r="J9883">
            <v>99308.75</v>
          </cell>
        </row>
        <row r="9884">
          <cell r="A9884" t="str">
            <v>SERVYRE</v>
          </cell>
          <cell r="B9884" t="str">
            <v>530-25034-001-0002</v>
          </cell>
          <cell r="J9884">
            <v>9680.5400000000009</v>
          </cell>
        </row>
        <row r="9885">
          <cell r="A9885" t="str">
            <v>SERVYRE</v>
          </cell>
          <cell r="B9885" t="str">
            <v>530-25034-001-0005</v>
          </cell>
          <cell r="J9885">
            <v>10636.12</v>
          </cell>
        </row>
        <row r="9886">
          <cell r="A9886" t="str">
            <v>SERVYRE</v>
          </cell>
          <cell r="B9886" t="str">
            <v>530-25034-001-0006</v>
          </cell>
          <cell r="J9886">
            <v>10636.12</v>
          </cell>
        </row>
        <row r="9887">
          <cell r="A9887" t="str">
            <v>SERVYRE</v>
          </cell>
          <cell r="B9887" t="str">
            <v>530-25034-001-0011</v>
          </cell>
          <cell r="J9887">
            <v>5903.07</v>
          </cell>
        </row>
        <row r="9888">
          <cell r="A9888" t="str">
            <v>SERVYRE</v>
          </cell>
          <cell r="B9888" t="str">
            <v>530-25034-002-0000</v>
          </cell>
          <cell r="J9888">
            <v>26226.63</v>
          </cell>
        </row>
        <row r="9889">
          <cell r="A9889" t="str">
            <v>SERVYRE</v>
          </cell>
          <cell r="B9889" t="str">
            <v>530-25034-002-0001</v>
          </cell>
          <cell r="J9889">
            <v>10376.709999999999</v>
          </cell>
        </row>
        <row r="9890">
          <cell r="A9890" t="str">
            <v>SERVYRE</v>
          </cell>
          <cell r="B9890" t="str">
            <v>530-25034-002-0002</v>
          </cell>
          <cell r="J9890">
            <v>7218.28</v>
          </cell>
        </row>
        <row r="9891">
          <cell r="A9891" t="str">
            <v>SERVYRE</v>
          </cell>
          <cell r="B9891" t="str">
            <v>530-25034-002-0003</v>
          </cell>
          <cell r="J9891">
            <v>3793.92</v>
          </cell>
        </row>
        <row r="9892">
          <cell r="A9892" t="str">
            <v>SERVYRE</v>
          </cell>
          <cell r="B9892" t="str">
            <v>530-25034-002-0004</v>
          </cell>
          <cell r="J9892">
            <v>4837.72</v>
          </cell>
        </row>
        <row r="9893">
          <cell r="A9893" t="str">
            <v>SERVYRE</v>
          </cell>
          <cell r="B9893" t="str">
            <v>530-25034-003-0000</v>
          </cell>
          <cell r="J9893">
            <v>44656.17</v>
          </cell>
        </row>
        <row r="9894">
          <cell r="A9894" t="str">
            <v>SERVYRE</v>
          </cell>
          <cell r="B9894" t="str">
            <v>530-25034-054-0000</v>
          </cell>
          <cell r="J9894">
            <v>-207047.4</v>
          </cell>
        </row>
        <row r="9895">
          <cell r="A9895" t="str">
            <v>SERVYRE</v>
          </cell>
          <cell r="B9895" t="str">
            <v>530-25034-054-0006</v>
          </cell>
          <cell r="J9895">
            <v>-207047.4</v>
          </cell>
        </row>
        <row r="9896">
          <cell r="A9896" t="str">
            <v>SERVYRE</v>
          </cell>
          <cell r="B9896" t="str">
            <v>530-25035-000-0000</v>
          </cell>
          <cell r="J9896">
            <v>152710.96</v>
          </cell>
        </row>
        <row r="9897">
          <cell r="A9897" t="str">
            <v>SERVYRE</v>
          </cell>
          <cell r="B9897" t="str">
            <v>530-25035-001-0000</v>
          </cell>
          <cell r="J9897">
            <v>271071.21000000002</v>
          </cell>
        </row>
        <row r="9898">
          <cell r="A9898" t="str">
            <v>SERVYRE</v>
          </cell>
          <cell r="B9898" t="str">
            <v>530-25035-001-0001</v>
          </cell>
          <cell r="J9898">
            <v>210610.03</v>
          </cell>
        </row>
        <row r="9899">
          <cell r="A9899" t="str">
            <v>SERVYRE</v>
          </cell>
          <cell r="B9899" t="str">
            <v>530-25035-001-0002</v>
          </cell>
          <cell r="J9899">
            <v>20488.650000000001</v>
          </cell>
        </row>
        <row r="9900">
          <cell r="A9900" t="str">
            <v>SERVYRE</v>
          </cell>
          <cell r="B9900" t="str">
            <v>530-25035-001-0004</v>
          </cell>
          <cell r="J9900">
            <v>1205.43</v>
          </cell>
        </row>
        <row r="9901">
          <cell r="A9901" t="str">
            <v>SERVYRE</v>
          </cell>
          <cell r="B9901" t="str">
            <v>530-25035-001-0005</v>
          </cell>
          <cell r="J9901">
            <v>10176.64</v>
          </cell>
        </row>
        <row r="9902">
          <cell r="A9902" t="str">
            <v>SERVYRE</v>
          </cell>
          <cell r="B9902" t="str">
            <v>530-25035-001-0006</v>
          </cell>
          <cell r="J9902">
            <v>10176.64</v>
          </cell>
        </row>
        <row r="9903">
          <cell r="A9903" t="str">
            <v>SERVYRE</v>
          </cell>
          <cell r="B9903" t="str">
            <v>530-25035-001-0009</v>
          </cell>
          <cell r="J9903">
            <v>10247.82</v>
          </cell>
        </row>
        <row r="9904">
          <cell r="A9904" t="str">
            <v>SERVYRE</v>
          </cell>
          <cell r="B9904" t="str">
            <v>530-25035-001-0010</v>
          </cell>
          <cell r="J9904">
            <v>654.41999999999996</v>
          </cell>
        </row>
        <row r="9905">
          <cell r="A9905" t="str">
            <v>SERVYRE</v>
          </cell>
          <cell r="B9905" t="str">
            <v>530-25035-001-0011</v>
          </cell>
          <cell r="J9905">
            <v>7511.58</v>
          </cell>
        </row>
        <row r="9906">
          <cell r="A9906" t="str">
            <v>SERVYRE</v>
          </cell>
          <cell r="B9906" t="str">
            <v>530-25035-002-0000</v>
          </cell>
          <cell r="J9906">
            <v>72509.7</v>
          </cell>
        </row>
        <row r="9907">
          <cell r="A9907" t="str">
            <v>SERVYRE</v>
          </cell>
          <cell r="B9907" t="str">
            <v>530-25035-002-0001</v>
          </cell>
          <cell r="J9907">
            <v>29669.25</v>
          </cell>
        </row>
        <row r="9908">
          <cell r="A9908" t="str">
            <v>SERVYRE</v>
          </cell>
          <cell r="B9908" t="str">
            <v>530-25035-002-0002</v>
          </cell>
          <cell r="J9908">
            <v>20742.36</v>
          </cell>
        </row>
        <row r="9909">
          <cell r="A9909" t="str">
            <v>SERVYRE</v>
          </cell>
          <cell r="B9909" t="str">
            <v>530-25035-002-0003</v>
          </cell>
          <cell r="J9909">
            <v>12261.52</v>
          </cell>
        </row>
        <row r="9910">
          <cell r="A9910" t="str">
            <v>SERVYRE</v>
          </cell>
          <cell r="B9910" t="str">
            <v>530-25035-002-0004</v>
          </cell>
          <cell r="J9910">
            <v>9836.57</v>
          </cell>
        </row>
        <row r="9911">
          <cell r="A9911" t="str">
            <v>SERVYRE</v>
          </cell>
          <cell r="B9911" t="str">
            <v>530-25035-003-0000</v>
          </cell>
          <cell r="J9911">
            <v>46589.34</v>
          </cell>
        </row>
        <row r="9912">
          <cell r="A9912" t="str">
            <v>SERVYRE</v>
          </cell>
          <cell r="B9912" t="str">
            <v>530-25035-016-0000</v>
          </cell>
          <cell r="J9912">
            <v>-1797.5</v>
          </cell>
        </row>
        <row r="9913">
          <cell r="A9913" t="str">
            <v>SERVYRE</v>
          </cell>
          <cell r="B9913" t="str">
            <v>530-25035-055-0000</v>
          </cell>
          <cell r="J9913">
            <v>-235333.77</v>
          </cell>
        </row>
        <row r="9914">
          <cell r="A9914" t="str">
            <v>SERVYRE</v>
          </cell>
          <cell r="B9914" t="str">
            <v>530-25035-061-0000</v>
          </cell>
          <cell r="J9914">
            <v>-328.02</v>
          </cell>
        </row>
        <row r="9915">
          <cell r="A9915" t="str">
            <v>SERVYRE</v>
          </cell>
          <cell r="B9915" t="str">
            <v>530-25036-000-0000</v>
          </cell>
          <cell r="J9915">
            <v>102757.89</v>
          </cell>
        </row>
        <row r="9916">
          <cell r="A9916" t="str">
            <v>SERVYRE</v>
          </cell>
          <cell r="B9916" t="str">
            <v>530-25036-001-0000</v>
          </cell>
          <cell r="J9916">
            <v>25108.67</v>
          </cell>
        </row>
        <row r="9917">
          <cell r="A9917" t="str">
            <v>SERVYRE</v>
          </cell>
          <cell r="B9917" t="str">
            <v>530-25036-001-0001</v>
          </cell>
          <cell r="J9917">
            <v>20169.86</v>
          </cell>
        </row>
        <row r="9918">
          <cell r="A9918" t="str">
            <v>SERVYRE</v>
          </cell>
          <cell r="B9918" t="str">
            <v>530-25036-001-0002</v>
          </cell>
          <cell r="J9918">
            <v>1908.29</v>
          </cell>
        </row>
        <row r="9919">
          <cell r="A9919" t="str">
            <v>SERVYRE</v>
          </cell>
          <cell r="B9919" t="str">
            <v>530-25036-001-0005</v>
          </cell>
          <cell r="J9919">
            <v>1060.73</v>
          </cell>
        </row>
        <row r="9920">
          <cell r="A9920" t="str">
            <v>SERVYRE</v>
          </cell>
          <cell r="B9920" t="str">
            <v>530-25036-001-0006</v>
          </cell>
          <cell r="J9920">
            <v>1060.73</v>
          </cell>
        </row>
        <row r="9921">
          <cell r="A9921" t="str">
            <v>SERVYRE</v>
          </cell>
          <cell r="B9921" t="str">
            <v>530-25036-001-0011</v>
          </cell>
          <cell r="J9921">
            <v>909.06</v>
          </cell>
        </row>
        <row r="9922">
          <cell r="A9922" t="str">
            <v>SERVYRE</v>
          </cell>
          <cell r="B9922" t="str">
            <v>530-25036-002-0000</v>
          </cell>
          <cell r="J9922">
            <v>4900.74</v>
          </cell>
        </row>
        <row r="9923">
          <cell r="A9923" t="str">
            <v>SERVYRE</v>
          </cell>
          <cell r="B9923" t="str">
            <v>530-25036-002-0001</v>
          </cell>
          <cell r="J9923">
            <v>2354.2399999999998</v>
          </cell>
        </row>
        <row r="9924">
          <cell r="A9924" t="str">
            <v>SERVYRE</v>
          </cell>
          <cell r="B9924" t="str">
            <v>530-25036-002-0002</v>
          </cell>
          <cell r="J9924">
            <v>1048.73</v>
          </cell>
        </row>
        <row r="9925">
          <cell r="A9925" t="str">
            <v>SERVYRE</v>
          </cell>
          <cell r="B9925" t="str">
            <v>530-25036-002-0003</v>
          </cell>
          <cell r="J9925">
            <v>603.75</v>
          </cell>
        </row>
        <row r="9926">
          <cell r="A9926" t="str">
            <v>SERVYRE</v>
          </cell>
          <cell r="B9926" t="str">
            <v>530-25036-002-0004</v>
          </cell>
          <cell r="J9926">
            <v>894.02</v>
          </cell>
        </row>
        <row r="9927">
          <cell r="A9927" t="str">
            <v>SERVYRE</v>
          </cell>
          <cell r="B9927" t="str">
            <v>530-25036-003-0000</v>
          </cell>
          <cell r="J9927">
            <v>4170.54</v>
          </cell>
        </row>
        <row r="9928">
          <cell r="A9928" t="str">
            <v>SERVYRE</v>
          </cell>
          <cell r="B9928" t="str">
            <v>530-25036-055-0000</v>
          </cell>
          <cell r="J9928">
            <v>69351.31</v>
          </cell>
        </row>
        <row r="9929">
          <cell r="A9929" t="str">
            <v>SERVYRE</v>
          </cell>
          <cell r="B9929" t="str">
            <v>530-25036-061-0000</v>
          </cell>
          <cell r="J9929">
            <v>-773.37</v>
          </cell>
        </row>
        <row r="9930">
          <cell r="A9930" t="str">
            <v>SERVYRE</v>
          </cell>
          <cell r="B9930" t="str">
            <v>530-25038-000-0000</v>
          </cell>
          <cell r="J9930">
            <v>-64817.25</v>
          </cell>
        </row>
        <row r="9931">
          <cell r="A9931" t="str">
            <v>SERVYRE</v>
          </cell>
          <cell r="B9931" t="str">
            <v>530-25038-001-0000</v>
          </cell>
          <cell r="J9931">
            <v>9140.82</v>
          </cell>
        </row>
        <row r="9932">
          <cell r="A9932" t="str">
            <v>SERVYRE</v>
          </cell>
          <cell r="B9932" t="str">
            <v>530-25038-001-0001</v>
          </cell>
          <cell r="J9932">
            <v>7032.4</v>
          </cell>
        </row>
        <row r="9933">
          <cell r="A9933" t="str">
            <v>SERVYRE</v>
          </cell>
          <cell r="B9933" t="str">
            <v>530-25038-001-0002</v>
          </cell>
          <cell r="J9933">
            <v>688.4</v>
          </cell>
        </row>
        <row r="9934">
          <cell r="A9934" t="str">
            <v>SERVYRE</v>
          </cell>
          <cell r="B9934" t="str">
            <v>530-25038-001-0005</v>
          </cell>
          <cell r="J9934">
            <v>514.79999999999995</v>
          </cell>
        </row>
        <row r="9935">
          <cell r="A9935" t="str">
            <v>SERVYRE</v>
          </cell>
          <cell r="B9935" t="str">
            <v>530-25038-001-0006</v>
          </cell>
          <cell r="J9935">
            <v>514.79999999999995</v>
          </cell>
        </row>
        <row r="9936">
          <cell r="A9936" t="str">
            <v>SERVYRE</v>
          </cell>
          <cell r="B9936" t="str">
            <v>530-25038-001-0011</v>
          </cell>
          <cell r="J9936">
            <v>390.42</v>
          </cell>
        </row>
        <row r="9937">
          <cell r="A9937" t="str">
            <v>SERVYRE</v>
          </cell>
          <cell r="B9937" t="str">
            <v>530-25038-002-0000</v>
          </cell>
          <cell r="J9937">
            <v>2407.14</v>
          </cell>
        </row>
        <row r="9938">
          <cell r="A9938" t="str">
            <v>SERVYRE</v>
          </cell>
          <cell r="B9938" t="str">
            <v>530-25038-002-0001</v>
          </cell>
          <cell r="J9938">
            <v>586.59</v>
          </cell>
        </row>
        <row r="9939">
          <cell r="A9939" t="str">
            <v>SERVYRE</v>
          </cell>
          <cell r="B9939" t="str">
            <v>530-25038-002-0002</v>
          </cell>
          <cell r="J9939">
            <v>941.4</v>
          </cell>
        </row>
        <row r="9940">
          <cell r="A9940" t="str">
            <v>SERVYRE</v>
          </cell>
          <cell r="B9940" t="str">
            <v>530-25038-002-0003</v>
          </cell>
          <cell r="J9940">
            <v>556.41</v>
          </cell>
        </row>
        <row r="9941">
          <cell r="A9941" t="str">
            <v>SERVYRE</v>
          </cell>
          <cell r="B9941" t="str">
            <v>530-25038-002-0004</v>
          </cell>
          <cell r="J9941">
            <v>322.74</v>
          </cell>
        </row>
        <row r="9942">
          <cell r="A9942" t="str">
            <v>SERVYRE</v>
          </cell>
          <cell r="B9942" t="str">
            <v>530-25038-003-0000</v>
          </cell>
          <cell r="J9942">
            <v>1333.51</v>
          </cell>
        </row>
        <row r="9943">
          <cell r="A9943" t="str">
            <v>SERVYRE</v>
          </cell>
          <cell r="B9943" t="str">
            <v>530-25038-055-0000</v>
          </cell>
          <cell r="J9943">
            <v>-77698.720000000001</v>
          </cell>
        </row>
        <row r="9944">
          <cell r="A9944" t="str">
            <v>SERVYRE</v>
          </cell>
          <cell r="B9944" t="str">
            <v>530-25039-000-0000</v>
          </cell>
          <cell r="J9944">
            <v>869.75</v>
          </cell>
        </row>
        <row r="9945">
          <cell r="A9945" t="str">
            <v>SERVYRE</v>
          </cell>
          <cell r="B9945" t="str">
            <v>530-25039-001-0000</v>
          </cell>
          <cell r="J9945">
            <v>29018.84</v>
          </cell>
        </row>
        <row r="9946">
          <cell r="A9946" t="str">
            <v>SERVYRE</v>
          </cell>
          <cell r="B9946" t="str">
            <v>530-25039-001-0001</v>
          </cell>
          <cell r="J9946">
            <v>21531.31</v>
          </cell>
        </row>
        <row r="9947">
          <cell r="A9947" t="str">
            <v>SERVYRE</v>
          </cell>
          <cell r="B9947" t="str">
            <v>530-25039-001-0002</v>
          </cell>
          <cell r="J9947">
            <v>2004</v>
          </cell>
        </row>
        <row r="9948">
          <cell r="A9948" t="str">
            <v>SERVYRE</v>
          </cell>
          <cell r="B9948" t="str">
            <v>530-25039-001-0005</v>
          </cell>
          <cell r="J9948">
            <v>2285.77</v>
          </cell>
        </row>
        <row r="9949">
          <cell r="A9949" t="str">
            <v>SERVYRE</v>
          </cell>
          <cell r="B9949" t="str">
            <v>530-25039-001-0006</v>
          </cell>
          <cell r="J9949">
            <v>2285.77</v>
          </cell>
        </row>
        <row r="9950">
          <cell r="A9950" t="str">
            <v>SERVYRE</v>
          </cell>
          <cell r="B9950" t="str">
            <v>530-25039-001-0011</v>
          </cell>
          <cell r="J9950">
            <v>911.99</v>
          </cell>
        </row>
        <row r="9951">
          <cell r="A9951" t="str">
            <v>SERVYRE</v>
          </cell>
          <cell r="B9951" t="str">
            <v>530-25039-002-0000</v>
          </cell>
          <cell r="J9951">
            <v>6683.3</v>
          </cell>
        </row>
        <row r="9952">
          <cell r="A9952" t="str">
            <v>SERVYRE</v>
          </cell>
          <cell r="B9952" t="str">
            <v>530-25039-002-0001</v>
          </cell>
          <cell r="J9952">
            <v>2365.9299999999998</v>
          </cell>
        </row>
        <row r="9953">
          <cell r="A9953" t="str">
            <v>SERVYRE</v>
          </cell>
          <cell r="B9953" t="str">
            <v>530-25039-002-0002</v>
          </cell>
          <cell r="J9953">
            <v>2145.14</v>
          </cell>
        </row>
        <row r="9954">
          <cell r="A9954" t="str">
            <v>SERVYRE</v>
          </cell>
          <cell r="B9954" t="str">
            <v>530-25039-002-0003</v>
          </cell>
          <cell r="J9954">
            <v>1127.48</v>
          </cell>
        </row>
        <row r="9955">
          <cell r="A9955" t="str">
            <v>SERVYRE</v>
          </cell>
          <cell r="B9955" t="str">
            <v>530-25039-002-0004</v>
          </cell>
          <cell r="J9955">
            <v>1044.75</v>
          </cell>
        </row>
        <row r="9956">
          <cell r="A9956" t="str">
            <v>SERVYRE</v>
          </cell>
          <cell r="B9956" t="str">
            <v>530-25039-003-0000</v>
          </cell>
          <cell r="J9956">
            <v>4709.47</v>
          </cell>
        </row>
        <row r="9957">
          <cell r="A9957" t="str">
            <v>SERVYRE</v>
          </cell>
          <cell r="B9957" t="str">
            <v>530-25039-016-0000</v>
          </cell>
          <cell r="J9957">
            <v>28465</v>
          </cell>
        </row>
        <row r="9958">
          <cell r="A9958" t="str">
            <v>SERVYRE</v>
          </cell>
          <cell r="B9958" t="str">
            <v>530-25039-017-0000</v>
          </cell>
          <cell r="J9958">
            <v>173885</v>
          </cell>
        </row>
        <row r="9959">
          <cell r="A9959" t="str">
            <v>SERVYRE</v>
          </cell>
          <cell r="B9959" t="str">
            <v>530-25039-054-0000</v>
          </cell>
          <cell r="J9959">
            <v>-239580.37</v>
          </cell>
        </row>
        <row r="9960">
          <cell r="A9960" t="str">
            <v>SERVYRE</v>
          </cell>
          <cell r="B9960" t="str">
            <v>530-25039-054-0006</v>
          </cell>
          <cell r="J9960">
            <v>-239580.37</v>
          </cell>
        </row>
        <row r="9961">
          <cell r="A9961" t="str">
            <v>SERVYRE</v>
          </cell>
          <cell r="B9961" t="str">
            <v>530-25039-061-0000</v>
          </cell>
          <cell r="J9961">
            <v>-2311.4899999999998</v>
          </cell>
        </row>
        <row r="9962">
          <cell r="A9962" t="str">
            <v>SERVYRE</v>
          </cell>
          <cell r="B9962" t="str">
            <v>530-25040-000-0000</v>
          </cell>
          <cell r="J9962">
            <v>-53076.45</v>
          </cell>
        </row>
        <row r="9963">
          <cell r="A9963" t="str">
            <v>SERVYRE</v>
          </cell>
          <cell r="B9963" t="str">
            <v>530-25040-001-0000</v>
          </cell>
          <cell r="J9963">
            <v>113534.93</v>
          </cell>
        </row>
        <row r="9964">
          <cell r="A9964" t="str">
            <v>SERVYRE</v>
          </cell>
          <cell r="B9964" t="str">
            <v>530-25040-001-0001</v>
          </cell>
          <cell r="J9964">
            <v>78342.16</v>
          </cell>
        </row>
        <row r="9965">
          <cell r="A9965" t="str">
            <v>SERVYRE</v>
          </cell>
          <cell r="B9965" t="str">
            <v>530-25040-001-0002</v>
          </cell>
          <cell r="J9965">
            <v>12063.63</v>
          </cell>
        </row>
        <row r="9966">
          <cell r="A9966" t="str">
            <v>SERVYRE</v>
          </cell>
          <cell r="B9966" t="str">
            <v>530-25040-001-0005</v>
          </cell>
          <cell r="J9966">
            <v>8293.81</v>
          </cell>
        </row>
        <row r="9967">
          <cell r="A9967" t="str">
            <v>SERVYRE</v>
          </cell>
          <cell r="B9967" t="str">
            <v>530-25040-001-0006</v>
          </cell>
          <cell r="J9967">
            <v>8293.81</v>
          </cell>
        </row>
        <row r="9968">
          <cell r="A9968" t="str">
            <v>SERVYRE</v>
          </cell>
          <cell r="B9968" t="str">
            <v>530-25040-001-0011</v>
          </cell>
          <cell r="J9968">
            <v>6541.52</v>
          </cell>
        </row>
        <row r="9969">
          <cell r="A9969" t="str">
            <v>SERVYRE</v>
          </cell>
          <cell r="B9969" t="str">
            <v>530-25040-002-0000</v>
          </cell>
          <cell r="J9969">
            <v>31316.29</v>
          </cell>
        </row>
        <row r="9970">
          <cell r="A9970" t="str">
            <v>SERVYRE</v>
          </cell>
          <cell r="B9970" t="str">
            <v>530-25040-002-0001</v>
          </cell>
          <cell r="J9970">
            <v>9057.4</v>
          </cell>
        </row>
        <row r="9971">
          <cell r="A9971" t="str">
            <v>SERVYRE</v>
          </cell>
          <cell r="B9971" t="str">
            <v>530-25040-002-0002</v>
          </cell>
          <cell r="J9971">
            <v>10659.38</v>
          </cell>
        </row>
        <row r="9972">
          <cell r="A9972" t="str">
            <v>SERVYRE</v>
          </cell>
          <cell r="B9972" t="str">
            <v>530-25040-002-0003</v>
          </cell>
          <cell r="J9972">
            <v>7791.48</v>
          </cell>
        </row>
        <row r="9973">
          <cell r="A9973" t="str">
            <v>SERVYRE</v>
          </cell>
          <cell r="B9973" t="str">
            <v>530-25040-002-0004</v>
          </cell>
          <cell r="J9973">
            <v>3808.03</v>
          </cell>
        </row>
        <row r="9974">
          <cell r="A9974" t="str">
            <v>SERVYRE</v>
          </cell>
          <cell r="B9974" t="str">
            <v>530-25040-003-0000</v>
          </cell>
          <cell r="J9974">
            <v>33968.410000000003</v>
          </cell>
        </row>
        <row r="9975">
          <cell r="A9975" t="str">
            <v>SERVYRE</v>
          </cell>
          <cell r="B9975" t="str">
            <v>530-25040-054-0000</v>
          </cell>
          <cell r="J9975">
            <v>-231207.76</v>
          </cell>
        </row>
        <row r="9976">
          <cell r="A9976" t="str">
            <v>SERVYRE</v>
          </cell>
          <cell r="B9976" t="str">
            <v>530-25040-054-0006</v>
          </cell>
          <cell r="J9976">
            <v>-231207.76</v>
          </cell>
        </row>
        <row r="9977">
          <cell r="A9977" t="str">
            <v>SERVYRE</v>
          </cell>
          <cell r="B9977" t="str">
            <v>530-25040-061-0000</v>
          </cell>
          <cell r="J9977">
            <v>-688.32</v>
          </cell>
        </row>
        <row r="9978">
          <cell r="A9978" t="str">
            <v>SERVYRE</v>
          </cell>
          <cell r="B9978" t="str">
            <v>530-25041-000-0000</v>
          </cell>
          <cell r="J9978">
            <v>-105661.59</v>
          </cell>
        </row>
        <row r="9979">
          <cell r="A9979" t="str">
            <v>SERVYRE</v>
          </cell>
          <cell r="B9979" t="str">
            <v>530-25041-001-0000</v>
          </cell>
          <cell r="J9979">
            <v>543044.68999999994</v>
          </cell>
        </row>
        <row r="9980">
          <cell r="A9980" t="str">
            <v>SERVYRE</v>
          </cell>
          <cell r="B9980" t="str">
            <v>530-25041-001-0001</v>
          </cell>
          <cell r="J9980">
            <v>446887.7</v>
          </cell>
        </row>
        <row r="9981">
          <cell r="A9981" t="str">
            <v>SERVYRE</v>
          </cell>
          <cell r="B9981" t="str">
            <v>530-25041-001-0002</v>
          </cell>
          <cell r="J9981">
            <v>38257.47</v>
          </cell>
        </row>
        <row r="9982">
          <cell r="A9982" t="str">
            <v>SERVYRE</v>
          </cell>
          <cell r="B9982" t="str">
            <v>530-25041-001-0004</v>
          </cell>
          <cell r="J9982">
            <v>312.86</v>
          </cell>
        </row>
        <row r="9983">
          <cell r="A9983" t="str">
            <v>SERVYRE</v>
          </cell>
          <cell r="B9983" t="str">
            <v>530-25041-001-0005</v>
          </cell>
          <cell r="J9983">
            <v>20145.37</v>
          </cell>
        </row>
        <row r="9984">
          <cell r="A9984" t="str">
            <v>SERVYRE</v>
          </cell>
          <cell r="B9984" t="str">
            <v>530-25041-001-0006</v>
          </cell>
          <cell r="J9984">
            <v>20145.37</v>
          </cell>
        </row>
        <row r="9985">
          <cell r="A9985" t="str">
            <v>SERVYRE</v>
          </cell>
          <cell r="B9985" t="str">
            <v>530-25041-001-0011</v>
          </cell>
          <cell r="J9985">
            <v>17295.919999999998</v>
          </cell>
        </row>
        <row r="9986">
          <cell r="A9986" t="str">
            <v>SERVYRE</v>
          </cell>
          <cell r="B9986" t="str">
            <v>530-25041-002-0000</v>
          </cell>
          <cell r="J9986">
            <v>116727.01</v>
          </cell>
        </row>
        <row r="9987">
          <cell r="A9987" t="str">
            <v>SERVYRE</v>
          </cell>
          <cell r="B9987" t="str">
            <v>530-25041-002-0001</v>
          </cell>
          <cell r="J9987">
            <v>49725.67</v>
          </cell>
        </row>
        <row r="9988">
          <cell r="A9988" t="str">
            <v>SERVYRE</v>
          </cell>
          <cell r="B9988" t="str">
            <v>530-25041-002-0002</v>
          </cell>
          <cell r="J9988">
            <v>30180.06</v>
          </cell>
        </row>
        <row r="9989">
          <cell r="A9989" t="str">
            <v>SERVYRE</v>
          </cell>
          <cell r="B9989" t="str">
            <v>530-25041-002-0003</v>
          </cell>
          <cell r="J9989">
            <v>17162.28</v>
          </cell>
        </row>
        <row r="9990">
          <cell r="A9990" t="str">
            <v>SERVYRE</v>
          </cell>
          <cell r="B9990" t="str">
            <v>530-25041-002-0004</v>
          </cell>
          <cell r="J9990">
            <v>19659</v>
          </cell>
        </row>
        <row r="9991">
          <cell r="A9991" t="str">
            <v>SERVYRE</v>
          </cell>
          <cell r="B9991" t="str">
            <v>530-25041-003-0000</v>
          </cell>
          <cell r="J9991">
            <v>42021.1</v>
          </cell>
        </row>
        <row r="9992">
          <cell r="A9992" t="str">
            <v>SERVYRE</v>
          </cell>
          <cell r="B9992" t="str">
            <v>530-25041-016-0000</v>
          </cell>
          <cell r="J9992">
            <v>-9116.59</v>
          </cell>
        </row>
        <row r="9993">
          <cell r="A9993" t="str">
            <v>SERVYRE</v>
          </cell>
          <cell r="B9993" t="str">
            <v>530-25041-055-0000</v>
          </cell>
          <cell r="J9993">
            <v>-786915.55</v>
          </cell>
        </row>
        <row r="9994">
          <cell r="A9994" t="str">
            <v>SERVYRE</v>
          </cell>
          <cell r="B9994" t="str">
            <v>530-25041-061-0000</v>
          </cell>
          <cell r="J9994">
            <v>-11422.25</v>
          </cell>
        </row>
        <row r="9995">
          <cell r="A9995" t="str">
            <v>SERVYRE</v>
          </cell>
          <cell r="B9995" t="str">
            <v>530-25042-000-0000</v>
          </cell>
          <cell r="J9995">
            <v>-316038.78999999998</v>
          </cell>
        </row>
        <row r="9996">
          <cell r="A9996" t="str">
            <v>SERVYRE</v>
          </cell>
          <cell r="B9996" t="str">
            <v>530-25042-001-0000</v>
          </cell>
          <cell r="J9996">
            <v>422601.7</v>
          </cell>
        </row>
        <row r="9997">
          <cell r="A9997" t="str">
            <v>SERVYRE</v>
          </cell>
          <cell r="B9997" t="str">
            <v>530-25042-001-0001</v>
          </cell>
          <cell r="J9997">
            <v>341181.17</v>
          </cell>
        </row>
        <row r="9998">
          <cell r="A9998" t="str">
            <v>SERVYRE</v>
          </cell>
          <cell r="B9998" t="str">
            <v>530-25042-001-0002</v>
          </cell>
          <cell r="J9998">
            <v>30911.8</v>
          </cell>
        </row>
        <row r="9999">
          <cell r="A9999" t="str">
            <v>SERVYRE</v>
          </cell>
          <cell r="B9999" t="str">
            <v>530-25042-001-0004</v>
          </cell>
          <cell r="J9999">
            <v>430</v>
          </cell>
        </row>
        <row r="10000">
          <cell r="A10000" t="str">
            <v>SERVYRE</v>
          </cell>
          <cell r="B10000" t="str">
            <v>530-25042-001-0005</v>
          </cell>
          <cell r="J10000">
            <v>17857.310000000001</v>
          </cell>
        </row>
        <row r="10001">
          <cell r="A10001" t="str">
            <v>SERVYRE</v>
          </cell>
          <cell r="B10001" t="str">
            <v>530-25042-001-0006</v>
          </cell>
          <cell r="J10001">
            <v>17857.310000000001</v>
          </cell>
        </row>
        <row r="10002">
          <cell r="A10002" t="str">
            <v>SERVYRE</v>
          </cell>
          <cell r="B10002" t="str">
            <v>530-25042-001-0011</v>
          </cell>
          <cell r="J10002">
            <v>14364.11</v>
          </cell>
        </row>
        <row r="10003">
          <cell r="A10003" t="str">
            <v>SERVYRE</v>
          </cell>
          <cell r="B10003" t="str">
            <v>530-25042-002-0000</v>
          </cell>
          <cell r="J10003">
            <v>117798.16</v>
          </cell>
        </row>
        <row r="10004">
          <cell r="A10004" t="str">
            <v>SERVYRE</v>
          </cell>
          <cell r="B10004" t="str">
            <v>530-25042-002-0001</v>
          </cell>
          <cell r="J10004">
            <v>42542.37</v>
          </cell>
        </row>
        <row r="10005">
          <cell r="A10005" t="str">
            <v>SERVYRE</v>
          </cell>
          <cell r="B10005" t="str">
            <v>530-25042-002-0002</v>
          </cell>
          <cell r="J10005">
            <v>38237.339999999997</v>
          </cell>
        </row>
        <row r="10006">
          <cell r="A10006" t="str">
            <v>SERVYRE</v>
          </cell>
          <cell r="B10006" t="str">
            <v>530-25042-002-0003</v>
          </cell>
          <cell r="J10006">
            <v>21630.52</v>
          </cell>
        </row>
        <row r="10007">
          <cell r="A10007" t="str">
            <v>SERVYRE</v>
          </cell>
          <cell r="B10007" t="str">
            <v>530-25042-002-0004</v>
          </cell>
          <cell r="J10007">
            <v>15387.93</v>
          </cell>
        </row>
        <row r="10008">
          <cell r="A10008" t="str">
            <v>SERVYRE</v>
          </cell>
          <cell r="B10008" t="str">
            <v>530-25042-003-0000</v>
          </cell>
          <cell r="J10008">
            <v>76980.899999999994</v>
          </cell>
        </row>
        <row r="10009">
          <cell r="A10009" t="str">
            <v>SERVYRE</v>
          </cell>
          <cell r="B10009" t="str">
            <v>530-25042-016-0000</v>
          </cell>
          <cell r="J10009">
            <v>-2334.75</v>
          </cell>
        </row>
        <row r="10010">
          <cell r="A10010" t="str">
            <v>SERVYRE</v>
          </cell>
          <cell r="B10010" t="str">
            <v>530-25042-041-0000</v>
          </cell>
          <cell r="J10010">
            <v>71500.100000000006</v>
          </cell>
        </row>
        <row r="10011">
          <cell r="A10011" t="str">
            <v>SERVYRE</v>
          </cell>
          <cell r="B10011" t="str">
            <v>530-25042-054-0000</v>
          </cell>
          <cell r="J10011">
            <v>-421517.33</v>
          </cell>
        </row>
        <row r="10012">
          <cell r="A10012" t="str">
            <v>SERVYRE</v>
          </cell>
          <cell r="B10012" t="str">
            <v>530-25042-054-0006</v>
          </cell>
          <cell r="J10012">
            <v>-421517.33</v>
          </cell>
        </row>
        <row r="10013">
          <cell r="A10013" t="str">
            <v>SERVYRE</v>
          </cell>
          <cell r="B10013" t="str">
            <v>530-25042-055-0000</v>
          </cell>
          <cell r="J10013">
            <v>-579719.86</v>
          </cell>
        </row>
        <row r="10014">
          <cell r="A10014" t="str">
            <v>SERVYRE</v>
          </cell>
          <cell r="B10014" t="str">
            <v>530-25042-061-0000</v>
          </cell>
          <cell r="J10014">
            <v>-1347.71</v>
          </cell>
        </row>
        <row r="10015">
          <cell r="A10015" t="str">
            <v>SERVYRE</v>
          </cell>
          <cell r="B10015" t="str">
            <v>530-25043-000-0000</v>
          </cell>
          <cell r="J10015">
            <v>1210279.17</v>
          </cell>
        </row>
        <row r="10016">
          <cell r="A10016" t="str">
            <v>SERVYRE</v>
          </cell>
          <cell r="B10016" t="str">
            <v>530-25043-001-0000</v>
          </cell>
          <cell r="J10016">
            <v>394106.32</v>
          </cell>
        </row>
        <row r="10017">
          <cell r="A10017" t="str">
            <v>SERVYRE</v>
          </cell>
          <cell r="B10017" t="str">
            <v>530-25043-001-0001</v>
          </cell>
          <cell r="J10017">
            <v>306157.21000000002</v>
          </cell>
        </row>
        <row r="10018">
          <cell r="A10018" t="str">
            <v>SERVYRE</v>
          </cell>
          <cell r="B10018" t="str">
            <v>530-25043-001-0002</v>
          </cell>
          <cell r="J10018">
            <v>29384.61</v>
          </cell>
        </row>
        <row r="10019">
          <cell r="A10019" t="str">
            <v>SERVYRE</v>
          </cell>
          <cell r="B10019" t="str">
            <v>530-25043-001-0004</v>
          </cell>
          <cell r="J10019">
            <v>560.72</v>
          </cell>
        </row>
        <row r="10020">
          <cell r="A10020" t="str">
            <v>SERVYRE</v>
          </cell>
          <cell r="B10020" t="str">
            <v>530-25043-001-0005</v>
          </cell>
          <cell r="J10020">
            <v>14016.17</v>
          </cell>
        </row>
        <row r="10021">
          <cell r="A10021" t="str">
            <v>SERVYRE</v>
          </cell>
          <cell r="B10021" t="str">
            <v>530-25043-001-0006</v>
          </cell>
          <cell r="J10021">
            <v>14016.17</v>
          </cell>
        </row>
        <row r="10022">
          <cell r="A10022" t="str">
            <v>SERVYRE</v>
          </cell>
          <cell r="B10022" t="str">
            <v>530-25043-001-0009</v>
          </cell>
          <cell r="J10022">
            <v>15082.06</v>
          </cell>
        </row>
        <row r="10023">
          <cell r="A10023" t="str">
            <v>SERVYRE</v>
          </cell>
          <cell r="B10023" t="str">
            <v>530-25043-001-0010</v>
          </cell>
          <cell r="J10023">
            <v>166.99</v>
          </cell>
        </row>
        <row r="10024">
          <cell r="A10024" t="str">
            <v>SERVYRE</v>
          </cell>
          <cell r="B10024" t="str">
            <v>530-25043-001-0011</v>
          </cell>
          <cell r="J10024">
            <v>14722.39</v>
          </cell>
        </row>
        <row r="10025">
          <cell r="A10025" t="str">
            <v>SERVYRE</v>
          </cell>
          <cell r="B10025" t="str">
            <v>530-25043-002-0000</v>
          </cell>
          <cell r="J10025">
            <v>95496.08</v>
          </cell>
        </row>
        <row r="10026">
          <cell r="A10026" t="str">
            <v>SERVYRE</v>
          </cell>
          <cell r="B10026" t="str">
            <v>530-25043-002-0001</v>
          </cell>
          <cell r="J10026">
            <v>45285.61</v>
          </cell>
        </row>
        <row r="10027">
          <cell r="A10027" t="str">
            <v>SERVYRE</v>
          </cell>
          <cell r="B10027" t="str">
            <v>530-25043-002-0002</v>
          </cell>
          <cell r="J10027">
            <v>22819.47</v>
          </cell>
        </row>
        <row r="10028">
          <cell r="A10028" t="str">
            <v>SERVYRE</v>
          </cell>
          <cell r="B10028" t="str">
            <v>530-25043-002-0003</v>
          </cell>
          <cell r="J10028">
            <v>13318.21</v>
          </cell>
        </row>
        <row r="10029">
          <cell r="A10029" t="str">
            <v>SERVYRE</v>
          </cell>
          <cell r="B10029" t="str">
            <v>530-25043-002-0004</v>
          </cell>
          <cell r="J10029">
            <v>14072.79</v>
          </cell>
        </row>
        <row r="10030">
          <cell r="A10030" t="str">
            <v>SERVYRE</v>
          </cell>
          <cell r="B10030" t="str">
            <v>530-25043-003-0000</v>
          </cell>
          <cell r="J10030">
            <v>24053.13</v>
          </cell>
        </row>
        <row r="10031">
          <cell r="A10031" t="str">
            <v>SERVYRE</v>
          </cell>
          <cell r="B10031" t="str">
            <v>530-25043-016-0000</v>
          </cell>
          <cell r="J10031">
            <v>-5204.6099999999997</v>
          </cell>
        </row>
        <row r="10032">
          <cell r="A10032" t="str">
            <v>SERVYRE</v>
          </cell>
          <cell r="B10032" t="str">
            <v>530-25043-055-0000</v>
          </cell>
          <cell r="J10032">
            <v>702047.22</v>
          </cell>
        </row>
        <row r="10033">
          <cell r="A10033" t="str">
            <v>SERVYRE</v>
          </cell>
          <cell r="B10033" t="str">
            <v>530-25043-061-0000</v>
          </cell>
          <cell r="J10033">
            <v>-218.97</v>
          </cell>
        </row>
        <row r="10034">
          <cell r="A10034" t="str">
            <v>SERVYRE</v>
          </cell>
          <cell r="B10034" t="str">
            <v>530-25044-000-0000</v>
          </cell>
          <cell r="J10034">
            <v>11489120.75</v>
          </cell>
        </row>
        <row r="10035">
          <cell r="A10035" t="str">
            <v>SERVYRE</v>
          </cell>
          <cell r="B10035" t="str">
            <v>530-25044-001-0000</v>
          </cell>
          <cell r="J10035">
            <v>263851.07</v>
          </cell>
        </row>
        <row r="10036">
          <cell r="A10036" t="str">
            <v>SERVYRE</v>
          </cell>
          <cell r="B10036" t="str">
            <v>530-25044-001-0001</v>
          </cell>
          <cell r="J10036">
            <v>192671.52</v>
          </cell>
        </row>
        <row r="10037">
          <cell r="A10037" t="str">
            <v>SERVYRE</v>
          </cell>
          <cell r="B10037" t="str">
            <v>530-25044-001-0002</v>
          </cell>
          <cell r="J10037">
            <v>18541.14</v>
          </cell>
        </row>
        <row r="10038">
          <cell r="A10038" t="str">
            <v>SERVYRE</v>
          </cell>
          <cell r="B10038" t="str">
            <v>530-25044-001-0004</v>
          </cell>
          <cell r="J10038">
            <v>2198.25</v>
          </cell>
        </row>
        <row r="10039">
          <cell r="A10039" t="str">
            <v>SERVYRE</v>
          </cell>
          <cell r="B10039" t="str">
            <v>530-25044-001-0005</v>
          </cell>
          <cell r="J10039">
            <v>20421.02</v>
          </cell>
        </row>
        <row r="10040">
          <cell r="A10040" t="str">
            <v>SERVYRE</v>
          </cell>
          <cell r="B10040" t="str">
            <v>530-25044-001-0006</v>
          </cell>
          <cell r="J10040">
            <v>20421.02</v>
          </cell>
        </row>
        <row r="10041">
          <cell r="A10041" t="str">
            <v>SERVYRE</v>
          </cell>
          <cell r="B10041" t="str">
            <v>530-25044-001-0009</v>
          </cell>
          <cell r="J10041">
            <v>712.55</v>
          </cell>
        </row>
        <row r="10042">
          <cell r="A10042" t="str">
            <v>SERVYRE</v>
          </cell>
          <cell r="B10042" t="str">
            <v>530-25044-001-0011</v>
          </cell>
          <cell r="J10042">
            <v>8885.57</v>
          </cell>
        </row>
        <row r="10043">
          <cell r="A10043" t="str">
            <v>SERVYRE</v>
          </cell>
          <cell r="B10043" t="str">
            <v>530-25044-002-0000</v>
          </cell>
          <cell r="J10043">
            <v>54528.14</v>
          </cell>
        </row>
        <row r="10044">
          <cell r="A10044" t="str">
            <v>SERVYRE</v>
          </cell>
          <cell r="B10044" t="str">
            <v>530-25044-002-0001</v>
          </cell>
          <cell r="J10044">
            <v>21052.58</v>
          </cell>
        </row>
        <row r="10045">
          <cell r="A10045" t="str">
            <v>SERVYRE</v>
          </cell>
          <cell r="B10045" t="str">
            <v>530-25044-002-0002</v>
          </cell>
          <cell r="J10045">
            <v>15594.5</v>
          </cell>
        </row>
        <row r="10046">
          <cell r="A10046" t="str">
            <v>SERVYRE</v>
          </cell>
          <cell r="B10046" t="str">
            <v>530-25044-002-0003</v>
          </cell>
          <cell r="J10046">
            <v>8294.65</v>
          </cell>
        </row>
        <row r="10047">
          <cell r="A10047" t="str">
            <v>SERVYRE</v>
          </cell>
          <cell r="B10047" t="str">
            <v>530-25044-002-0004</v>
          </cell>
          <cell r="J10047">
            <v>9586.41</v>
          </cell>
        </row>
        <row r="10048">
          <cell r="A10048" t="str">
            <v>SERVYRE</v>
          </cell>
          <cell r="B10048" t="str">
            <v>530-25044-003-0000</v>
          </cell>
          <cell r="J10048">
            <v>67553.62</v>
          </cell>
        </row>
        <row r="10049">
          <cell r="A10049" t="str">
            <v>SERVYRE</v>
          </cell>
          <cell r="B10049" t="str">
            <v>530-25044-017-0000</v>
          </cell>
          <cell r="J10049">
            <v>7030674.3899999997</v>
          </cell>
        </row>
        <row r="10050">
          <cell r="A10050" t="str">
            <v>SERVYRE</v>
          </cell>
          <cell r="B10050" t="str">
            <v>530-25044-018-0000</v>
          </cell>
          <cell r="J10050">
            <v>128817.22</v>
          </cell>
        </row>
        <row r="10051">
          <cell r="A10051" t="str">
            <v>SERVYRE</v>
          </cell>
          <cell r="B10051" t="str">
            <v>530-25044-018-0001</v>
          </cell>
          <cell r="J10051">
            <v>128817.22</v>
          </cell>
        </row>
        <row r="10052">
          <cell r="A10052" t="str">
            <v>SERVYRE</v>
          </cell>
          <cell r="B10052" t="str">
            <v>530-25044-054-0000</v>
          </cell>
          <cell r="J10052">
            <v>820982.58</v>
          </cell>
        </row>
        <row r="10053">
          <cell r="A10053" t="str">
            <v>SERVYRE</v>
          </cell>
          <cell r="B10053" t="str">
            <v>530-25044-054-0006</v>
          </cell>
          <cell r="J10053">
            <v>820982.58</v>
          </cell>
        </row>
        <row r="10054">
          <cell r="A10054" t="str">
            <v>SERVYRE</v>
          </cell>
          <cell r="B10054" t="str">
            <v>530-25044-055-0000</v>
          </cell>
          <cell r="J10054">
            <v>3124697.12</v>
          </cell>
        </row>
        <row r="10055">
          <cell r="A10055" t="str">
            <v>SERVYRE</v>
          </cell>
          <cell r="B10055" t="str">
            <v>530-25044-061-0000</v>
          </cell>
          <cell r="J10055">
            <v>-1983.39</v>
          </cell>
        </row>
        <row r="10056">
          <cell r="A10056" t="str">
            <v>SERVYRE</v>
          </cell>
          <cell r="B10056" t="str">
            <v>530-25045-000-0000</v>
          </cell>
          <cell r="J10056">
            <v>25583770.629999999</v>
          </cell>
        </row>
        <row r="10057">
          <cell r="A10057" t="str">
            <v>SERVYRE</v>
          </cell>
          <cell r="B10057" t="str">
            <v>530-25045-001-0000</v>
          </cell>
          <cell r="J10057">
            <v>188278.05</v>
          </cell>
        </row>
        <row r="10058">
          <cell r="A10058" t="str">
            <v>SERVYRE</v>
          </cell>
          <cell r="B10058" t="str">
            <v>530-25045-001-0001</v>
          </cell>
          <cell r="J10058">
            <v>150519.22</v>
          </cell>
        </row>
        <row r="10059">
          <cell r="A10059" t="str">
            <v>SERVYRE</v>
          </cell>
          <cell r="B10059" t="str">
            <v>530-25045-001-0002</v>
          </cell>
          <cell r="J10059">
            <v>14166.69</v>
          </cell>
        </row>
        <row r="10060">
          <cell r="A10060" t="str">
            <v>SERVYRE</v>
          </cell>
          <cell r="B10060" t="str">
            <v>530-25045-001-0004</v>
          </cell>
          <cell r="J10060">
            <v>469.75</v>
          </cell>
        </row>
        <row r="10061">
          <cell r="A10061" t="str">
            <v>SERVYRE</v>
          </cell>
          <cell r="B10061" t="str">
            <v>530-25045-001-0005</v>
          </cell>
          <cell r="J10061">
            <v>7902.41</v>
          </cell>
        </row>
        <row r="10062">
          <cell r="A10062" t="str">
            <v>SERVYRE</v>
          </cell>
          <cell r="B10062" t="str">
            <v>530-25045-001-0006</v>
          </cell>
          <cell r="J10062">
            <v>7902.41</v>
          </cell>
        </row>
        <row r="10063">
          <cell r="A10063" t="str">
            <v>SERVYRE</v>
          </cell>
          <cell r="B10063" t="str">
            <v>530-25045-001-0009</v>
          </cell>
          <cell r="J10063">
            <v>1212.52</v>
          </cell>
        </row>
        <row r="10064">
          <cell r="A10064" t="str">
            <v>SERVYRE</v>
          </cell>
          <cell r="B10064" t="str">
            <v>530-25045-001-0011</v>
          </cell>
          <cell r="J10064">
            <v>6105.05</v>
          </cell>
        </row>
        <row r="10065">
          <cell r="A10065" t="str">
            <v>SERVYRE</v>
          </cell>
          <cell r="B10065" t="str">
            <v>530-25045-002-0000</v>
          </cell>
          <cell r="J10065">
            <v>73560.87</v>
          </cell>
        </row>
        <row r="10066">
          <cell r="A10066" t="str">
            <v>SERVYRE</v>
          </cell>
          <cell r="B10066" t="str">
            <v>530-25045-002-0001</v>
          </cell>
          <cell r="J10066">
            <v>22479.67</v>
          </cell>
        </row>
        <row r="10067">
          <cell r="A10067" t="str">
            <v>SERVYRE</v>
          </cell>
          <cell r="B10067" t="str">
            <v>530-25045-002-0002</v>
          </cell>
          <cell r="J10067">
            <v>12285.9</v>
          </cell>
        </row>
        <row r="10068">
          <cell r="A10068" t="str">
            <v>SERVYRE</v>
          </cell>
          <cell r="B10068" t="str">
            <v>530-25045-002-0003</v>
          </cell>
          <cell r="J10068">
            <v>7018.34</v>
          </cell>
        </row>
        <row r="10069">
          <cell r="A10069" t="str">
            <v>SERVYRE</v>
          </cell>
          <cell r="B10069" t="str">
            <v>530-25045-002-0004</v>
          </cell>
          <cell r="J10069">
            <v>31776.959999999999</v>
          </cell>
        </row>
        <row r="10070">
          <cell r="A10070" t="str">
            <v>SERVYRE</v>
          </cell>
          <cell r="B10070" t="str">
            <v>530-25045-003-0000</v>
          </cell>
          <cell r="J10070">
            <v>46351.43</v>
          </cell>
        </row>
        <row r="10071">
          <cell r="A10071" t="str">
            <v>SERVYRE</v>
          </cell>
          <cell r="B10071" t="str">
            <v>530-25045-016-0000</v>
          </cell>
          <cell r="J10071">
            <v>-15219.98</v>
          </cell>
        </row>
        <row r="10072">
          <cell r="A10072" t="str">
            <v>SERVYRE</v>
          </cell>
          <cell r="B10072" t="str">
            <v>530-25045-017-0000</v>
          </cell>
          <cell r="J10072">
            <v>9818170.8900000006</v>
          </cell>
        </row>
        <row r="10073">
          <cell r="A10073" t="str">
            <v>SERVYRE</v>
          </cell>
          <cell r="B10073" t="str">
            <v>530-25045-018-0000</v>
          </cell>
          <cell r="J10073">
            <v>1180886.8500000001</v>
          </cell>
        </row>
        <row r="10074">
          <cell r="A10074" t="str">
            <v>SERVYRE</v>
          </cell>
          <cell r="B10074" t="str">
            <v>530-25045-018-0003</v>
          </cell>
          <cell r="J10074">
            <v>501625.05</v>
          </cell>
        </row>
        <row r="10075">
          <cell r="A10075" t="str">
            <v>SERVYRE</v>
          </cell>
          <cell r="B10075" t="str">
            <v>530-25045-018-0004</v>
          </cell>
          <cell r="J10075">
            <v>525288.55000000005</v>
          </cell>
        </row>
        <row r="10076">
          <cell r="A10076" t="str">
            <v>SERVYRE</v>
          </cell>
          <cell r="B10076" t="str">
            <v>530-25045-018-0006</v>
          </cell>
          <cell r="J10076">
            <v>153973.25</v>
          </cell>
        </row>
        <row r="10077">
          <cell r="A10077" t="str">
            <v>SERVYRE</v>
          </cell>
          <cell r="B10077" t="str">
            <v>530-25045-038-0000</v>
          </cell>
          <cell r="J10077">
            <v>5650238.75</v>
          </cell>
        </row>
        <row r="10078">
          <cell r="A10078" t="str">
            <v>SERVYRE</v>
          </cell>
          <cell r="B10078" t="str">
            <v>530-25045-041-0000</v>
          </cell>
          <cell r="J10078">
            <v>4000</v>
          </cell>
        </row>
        <row r="10079">
          <cell r="A10079" t="str">
            <v>SERVYRE</v>
          </cell>
          <cell r="B10079" t="str">
            <v>530-25045-055-0000</v>
          </cell>
          <cell r="J10079">
            <v>8647934.8100000005</v>
          </cell>
        </row>
        <row r="10080">
          <cell r="A10080" t="str">
            <v>SERVYRE</v>
          </cell>
          <cell r="B10080" t="str">
            <v>530-25045-061-0000</v>
          </cell>
          <cell r="J10080">
            <v>-10431.040000000001</v>
          </cell>
        </row>
        <row r="10081">
          <cell r="A10081" t="str">
            <v>SERVYRE</v>
          </cell>
          <cell r="B10081" t="str">
            <v>530-25046-000-0000</v>
          </cell>
          <cell r="J10081">
            <v>1563453.97</v>
          </cell>
        </row>
        <row r="10082">
          <cell r="A10082" t="str">
            <v>SERVYRE</v>
          </cell>
          <cell r="B10082" t="str">
            <v>530-25046-001-0000</v>
          </cell>
          <cell r="J10082">
            <v>203828.25</v>
          </cell>
        </row>
        <row r="10083">
          <cell r="A10083" t="str">
            <v>SERVYRE</v>
          </cell>
          <cell r="B10083" t="str">
            <v>530-25046-001-0001</v>
          </cell>
          <cell r="J10083">
            <v>163909.65</v>
          </cell>
        </row>
        <row r="10084">
          <cell r="A10084" t="str">
            <v>SERVYRE</v>
          </cell>
          <cell r="B10084" t="str">
            <v>530-25046-001-0002</v>
          </cell>
          <cell r="J10084">
            <v>15295.89</v>
          </cell>
        </row>
        <row r="10085">
          <cell r="A10085" t="str">
            <v>SERVYRE</v>
          </cell>
          <cell r="B10085" t="str">
            <v>530-25046-001-0005</v>
          </cell>
          <cell r="J10085">
            <v>8606.08</v>
          </cell>
        </row>
        <row r="10086">
          <cell r="A10086" t="str">
            <v>SERVYRE</v>
          </cell>
          <cell r="B10086" t="str">
            <v>530-25046-001-0006</v>
          </cell>
          <cell r="J10086">
            <v>8606.08</v>
          </cell>
        </row>
        <row r="10087">
          <cell r="A10087" t="str">
            <v>SERVYRE</v>
          </cell>
          <cell r="B10087" t="str">
            <v>530-25046-001-0009</v>
          </cell>
          <cell r="J10087">
            <v>462.79</v>
          </cell>
        </row>
        <row r="10088">
          <cell r="A10088" t="str">
            <v>SERVYRE</v>
          </cell>
          <cell r="B10088" t="str">
            <v>530-25046-001-0011</v>
          </cell>
          <cell r="J10088">
            <v>6947.76</v>
          </cell>
        </row>
        <row r="10089">
          <cell r="A10089" t="str">
            <v>SERVYRE</v>
          </cell>
          <cell r="B10089" t="str">
            <v>530-25046-002-0000</v>
          </cell>
          <cell r="J10089">
            <v>46559.28</v>
          </cell>
        </row>
        <row r="10090">
          <cell r="A10090" t="str">
            <v>SERVYRE</v>
          </cell>
          <cell r="B10090" t="str">
            <v>530-25046-002-0001</v>
          </cell>
          <cell r="J10090">
            <v>17071.25</v>
          </cell>
        </row>
        <row r="10091">
          <cell r="A10091" t="str">
            <v>SERVYRE</v>
          </cell>
          <cell r="B10091" t="str">
            <v>530-25046-002-0002</v>
          </cell>
          <cell r="J10091">
            <v>14079.77</v>
          </cell>
        </row>
        <row r="10092">
          <cell r="A10092" t="str">
            <v>SERVYRE</v>
          </cell>
          <cell r="B10092" t="str">
            <v>530-25046-002-0003</v>
          </cell>
          <cell r="J10092">
            <v>8090.83</v>
          </cell>
        </row>
        <row r="10093">
          <cell r="A10093" t="str">
            <v>SERVYRE</v>
          </cell>
          <cell r="B10093" t="str">
            <v>530-25046-002-0004</v>
          </cell>
          <cell r="J10093">
            <v>7317.43</v>
          </cell>
        </row>
        <row r="10094">
          <cell r="A10094" t="str">
            <v>SERVYRE</v>
          </cell>
          <cell r="B10094" t="str">
            <v>530-25046-003-0000</v>
          </cell>
          <cell r="J10094">
            <v>34334.54</v>
          </cell>
        </row>
        <row r="10095">
          <cell r="A10095" t="str">
            <v>SERVYRE</v>
          </cell>
          <cell r="B10095" t="str">
            <v>530-25046-017-0000</v>
          </cell>
          <cell r="J10095">
            <v>659667.91</v>
          </cell>
        </row>
        <row r="10096">
          <cell r="A10096" t="str">
            <v>SERVYRE</v>
          </cell>
          <cell r="B10096" t="str">
            <v>530-25046-055-0000</v>
          </cell>
          <cell r="J10096">
            <v>632348.15</v>
          </cell>
        </row>
        <row r="10097">
          <cell r="A10097" t="str">
            <v>SERVYRE</v>
          </cell>
          <cell r="B10097" t="str">
            <v>530-25046-061-0000</v>
          </cell>
          <cell r="J10097">
            <v>-13284.16</v>
          </cell>
        </row>
        <row r="10098">
          <cell r="A10098" t="str">
            <v>SERVYRE</v>
          </cell>
          <cell r="B10098" t="str">
            <v>530-25047-000-0000</v>
          </cell>
          <cell r="J10098">
            <v>957358.12</v>
          </cell>
        </row>
        <row r="10099">
          <cell r="A10099" t="str">
            <v>SERVYRE</v>
          </cell>
          <cell r="B10099" t="str">
            <v>530-25047-001-0000</v>
          </cell>
          <cell r="J10099">
            <v>66916.59</v>
          </cell>
        </row>
        <row r="10100">
          <cell r="A10100" t="str">
            <v>SERVYRE</v>
          </cell>
          <cell r="B10100" t="str">
            <v>530-25047-001-0001</v>
          </cell>
          <cell r="J10100">
            <v>52102</v>
          </cell>
        </row>
        <row r="10101">
          <cell r="A10101" t="str">
            <v>SERVYRE</v>
          </cell>
          <cell r="B10101" t="str">
            <v>530-25047-001-0002</v>
          </cell>
          <cell r="J10101">
            <v>4865.29</v>
          </cell>
        </row>
        <row r="10102">
          <cell r="A10102" t="str">
            <v>SERVYRE</v>
          </cell>
          <cell r="B10102" t="str">
            <v>530-25047-001-0005</v>
          </cell>
          <cell r="J10102">
            <v>3556.52</v>
          </cell>
        </row>
        <row r="10103">
          <cell r="A10103" t="str">
            <v>SERVYRE</v>
          </cell>
          <cell r="B10103" t="str">
            <v>530-25047-001-0006</v>
          </cell>
          <cell r="J10103">
            <v>3556.52</v>
          </cell>
        </row>
        <row r="10104">
          <cell r="A10104" t="str">
            <v>SERVYRE</v>
          </cell>
          <cell r="B10104" t="str">
            <v>530-25047-001-0011</v>
          </cell>
          <cell r="J10104">
            <v>2836.26</v>
          </cell>
        </row>
        <row r="10105">
          <cell r="A10105" t="str">
            <v>SERVYRE</v>
          </cell>
          <cell r="B10105" t="str">
            <v>530-25047-002-0000</v>
          </cell>
          <cell r="J10105">
            <v>13834.78</v>
          </cell>
        </row>
        <row r="10106">
          <cell r="A10106" t="str">
            <v>SERVYRE</v>
          </cell>
          <cell r="B10106" t="str">
            <v>530-25047-002-0001</v>
          </cell>
          <cell r="J10106">
            <v>6740.63</v>
          </cell>
        </row>
        <row r="10107">
          <cell r="A10107" t="str">
            <v>SERVYRE</v>
          </cell>
          <cell r="B10107" t="str">
            <v>530-25047-002-0002</v>
          </cell>
          <cell r="J10107">
            <v>3033.31</v>
          </cell>
        </row>
        <row r="10108">
          <cell r="A10108" t="str">
            <v>SERVYRE</v>
          </cell>
          <cell r="B10108" t="str">
            <v>530-25047-002-0003</v>
          </cell>
          <cell r="J10108">
            <v>1623.12</v>
          </cell>
        </row>
        <row r="10109">
          <cell r="A10109" t="str">
            <v>SERVYRE</v>
          </cell>
          <cell r="B10109" t="str">
            <v>530-25047-002-0004</v>
          </cell>
          <cell r="J10109">
            <v>2437.7199999999998</v>
          </cell>
        </row>
        <row r="10110">
          <cell r="A10110" t="str">
            <v>SERVYRE</v>
          </cell>
          <cell r="B10110" t="str">
            <v>530-25047-003-0000</v>
          </cell>
          <cell r="J10110">
            <v>6497.77</v>
          </cell>
        </row>
        <row r="10111">
          <cell r="A10111" t="str">
            <v>SERVYRE</v>
          </cell>
          <cell r="B10111" t="str">
            <v>530-25047-017-0000</v>
          </cell>
          <cell r="J10111">
            <v>181280</v>
          </cell>
        </row>
        <row r="10112">
          <cell r="A10112" t="str">
            <v>SERVYRE</v>
          </cell>
          <cell r="B10112" t="str">
            <v>530-25047-041-0000</v>
          </cell>
          <cell r="J10112">
            <v>61500</v>
          </cell>
        </row>
        <row r="10113">
          <cell r="A10113" t="str">
            <v>SERVYRE</v>
          </cell>
          <cell r="B10113" t="str">
            <v>530-25047-054-0000</v>
          </cell>
          <cell r="J10113">
            <v>0</v>
          </cell>
        </row>
        <row r="10114">
          <cell r="A10114" t="str">
            <v>SERVYRE</v>
          </cell>
          <cell r="B10114" t="str">
            <v>530-25047-054-0006</v>
          </cell>
          <cell r="J10114">
            <v>0</v>
          </cell>
        </row>
        <row r="10115">
          <cell r="A10115" t="str">
            <v>SERVYRE</v>
          </cell>
          <cell r="B10115" t="str">
            <v>530-25047-055-0000</v>
          </cell>
          <cell r="J10115">
            <v>627328.98</v>
          </cell>
        </row>
        <row r="10116">
          <cell r="A10116" t="str">
            <v>SERVYRE</v>
          </cell>
          <cell r="B10116" t="str">
            <v>530-25301-000-0000</v>
          </cell>
          <cell r="J10116">
            <v>9262.15</v>
          </cell>
        </row>
        <row r="10117">
          <cell r="A10117" t="str">
            <v>SERVYRE</v>
          </cell>
          <cell r="B10117" t="str">
            <v>530-25301-003-0000</v>
          </cell>
          <cell r="J10117">
            <v>9262.15</v>
          </cell>
        </row>
        <row r="10118">
          <cell r="A10118" t="str">
            <v>SERVYRE</v>
          </cell>
          <cell r="B10118" t="str">
            <v>530-25403-000-0000</v>
          </cell>
          <cell r="J10118">
            <v>-14066.66</v>
          </cell>
        </row>
        <row r="10119">
          <cell r="A10119" t="str">
            <v>SERVYRE</v>
          </cell>
          <cell r="B10119" t="str">
            <v>530-25403-055-0000</v>
          </cell>
          <cell r="J10119">
            <v>-14066.66</v>
          </cell>
        </row>
        <row r="10120">
          <cell r="A10120" t="str">
            <v>SERVYRE</v>
          </cell>
          <cell r="B10120" t="str">
            <v>530-25404-000-0000</v>
          </cell>
          <cell r="J10120">
            <v>-6171.75</v>
          </cell>
        </row>
        <row r="10121">
          <cell r="A10121" t="str">
            <v>SERVYRE</v>
          </cell>
          <cell r="B10121" t="str">
            <v>530-25404-055-0000</v>
          </cell>
          <cell r="J10121">
            <v>-6171.75</v>
          </cell>
        </row>
        <row r="10122">
          <cell r="A10122" t="str">
            <v>SERVYRE</v>
          </cell>
          <cell r="B10122" t="str">
            <v>530-25405-000-0000</v>
          </cell>
          <cell r="J10122">
            <v>-12099.38</v>
          </cell>
        </row>
        <row r="10123">
          <cell r="A10123" t="str">
            <v>SERVYRE</v>
          </cell>
          <cell r="B10123" t="str">
            <v>530-25405-055-0000</v>
          </cell>
          <cell r="J10123">
            <v>-12099.38</v>
          </cell>
        </row>
        <row r="10124">
          <cell r="A10124" t="str">
            <v>SERVYRE</v>
          </cell>
          <cell r="B10124" t="str">
            <v>530-25406-000-0000</v>
          </cell>
          <cell r="J10124">
            <v>18463.71</v>
          </cell>
        </row>
        <row r="10125">
          <cell r="A10125" t="str">
            <v>SERVYRE</v>
          </cell>
          <cell r="B10125" t="str">
            <v>530-25406-001-0000</v>
          </cell>
          <cell r="J10125">
            <v>5596.7</v>
          </cell>
        </row>
        <row r="10126">
          <cell r="A10126" t="str">
            <v>SERVYRE</v>
          </cell>
          <cell r="B10126" t="str">
            <v>530-25406-001-0001</v>
          </cell>
          <cell r="J10126">
            <v>3823.43</v>
          </cell>
        </row>
        <row r="10127">
          <cell r="A10127" t="str">
            <v>SERVYRE</v>
          </cell>
          <cell r="B10127" t="str">
            <v>530-25406-001-0002</v>
          </cell>
          <cell r="J10127">
            <v>420.56</v>
          </cell>
        </row>
        <row r="10128">
          <cell r="A10128" t="str">
            <v>SERVYRE</v>
          </cell>
          <cell r="B10128" t="str">
            <v>530-25406-001-0005</v>
          </cell>
          <cell r="J10128">
            <v>345.6</v>
          </cell>
        </row>
        <row r="10129">
          <cell r="A10129" t="str">
            <v>SERVYRE</v>
          </cell>
          <cell r="B10129" t="str">
            <v>530-25406-001-0006</v>
          </cell>
          <cell r="J10129">
            <v>345.6</v>
          </cell>
        </row>
        <row r="10130">
          <cell r="A10130" t="str">
            <v>SERVYRE</v>
          </cell>
          <cell r="B10130" t="str">
            <v>530-25406-001-0009</v>
          </cell>
          <cell r="J10130">
            <v>601.41999999999996</v>
          </cell>
        </row>
        <row r="10131">
          <cell r="A10131" t="str">
            <v>SERVYRE</v>
          </cell>
          <cell r="B10131" t="str">
            <v>530-25406-001-0011</v>
          </cell>
          <cell r="J10131">
            <v>60.09</v>
          </cell>
        </row>
        <row r="10132">
          <cell r="A10132" t="str">
            <v>SERVYRE</v>
          </cell>
          <cell r="B10132" t="str">
            <v>530-25406-002-0000</v>
          </cell>
          <cell r="J10132">
            <v>817.38</v>
          </cell>
        </row>
        <row r="10133">
          <cell r="A10133" t="str">
            <v>SERVYRE</v>
          </cell>
          <cell r="B10133" t="str">
            <v>530-25406-002-0001</v>
          </cell>
          <cell r="J10133">
            <v>612.74</v>
          </cell>
        </row>
        <row r="10134">
          <cell r="A10134" t="str">
            <v>SERVYRE</v>
          </cell>
          <cell r="B10134" t="str">
            <v>530-25406-002-0004</v>
          </cell>
          <cell r="J10134">
            <v>204.64</v>
          </cell>
        </row>
        <row r="10135">
          <cell r="A10135" t="str">
            <v>SERVYRE</v>
          </cell>
          <cell r="B10135" t="str">
            <v>530-25406-003-0000</v>
          </cell>
          <cell r="J10135">
            <v>1273.3800000000001</v>
          </cell>
        </row>
        <row r="10136">
          <cell r="A10136" t="str">
            <v>SERVYRE</v>
          </cell>
          <cell r="B10136" t="str">
            <v>530-25406-016-0000</v>
          </cell>
          <cell r="J10136">
            <v>5305.75</v>
          </cell>
        </row>
        <row r="10137">
          <cell r="A10137" t="str">
            <v>SERVYRE</v>
          </cell>
          <cell r="B10137" t="str">
            <v>530-25406-054-0000</v>
          </cell>
          <cell r="J10137">
            <v>5470.5</v>
          </cell>
        </row>
        <row r="10138">
          <cell r="A10138" t="str">
            <v>SERVYRE</v>
          </cell>
          <cell r="B10138" t="str">
            <v>530-25406-054-0006</v>
          </cell>
          <cell r="J10138">
            <v>5470.5</v>
          </cell>
        </row>
        <row r="10139">
          <cell r="A10139" t="str">
            <v>SERVYRE</v>
          </cell>
          <cell r="B10139" t="str">
            <v>530-25407-000-0000</v>
          </cell>
          <cell r="J10139">
            <v>17727.5</v>
          </cell>
        </row>
        <row r="10140">
          <cell r="A10140" t="str">
            <v>SERVYRE</v>
          </cell>
          <cell r="B10140" t="str">
            <v>530-25407-016-0000</v>
          </cell>
          <cell r="J10140">
            <v>17727.5</v>
          </cell>
        </row>
        <row r="10141">
          <cell r="A10141" t="str">
            <v>SERVYRE</v>
          </cell>
          <cell r="B10141" t="str">
            <v>530-26002-000-0000</v>
          </cell>
          <cell r="J10141">
            <v>157704.87</v>
          </cell>
        </row>
        <row r="10142">
          <cell r="A10142" t="str">
            <v>SERVYRE</v>
          </cell>
          <cell r="B10142" t="str">
            <v>530-26002-016-0000</v>
          </cell>
          <cell r="J10142">
            <v>14429.44</v>
          </cell>
        </row>
        <row r="10143">
          <cell r="A10143" t="str">
            <v>SERVYRE</v>
          </cell>
          <cell r="B10143" t="str">
            <v>530-26002-055-0000</v>
          </cell>
          <cell r="J10143">
            <v>143275.43</v>
          </cell>
        </row>
        <row r="10144">
          <cell r="A10144" t="str">
            <v>SERVYRE</v>
          </cell>
          <cell r="B10144" t="str">
            <v>530-26003-000-0000</v>
          </cell>
          <cell r="J10144">
            <v>247052.67</v>
          </cell>
        </row>
        <row r="10145">
          <cell r="A10145" t="str">
            <v>SERVYRE</v>
          </cell>
          <cell r="B10145" t="str">
            <v>530-26003-016-0000</v>
          </cell>
          <cell r="J10145">
            <v>18749.84</v>
          </cell>
        </row>
        <row r="10146">
          <cell r="A10146" t="str">
            <v>SERVYRE</v>
          </cell>
          <cell r="B10146" t="str">
            <v>530-26003-055-0000</v>
          </cell>
          <cell r="J10146">
            <v>228302.83</v>
          </cell>
        </row>
        <row r="10147">
          <cell r="A10147" t="str">
            <v>SERVYRE</v>
          </cell>
          <cell r="B10147" t="str">
            <v>530-26004-000-0000</v>
          </cell>
          <cell r="J10147">
            <v>460955.24</v>
          </cell>
        </row>
        <row r="10148">
          <cell r="A10148" t="str">
            <v>SERVYRE</v>
          </cell>
          <cell r="B10148" t="str">
            <v>530-26004-001-0000</v>
          </cell>
          <cell r="J10148">
            <v>107166.21</v>
          </cell>
        </row>
        <row r="10149">
          <cell r="A10149" t="str">
            <v>SERVYRE</v>
          </cell>
          <cell r="B10149" t="str">
            <v>530-26004-001-0001</v>
          </cell>
          <cell r="J10149">
            <v>88576.2</v>
          </cell>
        </row>
        <row r="10150">
          <cell r="A10150" t="str">
            <v>SERVYRE</v>
          </cell>
          <cell r="B10150" t="str">
            <v>530-26004-001-0002</v>
          </cell>
          <cell r="J10150">
            <v>8170.19</v>
          </cell>
        </row>
        <row r="10151">
          <cell r="A10151" t="str">
            <v>SERVYRE</v>
          </cell>
          <cell r="B10151" t="str">
            <v>530-26004-001-0005</v>
          </cell>
          <cell r="J10151">
            <v>2576.2199999999998</v>
          </cell>
        </row>
        <row r="10152">
          <cell r="A10152" t="str">
            <v>SERVYRE</v>
          </cell>
          <cell r="B10152" t="str">
            <v>530-26004-001-0006</v>
          </cell>
          <cell r="J10152">
            <v>2576.2199999999998</v>
          </cell>
        </row>
        <row r="10153">
          <cell r="A10153" t="str">
            <v>SERVYRE</v>
          </cell>
          <cell r="B10153" t="str">
            <v>530-26004-001-0009</v>
          </cell>
          <cell r="J10153">
            <v>1746.99</v>
          </cell>
        </row>
        <row r="10154">
          <cell r="A10154" t="str">
            <v>SERVYRE</v>
          </cell>
          <cell r="B10154" t="str">
            <v>530-26004-001-0011</v>
          </cell>
          <cell r="J10154">
            <v>3520.39</v>
          </cell>
        </row>
        <row r="10155">
          <cell r="A10155" t="str">
            <v>SERVYRE</v>
          </cell>
          <cell r="B10155" t="str">
            <v>530-26004-002-0000</v>
          </cell>
          <cell r="J10155">
            <v>40176.800000000003</v>
          </cell>
        </row>
        <row r="10156">
          <cell r="A10156" t="str">
            <v>SERVYRE</v>
          </cell>
          <cell r="B10156" t="str">
            <v>530-26004-002-0001</v>
          </cell>
          <cell r="J10156">
            <v>11663.32</v>
          </cell>
        </row>
        <row r="10157">
          <cell r="A10157" t="str">
            <v>SERVYRE</v>
          </cell>
          <cell r="B10157" t="str">
            <v>530-26004-002-0002</v>
          </cell>
          <cell r="J10157">
            <v>15499.86</v>
          </cell>
        </row>
        <row r="10158">
          <cell r="A10158" t="str">
            <v>SERVYRE</v>
          </cell>
          <cell r="B10158" t="str">
            <v>530-26004-002-0003</v>
          </cell>
          <cell r="J10158">
            <v>9186.1200000000008</v>
          </cell>
        </row>
        <row r="10159">
          <cell r="A10159" t="str">
            <v>SERVYRE</v>
          </cell>
          <cell r="B10159" t="str">
            <v>530-26004-002-0004</v>
          </cell>
          <cell r="J10159">
            <v>3827.5</v>
          </cell>
        </row>
        <row r="10160">
          <cell r="A10160" t="str">
            <v>SERVYRE</v>
          </cell>
          <cell r="B10160" t="str">
            <v>530-26004-003-0000</v>
          </cell>
          <cell r="J10160">
            <v>3956.71</v>
          </cell>
        </row>
        <row r="10161">
          <cell r="A10161" t="str">
            <v>SERVYRE</v>
          </cell>
          <cell r="B10161" t="str">
            <v>530-26004-016-0000</v>
          </cell>
          <cell r="J10161">
            <v>35255.519999999997</v>
          </cell>
        </row>
        <row r="10162">
          <cell r="A10162" t="str">
            <v>SERVYRE</v>
          </cell>
          <cell r="B10162" t="str">
            <v>530-26004-017-0000</v>
          </cell>
          <cell r="J10162">
            <v>274400</v>
          </cell>
        </row>
        <row r="10163">
          <cell r="A10163" t="str">
            <v>SERVYRE</v>
          </cell>
          <cell r="B10163" t="str">
            <v>530-26005-000-0000</v>
          </cell>
          <cell r="J10163">
            <v>226030.43</v>
          </cell>
        </row>
        <row r="10164">
          <cell r="A10164" t="str">
            <v>SERVYRE</v>
          </cell>
          <cell r="B10164" t="str">
            <v>530-26005-001-0000</v>
          </cell>
          <cell r="J10164">
            <v>10440.9</v>
          </cell>
        </row>
        <row r="10165">
          <cell r="A10165" t="str">
            <v>SERVYRE</v>
          </cell>
          <cell r="B10165" t="str">
            <v>530-26005-001-0001</v>
          </cell>
          <cell r="J10165">
            <v>7774.81</v>
          </cell>
        </row>
        <row r="10166">
          <cell r="A10166" t="str">
            <v>SERVYRE</v>
          </cell>
          <cell r="B10166" t="str">
            <v>530-26005-001-0002</v>
          </cell>
          <cell r="J10166">
            <v>716.84</v>
          </cell>
        </row>
        <row r="10167">
          <cell r="A10167" t="str">
            <v>SERVYRE</v>
          </cell>
          <cell r="B10167" t="str">
            <v>530-26005-001-0005</v>
          </cell>
          <cell r="J10167">
            <v>817.68</v>
          </cell>
        </row>
        <row r="10168">
          <cell r="A10168" t="str">
            <v>SERVYRE</v>
          </cell>
          <cell r="B10168" t="str">
            <v>530-26005-001-0006</v>
          </cell>
          <cell r="J10168">
            <v>817.68</v>
          </cell>
        </row>
        <row r="10169">
          <cell r="A10169" t="str">
            <v>SERVYRE</v>
          </cell>
          <cell r="B10169" t="str">
            <v>530-26005-001-0011</v>
          </cell>
          <cell r="J10169">
            <v>313.89</v>
          </cell>
        </row>
        <row r="10170">
          <cell r="A10170" t="str">
            <v>SERVYRE</v>
          </cell>
          <cell r="B10170" t="str">
            <v>530-26005-002-0000</v>
          </cell>
          <cell r="J10170">
            <v>3370.89</v>
          </cell>
        </row>
        <row r="10171">
          <cell r="A10171" t="str">
            <v>SERVYRE</v>
          </cell>
          <cell r="B10171" t="str">
            <v>530-26005-002-0001</v>
          </cell>
          <cell r="J10171">
            <v>912.74</v>
          </cell>
        </row>
        <row r="10172">
          <cell r="A10172" t="str">
            <v>SERVYRE</v>
          </cell>
          <cell r="B10172" t="str">
            <v>530-26005-002-0002</v>
          </cell>
          <cell r="J10172">
            <v>1364.54</v>
          </cell>
        </row>
        <row r="10173">
          <cell r="A10173" t="str">
            <v>SERVYRE</v>
          </cell>
          <cell r="B10173" t="str">
            <v>530-26005-002-0003</v>
          </cell>
          <cell r="J10173">
            <v>717.2</v>
          </cell>
        </row>
        <row r="10174">
          <cell r="A10174" t="str">
            <v>SERVYRE</v>
          </cell>
          <cell r="B10174" t="str">
            <v>530-26005-002-0004</v>
          </cell>
          <cell r="J10174">
            <v>376.41</v>
          </cell>
        </row>
        <row r="10175">
          <cell r="A10175" t="str">
            <v>SERVYRE</v>
          </cell>
          <cell r="B10175" t="str">
            <v>530-26005-003-0000</v>
          </cell>
          <cell r="J10175">
            <v>20567.849999999999</v>
          </cell>
        </row>
        <row r="10176">
          <cell r="A10176" t="str">
            <v>SERVYRE</v>
          </cell>
          <cell r="B10176" t="str">
            <v>530-26005-016-0000</v>
          </cell>
          <cell r="J10176">
            <v>13174.72</v>
          </cell>
        </row>
        <row r="10177">
          <cell r="A10177" t="str">
            <v>SERVYRE</v>
          </cell>
          <cell r="B10177" t="str">
            <v>530-26005-017-0000</v>
          </cell>
          <cell r="J10177">
            <v>179518.34</v>
          </cell>
        </row>
        <row r="10178">
          <cell r="A10178" t="str">
            <v>SERVYRE</v>
          </cell>
          <cell r="B10178" t="str">
            <v>530-26005-061-0000</v>
          </cell>
          <cell r="J10178">
            <v>-1042.27</v>
          </cell>
        </row>
        <row r="10179">
          <cell r="A10179" t="str">
            <v>SERVYRE</v>
          </cell>
          <cell r="B10179" t="str">
            <v>530-26006-000-0000</v>
          </cell>
          <cell r="J10179">
            <v>90780.92</v>
          </cell>
        </row>
        <row r="10180">
          <cell r="A10180" t="str">
            <v>SERVYRE</v>
          </cell>
          <cell r="B10180" t="str">
            <v>530-26006-001-0000</v>
          </cell>
          <cell r="J10180">
            <v>62322.37</v>
          </cell>
        </row>
        <row r="10181">
          <cell r="A10181" t="str">
            <v>SERVYRE</v>
          </cell>
          <cell r="B10181" t="str">
            <v>530-26006-001-0001</v>
          </cell>
          <cell r="J10181">
            <v>52042.05</v>
          </cell>
        </row>
        <row r="10182">
          <cell r="A10182" t="str">
            <v>SERVYRE</v>
          </cell>
          <cell r="B10182" t="str">
            <v>530-26006-001-0002</v>
          </cell>
          <cell r="J10182">
            <v>4556.09</v>
          </cell>
        </row>
        <row r="10183">
          <cell r="A10183" t="str">
            <v>SERVYRE</v>
          </cell>
          <cell r="B10183" t="str">
            <v>530-26006-001-0005</v>
          </cell>
          <cell r="J10183">
            <v>1860.05</v>
          </cell>
        </row>
        <row r="10184">
          <cell r="A10184" t="str">
            <v>SERVYRE</v>
          </cell>
          <cell r="B10184" t="str">
            <v>530-26006-001-0006</v>
          </cell>
          <cell r="J10184">
            <v>1860.05</v>
          </cell>
        </row>
        <row r="10185">
          <cell r="A10185" t="str">
            <v>SERVYRE</v>
          </cell>
          <cell r="B10185" t="str">
            <v>530-26006-001-0011</v>
          </cell>
          <cell r="J10185">
            <v>2004.13</v>
          </cell>
        </row>
        <row r="10186">
          <cell r="A10186" t="str">
            <v>SERVYRE</v>
          </cell>
          <cell r="B10186" t="str">
            <v>530-26006-002-0000</v>
          </cell>
          <cell r="J10186">
            <v>14610.01</v>
          </cell>
        </row>
        <row r="10187">
          <cell r="A10187" t="str">
            <v>SERVYRE</v>
          </cell>
          <cell r="B10187" t="str">
            <v>530-26006-002-0001</v>
          </cell>
          <cell r="J10187">
            <v>7230.1</v>
          </cell>
        </row>
        <row r="10188">
          <cell r="A10188" t="str">
            <v>SERVYRE</v>
          </cell>
          <cell r="B10188" t="str">
            <v>530-26006-002-0002</v>
          </cell>
          <cell r="J10188">
            <v>3242.22</v>
          </cell>
        </row>
        <row r="10189">
          <cell r="A10189" t="str">
            <v>SERVYRE</v>
          </cell>
          <cell r="B10189" t="str">
            <v>530-26006-002-0003</v>
          </cell>
          <cell r="J10189">
            <v>1906.14</v>
          </cell>
        </row>
        <row r="10190">
          <cell r="A10190" t="str">
            <v>SERVYRE</v>
          </cell>
          <cell r="B10190" t="str">
            <v>530-26006-002-0004</v>
          </cell>
          <cell r="J10190">
            <v>2231.5500000000002</v>
          </cell>
        </row>
        <row r="10191">
          <cell r="A10191" t="str">
            <v>SERVYRE</v>
          </cell>
          <cell r="B10191" t="str">
            <v>530-26006-003-0000</v>
          </cell>
          <cell r="J10191">
            <v>7773.72</v>
          </cell>
        </row>
        <row r="10192">
          <cell r="A10192" t="str">
            <v>SERVYRE</v>
          </cell>
          <cell r="B10192" t="str">
            <v>530-26006-016-0000</v>
          </cell>
          <cell r="J10192">
            <v>6890.3</v>
          </cell>
        </row>
        <row r="10193">
          <cell r="A10193" t="str">
            <v>SERVYRE</v>
          </cell>
          <cell r="B10193" t="str">
            <v>530-26006-061-0000</v>
          </cell>
          <cell r="J10193">
            <v>-815.48</v>
          </cell>
        </row>
        <row r="10194">
          <cell r="A10194" t="str">
            <v>SERVYRE</v>
          </cell>
          <cell r="B10194" t="str">
            <v>530-26007-000-0000</v>
          </cell>
          <cell r="J10194">
            <v>168924.79</v>
          </cell>
        </row>
        <row r="10195">
          <cell r="A10195" t="str">
            <v>SERVYRE</v>
          </cell>
          <cell r="B10195" t="str">
            <v>530-26007-001-0000</v>
          </cell>
          <cell r="J10195">
            <v>51390.78</v>
          </cell>
        </row>
        <row r="10196">
          <cell r="A10196" t="str">
            <v>SERVYRE</v>
          </cell>
          <cell r="B10196" t="str">
            <v>530-26007-001-0001</v>
          </cell>
          <cell r="J10196">
            <v>43657.01</v>
          </cell>
        </row>
        <row r="10197">
          <cell r="A10197" t="str">
            <v>SERVYRE</v>
          </cell>
          <cell r="B10197" t="str">
            <v>530-26007-001-0002</v>
          </cell>
          <cell r="J10197">
            <v>3618.86</v>
          </cell>
        </row>
        <row r="10198">
          <cell r="A10198" t="str">
            <v>SERVYRE</v>
          </cell>
          <cell r="B10198" t="str">
            <v>530-26007-001-0005</v>
          </cell>
          <cell r="J10198">
            <v>1215.73</v>
          </cell>
        </row>
        <row r="10199">
          <cell r="A10199" t="str">
            <v>SERVYRE</v>
          </cell>
          <cell r="B10199" t="str">
            <v>530-26007-001-0006</v>
          </cell>
          <cell r="J10199">
            <v>1215.73</v>
          </cell>
        </row>
        <row r="10200">
          <cell r="A10200" t="str">
            <v>SERVYRE</v>
          </cell>
          <cell r="B10200" t="str">
            <v>530-26007-001-0011</v>
          </cell>
          <cell r="J10200">
            <v>1683.45</v>
          </cell>
        </row>
        <row r="10201">
          <cell r="A10201" t="str">
            <v>SERVYRE</v>
          </cell>
          <cell r="B10201" t="str">
            <v>530-26007-002-0000</v>
          </cell>
          <cell r="J10201">
            <v>14693.7</v>
          </cell>
        </row>
        <row r="10202">
          <cell r="A10202" t="str">
            <v>SERVYRE</v>
          </cell>
          <cell r="B10202" t="str">
            <v>530-26007-002-0001</v>
          </cell>
          <cell r="J10202">
            <v>3747.66</v>
          </cell>
        </row>
        <row r="10203">
          <cell r="A10203" t="str">
            <v>SERVYRE</v>
          </cell>
          <cell r="B10203" t="str">
            <v>530-26007-002-0002</v>
          </cell>
          <cell r="J10203">
            <v>5718.47</v>
          </cell>
        </row>
        <row r="10204">
          <cell r="A10204" t="str">
            <v>SERVYRE</v>
          </cell>
          <cell r="B10204" t="str">
            <v>530-26007-002-0003</v>
          </cell>
          <cell r="J10204">
            <v>3337.16</v>
          </cell>
        </row>
        <row r="10205">
          <cell r="A10205" t="str">
            <v>SERVYRE</v>
          </cell>
          <cell r="B10205" t="str">
            <v>530-26007-002-0004</v>
          </cell>
          <cell r="J10205">
            <v>1890.41</v>
          </cell>
        </row>
        <row r="10206">
          <cell r="A10206" t="str">
            <v>SERVYRE</v>
          </cell>
          <cell r="B10206" t="str">
            <v>530-26007-016-0000</v>
          </cell>
          <cell r="J10206">
            <v>7524</v>
          </cell>
        </row>
        <row r="10207">
          <cell r="A10207" t="str">
            <v>SERVYRE</v>
          </cell>
          <cell r="B10207" t="str">
            <v>530-26007-055-0000</v>
          </cell>
          <cell r="J10207">
            <v>98523.27</v>
          </cell>
        </row>
        <row r="10208">
          <cell r="A10208" t="str">
            <v>SERVYRE</v>
          </cell>
          <cell r="B10208" t="str">
            <v>530-26007-061-0000</v>
          </cell>
          <cell r="J10208">
            <v>-3206.96</v>
          </cell>
        </row>
        <row r="10209">
          <cell r="A10209" t="str">
            <v>SERVYRE</v>
          </cell>
          <cell r="B10209" t="str">
            <v>530-26008-000-0000</v>
          </cell>
          <cell r="J10209">
            <v>877454.69</v>
          </cell>
        </row>
        <row r="10210">
          <cell r="A10210" t="str">
            <v>SERVYRE</v>
          </cell>
          <cell r="B10210" t="str">
            <v>530-26008-001-0000</v>
          </cell>
          <cell r="J10210">
            <v>18874.900000000001</v>
          </cell>
        </row>
        <row r="10211">
          <cell r="A10211" t="str">
            <v>SERVYRE</v>
          </cell>
          <cell r="B10211" t="str">
            <v>530-26008-001-0001</v>
          </cell>
          <cell r="J10211">
            <v>14028.09</v>
          </cell>
        </row>
        <row r="10212">
          <cell r="A10212" t="str">
            <v>SERVYRE</v>
          </cell>
          <cell r="B10212" t="str">
            <v>530-26008-001-0002</v>
          </cell>
          <cell r="J10212">
            <v>1341.57</v>
          </cell>
        </row>
        <row r="10213">
          <cell r="A10213" t="str">
            <v>SERVYRE</v>
          </cell>
          <cell r="B10213" t="str">
            <v>530-26008-001-0005</v>
          </cell>
          <cell r="J10213">
            <v>1471.98</v>
          </cell>
        </row>
        <row r="10214">
          <cell r="A10214" t="str">
            <v>SERVYRE</v>
          </cell>
          <cell r="B10214" t="str">
            <v>530-26008-001-0006</v>
          </cell>
          <cell r="J10214">
            <v>1471.98</v>
          </cell>
        </row>
        <row r="10215">
          <cell r="A10215" t="str">
            <v>SERVYRE</v>
          </cell>
          <cell r="B10215" t="str">
            <v>530-26008-001-0011</v>
          </cell>
          <cell r="J10215">
            <v>561.28</v>
          </cell>
        </row>
        <row r="10216">
          <cell r="A10216" t="str">
            <v>SERVYRE</v>
          </cell>
          <cell r="B10216" t="str">
            <v>530-26008-002-0000</v>
          </cell>
          <cell r="J10216">
            <v>2865.45</v>
          </cell>
        </row>
        <row r="10217">
          <cell r="A10217" t="str">
            <v>SERVYRE</v>
          </cell>
          <cell r="B10217" t="str">
            <v>530-26008-002-0001</v>
          </cell>
          <cell r="J10217">
            <v>1679.28</v>
          </cell>
        </row>
        <row r="10218">
          <cell r="A10218" t="str">
            <v>SERVYRE</v>
          </cell>
          <cell r="B10218" t="str">
            <v>530-26008-002-0002</v>
          </cell>
          <cell r="J10218">
            <v>332.52</v>
          </cell>
        </row>
        <row r="10219">
          <cell r="A10219" t="str">
            <v>SERVYRE</v>
          </cell>
          <cell r="B10219" t="str">
            <v>530-26008-002-0003</v>
          </cell>
          <cell r="J10219">
            <v>174.77</v>
          </cell>
        </row>
        <row r="10220">
          <cell r="A10220" t="str">
            <v>SERVYRE</v>
          </cell>
          <cell r="B10220" t="str">
            <v>530-26008-002-0004</v>
          </cell>
          <cell r="J10220">
            <v>678.88</v>
          </cell>
        </row>
        <row r="10221">
          <cell r="A10221" t="str">
            <v>SERVYRE</v>
          </cell>
          <cell r="B10221" t="str">
            <v>530-26008-003-0000</v>
          </cell>
          <cell r="J10221">
            <v>2268.91</v>
          </cell>
        </row>
        <row r="10222">
          <cell r="A10222" t="str">
            <v>SERVYRE</v>
          </cell>
          <cell r="B10222" t="str">
            <v>530-26008-016-0000</v>
          </cell>
          <cell r="J10222">
            <v>32872.639999999999</v>
          </cell>
        </row>
        <row r="10223">
          <cell r="A10223" t="str">
            <v>SERVYRE</v>
          </cell>
          <cell r="B10223" t="str">
            <v>530-26008-017-0000</v>
          </cell>
          <cell r="J10223">
            <v>822158.12</v>
          </cell>
        </row>
        <row r="10224">
          <cell r="A10224" t="str">
            <v>SERVYRE</v>
          </cell>
          <cell r="B10224" t="str">
            <v>530-26008-061-0000</v>
          </cell>
          <cell r="J10224">
            <v>-1585.33</v>
          </cell>
        </row>
        <row r="10225">
          <cell r="A10225" t="str">
            <v>SERVYRE</v>
          </cell>
          <cell r="B10225" t="str">
            <v>530-26009-000-0000</v>
          </cell>
          <cell r="J10225">
            <v>451669.18</v>
          </cell>
        </row>
        <row r="10226">
          <cell r="A10226" t="str">
            <v>SERVYRE</v>
          </cell>
          <cell r="B10226" t="str">
            <v>530-26009-001-0000</v>
          </cell>
          <cell r="J10226">
            <v>22398.42</v>
          </cell>
        </row>
        <row r="10227">
          <cell r="A10227" t="str">
            <v>SERVYRE</v>
          </cell>
          <cell r="B10227" t="str">
            <v>530-26009-001-0001</v>
          </cell>
          <cell r="J10227">
            <v>18081.09</v>
          </cell>
        </row>
        <row r="10228">
          <cell r="A10228" t="str">
            <v>SERVYRE</v>
          </cell>
          <cell r="B10228" t="str">
            <v>530-26009-001-0002</v>
          </cell>
          <cell r="J10228">
            <v>1520.53</v>
          </cell>
        </row>
        <row r="10229">
          <cell r="A10229" t="str">
            <v>SERVYRE</v>
          </cell>
          <cell r="B10229" t="str">
            <v>530-26009-001-0005</v>
          </cell>
          <cell r="J10229">
            <v>1063.21</v>
          </cell>
        </row>
        <row r="10230">
          <cell r="A10230" t="str">
            <v>SERVYRE</v>
          </cell>
          <cell r="B10230" t="str">
            <v>530-26009-001-0006</v>
          </cell>
          <cell r="J10230">
            <v>1063.21</v>
          </cell>
        </row>
        <row r="10231">
          <cell r="A10231" t="str">
            <v>SERVYRE</v>
          </cell>
          <cell r="B10231" t="str">
            <v>530-26009-001-0011</v>
          </cell>
          <cell r="J10231">
            <v>670.38</v>
          </cell>
        </row>
        <row r="10232">
          <cell r="A10232" t="str">
            <v>SERVYRE</v>
          </cell>
          <cell r="B10232" t="str">
            <v>530-26009-002-0000</v>
          </cell>
          <cell r="J10232">
            <v>4493.46</v>
          </cell>
        </row>
        <row r="10233">
          <cell r="A10233" t="str">
            <v>SERVYRE</v>
          </cell>
          <cell r="B10233" t="str">
            <v>530-26009-002-0001</v>
          </cell>
          <cell r="J10233">
            <v>2163.4299999999998</v>
          </cell>
        </row>
        <row r="10234">
          <cell r="A10234" t="str">
            <v>SERVYRE</v>
          </cell>
          <cell r="B10234" t="str">
            <v>530-26009-002-0002</v>
          </cell>
          <cell r="J10234">
            <v>997.12</v>
          </cell>
        </row>
        <row r="10235">
          <cell r="A10235" t="str">
            <v>SERVYRE</v>
          </cell>
          <cell r="B10235" t="str">
            <v>530-26009-002-0003</v>
          </cell>
          <cell r="J10235">
            <v>524.08000000000004</v>
          </cell>
        </row>
        <row r="10236">
          <cell r="A10236" t="str">
            <v>SERVYRE</v>
          </cell>
          <cell r="B10236" t="str">
            <v>530-26009-002-0004</v>
          </cell>
          <cell r="J10236">
            <v>808.83</v>
          </cell>
        </row>
        <row r="10237">
          <cell r="A10237" t="str">
            <v>SERVYRE</v>
          </cell>
          <cell r="B10237" t="str">
            <v>530-26009-003-0000</v>
          </cell>
          <cell r="J10237">
            <v>5567.34</v>
          </cell>
        </row>
        <row r="10238">
          <cell r="A10238" t="str">
            <v>SERVYRE</v>
          </cell>
          <cell r="B10238" t="str">
            <v>530-26009-016-0000</v>
          </cell>
          <cell r="J10238">
            <v>10496.81</v>
          </cell>
        </row>
        <row r="10239">
          <cell r="A10239" t="str">
            <v>SERVYRE</v>
          </cell>
          <cell r="B10239" t="str">
            <v>530-26009-017-0000</v>
          </cell>
          <cell r="J10239">
            <v>195992.13</v>
          </cell>
        </row>
        <row r="10240">
          <cell r="A10240" t="str">
            <v>SERVYRE</v>
          </cell>
          <cell r="B10240" t="str">
            <v>530-26009-055-0000</v>
          </cell>
          <cell r="J10240">
            <v>215563.31</v>
          </cell>
        </row>
        <row r="10241">
          <cell r="A10241" t="str">
            <v>SERVYRE</v>
          </cell>
          <cell r="B10241" t="str">
            <v>530-26009-061-0000</v>
          </cell>
          <cell r="J10241">
            <v>-2842.29</v>
          </cell>
        </row>
        <row r="10242">
          <cell r="A10242" t="str">
            <v>SERVYRE</v>
          </cell>
          <cell r="B10242" t="str">
            <v>530-26010-000-0000</v>
          </cell>
          <cell r="J10242">
            <v>444572.91</v>
          </cell>
        </row>
        <row r="10243">
          <cell r="A10243" t="str">
            <v>SERVYRE</v>
          </cell>
          <cell r="B10243" t="str">
            <v>530-26010-001-0000</v>
          </cell>
          <cell r="J10243">
            <v>58045.18</v>
          </cell>
        </row>
        <row r="10244">
          <cell r="A10244" t="str">
            <v>SERVYRE</v>
          </cell>
          <cell r="B10244" t="str">
            <v>530-26010-001-0001</v>
          </cell>
          <cell r="J10244">
            <v>45328.54</v>
          </cell>
        </row>
        <row r="10245">
          <cell r="A10245" t="str">
            <v>SERVYRE</v>
          </cell>
          <cell r="B10245" t="str">
            <v>530-26010-001-0002</v>
          </cell>
          <cell r="J10245">
            <v>4009.81</v>
          </cell>
        </row>
        <row r="10246">
          <cell r="A10246" t="str">
            <v>SERVYRE</v>
          </cell>
          <cell r="B10246" t="str">
            <v>530-26010-001-0005</v>
          </cell>
          <cell r="J10246">
            <v>3025.35</v>
          </cell>
        </row>
        <row r="10247">
          <cell r="A10247" t="str">
            <v>SERVYRE</v>
          </cell>
          <cell r="B10247" t="str">
            <v>530-26010-001-0006</v>
          </cell>
          <cell r="J10247">
            <v>3025.35</v>
          </cell>
        </row>
        <row r="10248">
          <cell r="A10248" t="str">
            <v>SERVYRE</v>
          </cell>
          <cell r="B10248" t="str">
            <v>530-26010-001-0011</v>
          </cell>
          <cell r="J10248">
            <v>2656.13</v>
          </cell>
        </row>
        <row r="10249">
          <cell r="A10249" t="str">
            <v>SERVYRE</v>
          </cell>
          <cell r="B10249" t="str">
            <v>530-26010-002-0000</v>
          </cell>
          <cell r="J10249">
            <v>11516.41</v>
          </cell>
        </row>
        <row r="10250">
          <cell r="A10250" t="str">
            <v>SERVYRE</v>
          </cell>
          <cell r="B10250" t="str">
            <v>530-26010-002-0001</v>
          </cell>
          <cell r="J10250">
            <v>4870.7299999999996</v>
          </cell>
        </row>
        <row r="10251">
          <cell r="A10251" t="str">
            <v>SERVYRE</v>
          </cell>
          <cell r="B10251" t="str">
            <v>530-26010-002-0002</v>
          </cell>
          <cell r="J10251">
            <v>2898.77</v>
          </cell>
        </row>
        <row r="10252">
          <cell r="A10252" t="str">
            <v>SERVYRE</v>
          </cell>
          <cell r="B10252" t="str">
            <v>530-26010-002-0003</v>
          </cell>
          <cell r="J10252">
            <v>1670.42</v>
          </cell>
        </row>
        <row r="10253">
          <cell r="A10253" t="str">
            <v>SERVYRE</v>
          </cell>
          <cell r="B10253" t="str">
            <v>530-26010-002-0004</v>
          </cell>
          <cell r="J10253">
            <v>2076.4899999999998</v>
          </cell>
        </row>
        <row r="10254">
          <cell r="A10254" t="str">
            <v>SERVYRE</v>
          </cell>
          <cell r="B10254" t="str">
            <v>530-26010-003-0000</v>
          </cell>
          <cell r="J10254">
            <v>2089.2600000000002</v>
          </cell>
        </row>
        <row r="10255">
          <cell r="A10255" t="str">
            <v>SERVYRE</v>
          </cell>
          <cell r="B10255" t="str">
            <v>530-26010-016-0000</v>
          </cell>
          <cell r="J10255">
            <v>12874.01</v>
          </cell>
        </row>
        <row r="10256">
          <cell r="A10256" t="str">
            <v>SERVYRE</v>
          </cell>
          <cell r="B10256" t="str">
            <v>530-26010-017-0000</v>
          </cell>
          <cell r="J10256">
            <v>28145</v>
          </cell>
        </row>
        <row r="10257">
          <cell r="A10257" t="str">
            <v>SERVYRE</v>
          </cell>
          <cell r="B10257" t="str">
            <v>530-26010-055-0000</v>
          </cell>
          <cell r="J10257">
            <v>335177.99</v>
          </cell>
        </row>
        <row r="10258">
          <cell r="A10258" t="str">
            <v>SERVYRE</v>
          </cell>
          <cell r="B10258" t="str">
            <v>530-26010-061-0000</v>
          </cell>
          <cell r="J10258">
            <v>-3274.94</v>
          </cell>
        </row>
        <row r="10259">
          <cell r="A10259" t="str">
            <v>SERVYRE</v>
          </cell>
          <cell r="B10259" t="str">
            <v>530-26011-000-0000</v>
          </cell>
          <cell r="J10259">
            <v>683090.66</v>
          </cell>
        </row>
        <row r="10260">
          <cell r="A10260" t="str">
            <v>SERVYRE</v>
          </cell>
          <cell r="B10260" t="str">
            <v>530-26011-001-0000</v>
          </cell>
          <cell r="J10260">
            <v>6730.88</v>
          </cell>
        </row>
        <row r="10261">
          <cell r="A10261" t="str">
            <v>SERVYRE</v>
          </cell>
          <cell r="B10261" t="str">
            <v>530-26011-001-0001</v>
          </cell>
          <cell r="J10261">
            <v>4943.1499999999996</v>
          </cell>
        </row>
        <row r="10262">
          <cell r="A10262" t="str">
            <v>SERVYRE</v>
          </cell>
          <cell r="B10262" t="str">
            <v>530-26011-001-0002</v>
          </cell>
          <cell r="J10262">
            <v>493.09</v>
          </cell>
        </row>
        <row r="10263">
          <cell r="A10263" t="str">
            <v>SERVYRE</v>
          </cell>
          <cell r="B10263" t="str">
            <v>530-26011-001-0005</v>
          </cell>
          <cell r="J10263">
            <v>540.99</v>
          </cell>
        </row>
        <row r="10264">
          <cell r="A10264" t="str">
            <v>SERVYRE</v>
          </cell>
          <cell r="B10264" t="str">
            <v>530-26011-001-0006</v>
          </cell>
          <cell r="J10264">
            <v>540.99</v>
          </cell>
        </row>
        <row r="10265">
          <cell r="A10265" t="str">
            <v>SERVYRE</v>
          </cell>
          <cell r="B10265" t="str">
            <v>530-26011-001-0011</v>
          </cell>
          <cell r="J10265">
            <v>212.66</v>
          </cell>
        </row>
        <row r="10266">
          <cell r="A10266" t="str">
            <v>SERVYRE</v>
          </cell>
          <cell r="B10266" t="str">
            <v>530-26011-002-0000</v>
          </cell>
          <cell r="J10266">
            <v>1608.15</v>
          </cell>
        </row>
        <row r="10267">
          <cell r="A10267" t="str">
            <v>SERVYRE</v>
          </cell>
          <cell r="B10267" t="str">
            <v>530-26011-002-0001</v>
          </cell>
          <cell r="J10267">
            <v>415.57</v>
          </cell>
        </row>
        <row r="10268">
          <cell r="A10268" t="str">
            <v>SERVYRE</v>
          </cell>
          <cell r="B10268" t="str">
            <v>530-26011-002-0002</v>
          </cell>
          <cell r="J10268">
            <v>623.33000000000004</v>
          </cell>
        </row>
        <row r="10269">
          <cell r="A10269" t="str">
            <v>SERVYRE</v>
          </cell>
          <cell r="B10269" t="str">
            <v>530-26011-002-0003</v>
          </cell>
          <cell r="J10269">
            <v>327.62</v>
          </cell>
        </row>
        <row r="10270">
          <cell r="A10270" t="str">
            <v>SERVYRE</v>
          </cell>
          <cell r="B10270" t="str">
            <v>530-26011-002-0004</v>
          </cell>
          <cell r="J10270">
            <v>241.63</v>
          </cell>
        </row>
        <row r="10271">
          <cell r="A10271" t="str">
            <v>SERVYRE</v>
          </cell>
          <cell r="B10271" t="str">
            <v>530-26011-003-0000</v>
          </cell>
          <cell r="J10271">
            <v>103.74</v>
          </cell>
        </row>
        <row r="10272">
          <cell r="A10272" t="str">
            <v>SERVYRE</v>
          </cell>
          <cell r="B10272" t="str">
            <v>530-26011-016-0000</v>
          </cell>
          <cell r="J10272">
            <v>32040.35</v>
          </cell>
        </row>
        <row r="10273">
          <cell r="A10273" t="str">
            <v>SERVYRE</v>
          </cell>
          <cell r="B10273" t="str">
            <v>530-26011-017-0000</v>
          </cell>
          <cell r="J10273">
            <v>642700.79</v>
          </cell>
        </row>
        <row r="10274">
          <cell r="A10274" t="str">
            <v>SERVYRE</v>
          </cell>
          <cell r="B10274" t="str">
            <v>530-26011-061-0000</v>
          </cell>
          <cell r="J10274">
            <v>-93.25</v>
          </cell>
        </row>
        <row r="10275">
          <cell r="A10275" t="str">
            <v>SERVYRE</v>
          </cell>
          <cell r="B10275" t="str">
            <v>530-26012-000-0000</v>
          </cell>
          <cell r="J10275">
            <v>277656.37</v>
          </cell>
        </row>
        <row r="10276">
          <cell r="A10276" t="str">
            <v>SERVYRE</v>
          </cell>
          <cell r="B10276" t="str">
            <v>530-26012-001-0000</v>
          </cell>
          <cell r="J10276">
            <v>4970.6400000000003</v>
          </cell>
        </row>
        <row r="10277">
          <cell r="A10277" t="str">
            <v>SERVYRE</v>
          </cell>
          <cell r="B10277" t="str">
            <v>530-26012-001-0001</v>
          </cell>
          <cell r="J10277">
            <v>3642.66</v>
          </cell>
        </row>
        <row r="10278">
          <cell r="A10278" t="str">
            <v>SERVYRE</v>
          </cell>
          <cell r="B10278" t="str">
            <v>530-26012-001-0002</v>
          </cell>
          <cell r="J10278">
            <v>365.81</v>
          </cell>
        </row>
        <row r="10279">
          <cell r="A10279" t="str">
            <v>SERVYRE</v>
          </cell>
          <cell r="B10279" t="str">
            <v>530-26012-001-0005</v>
          </cell>
          <cell r="J10279">
            <v>401.34</v>
          </cell>
        </row>
        <row r="10280">
          <cell r="A10280" t="str">
            <v>SERVYRE</v>
          </cell>
          <cell r="B10280" t="str">
            <v>530-26012-001-0006</v>
          </cell>
          <cell r="J10280">
            <v>401.34</v>
          </cell>
        </row>
        <row r="10281">
          <cell r="A10281" t="str">
            <v>SERVYRE</v>
          </cell>
          <cell r="B10281" t="str">
            <v>530-26012-001-0011</v>
          </cell>
          <cell r="J10281">
            <v>159.49</v>
          </cell>
        </row>
        <row r="10282">
          <cell r="A10282" t="str">
            <v>SERVYRE</v>
          </cell>
          <cell r="B10282" t="str">
            <v>530-26012-002-0000</v>
          </cell>
          <cell r="J10282">
            <v>1278.42</v>
          </cell>
        </row>
        <row r="10283">
          <cell r="A10283" t="str">
            <v>SERVYRE</v>
          </cell>
          <cell r="B10283" t="str">
            <v>530-26012-002-0001</v>
          </cell>
          <cell r="J10283">
            <v>284.97000000000003</v>
          </cell>
        </row>
        <row r="10284">
          <cell r="A10284" t="str">
            <v>SERVYRE</v>
          </cell>
          <cell r="B10284" t="str">
            <v>530-26012-002-0002</v>
          </cell>
          <cell r="J10284">
            <v>534.28</v>
          </cell>
        </row>
        <row r="10285">
          <cell r="A10285" t="str">
            <v>SERVYRE</v>
          </cell>
          <cell r="B10285" t="str">
            <v>530-26012-002-0003</v>
          </cell>
          <cell r="J10285">
            <v>280.82</v>
          </cell>
        </row>
        <row r="10286">
          <cell r="A10286" t="str">
            <v>SERVYRE</v>
          </cell>
          <cell r="B10286" t="str">
            <v>530-26012-002-0004</v>
          </cell>
          <cell r="J10286">
            <v>178.35</v>
          </cell>
        </row>
        <row r="10287">
          <cell r="A10287" t="str">
            <v>SERVYRE</v>
          </cell>
          <cell r="B10287" t="str">
            <v>530-26012-016-0000</v>
          </cell>
          <cell r="J10287">
            <v>14515.76</v>
          </cell>
        </row>
        <row r="10288">
          <cell r="A10288" t="str">
            <v>SERVYRE</v>
          </cell>
          <cell r="B10288" t="str">
            <v>530-26012-017-0000</v>
          </cell>
          <cell r="J10288">
            <v>256891.55</v>
          </cell>
        </row>
        <row r="10289">
          <cell r="A10289" t="str">
            <v>SERVYRE</v>
          </cell>
          <cell r="B10289" t="str">
            <v>530-26013-000-0000</v>
          </cell>
          <cell r="J10289">
            <v>145998.97</v>
          </cell>
        </row>
        <row r="10290">
          <cell r="A10290" t="str">
            <v>SERVYRE</v>
          </cell>
          <cell r="B10290" t="str">
            <v>530-26013-001-0000</v>
          </cell>
          <cell r="J10290">
            <v>45419.99</v>
          </cell>
        </row>
        <row r="10291">
          <cell r="A10291" t="str">
            <v>SERVYRE</v>
          </cell>
          <cell r="B10291" t="str">
            <v>530-26013-001-0001</v>
          </cell>
          <cell r="J10291">
            <v>33218.89</v>
          </cell>
        </row>
        <row r="10292">
          <cell r="A10292" t="str">
            <v>SERVYRE</v>
          </cell>
          <cell r="B10292" t="str">
            <v>530-26013-001-0002</v>
          </cell>
          <cell r="J10292">
            <v>3264.54</v>
          </cell>
        </row>
        <row r="10293">
          <cell r="A10293" t="str">
            <v>SERVYRE</v>
          </cell>
          <cell r="B10293" t="str">
            <v>530-26013-001-0005</v>
          </cell>
          <cell r="J10293">
            <v>3586.8</v>
          </cell>
        </row>
        <row r="10294">
          <cell r="A10294" t="str">
            <v>SERVYRE</v>
          </cell>
          <cell r="B10294" t="str">
            <v>530-26013-001-0006</v>
          </cell>
          <cell r="J10294">
            <v>3586.8</v>
          </cell>
        </row>
        <row r="10295">
          <cell r="A10295" t="str">
            <v>SERVYRE</v>
          </cell>
          <cell r="B10295" t="str">
            <v>530-26013-001-0011</v>
          </cell>
          <cell r="J10295">
            <v>1762.96</v>
          </cell>
        </row>
        <row r="10296">
          <cell r="A10296" t="str">
            <v>SERVYRE</v>
          </cell>
          <cell r="B10296" t="str">
            <v>530-26013-002-0000</v>
          </cell>
          <cell r="J10296">
            <v>9707.92</v>
          </cell>
        </row>
        <row r="10297">
          <cell r="A10297" t="str">
            <v>SERVYRE</v>
          </cell>
          <cell r="B10297" t="str">
            <v>530-26013-002-0001</v>
          </cell>
          <cell r="J10297">
            <v>3287.84</v>
          </cell>
        </row>
        <row r="10298">
          <cell r="A10298" t="str">
            <v>SERVYRE</v>
          </cell>
          <cell r="B10298" t="str">
            <v>530-26013-002-0002</v>
          </cell>
          <cell r="J10298">
            <v>3147.33</v>
          </cell>
        </row>
        <row r="10299">
          <cell r="A10299" t="str">
            <v>SERVYRE</v>
          </cell>
          <cell r="B10299" t="str">
            <v>530-26013-002-0003</v>
          </cell>
          <cell r="J10299">
            <v>1654.23</v>
          </cell>
        </row>
        <row r="10300">
          <cell r="A10300" t="str">
            <v>SERVYRE</v>
          </cell>
          <cell r="B10300" t="str">
            <v>530-26013-002-0004</v>
          </cell>
          <cell r="J10300">
            <v>1618.52</v>
          </cell>
        </row>
        <row r="10301">
          <cell r="A10301" t="str">
            <v>SERVYRE</v>
          </cell>
          <cell r="B10301" t="str">
            <v>530-26013-003-0000</v>
          </cell>
          <cell r="J10301">
            <v>2419.02</v>
          </cell>
        </row>
        <row r="10302">
          <cell r="A10302" t="str">
            <v>SERVYRE</v>
          </cell>
          <cell r="B10302" t="str">
            <v>530-26013-016-0000</v>
          </cell>
          <cell r="J10302">
            <v>11792.82</v>
          </cell>
        </row>
        <row r="10303">
          <cell r="A10303" t="str">
            <v>SERVYRE</v>
          </cell>
          <cell r="B10303" t="str">
            <v>530-26013-017-0000</v>
          </cell>
          <cell r="J10303">
            <v>76659.22</v>
          </cell>
        </row>
        <row r="10304">
          <cell r="A10304" t="str">
            <v>SERVYRE</v>
          </cell>
          <cell r="B10304" t="str">
            <v>530-26014-000-0000</v>
          </cell>
          <cell r="J10304">
            <v>283094.71000000002</v>
          </cell>
        </row>
        <row r="10305">
          <cell r="A10305" t="str">
            <v>SERVYRE</v>
          </cell>
          <cell r="B10305" t="str">
            <v>530-26014-001-0000</v>
          </cell>
          <cell r="J10305">
            <v>12489.88</v>
          </cell>
        </row>
        <row r="10306">
          <cell r="A10306" t="str">
            <v>SERVYRE</v>
          </cell>
          <cell r="B10306" t="str">
            <v>530-26014-001-0001</v>
          </cell>
          <cell r="J10306">
            <v>9243.18</v>
          </cell>
        </row>
        <row r="10307">
          <cell r="A10307" t="str">
            <v>SERVYRE</v>
          </cell>
          <cell r="B10307" t="str">
            <v>530-26014-001-0002</v>
          </cell>
          <cell r="J10307">
            <v>884.91</v>
          </cell>
        </row>
        <row r="10308">
          <cell r="A10308" t="str">
            <v>SERVYRE</v>
          </cell>
          <cell r="B10308" t="str">
            <v>530-26014-001-0005</v>
          </cell>
          <cell r="J10308">
            <v>991.39</v>
          </cell>
        </row>
        <row r="10309">
          <cell r="A10309" t="str">
            <v>SERVYRE</v>
          </cell>
          <cell r="B10309" t="str">
            <v>530-26014-001-0006</v>
          </cell>
          <cell r="J10309">
            <v>991.39</v>
          </cell>
        </row>
        <row r="10310">
          <cell r="A10310" t="str">
            <v>SERVYRE</v>
          </cell>
          <cell r="B10310" t="str">
            <v>530-26014-001-0011</v>
          </cell>
          <cell r="J10310">
            <v>379.01</v>
          </cell>
        </row>
        <row r="10311">
          <cell r="A10311" t="str">
            <v>SERVYRE</v>
          </cell>
          <cell r="B10311" t="str">
            <v>530-26014-002-0000</v>
          </cell>
          <cell r="J10311">
            <v>2219.3200000000002</v>
          </cell>
        </row>
        <row r="10312">
          <cell r="A10312" t="str">
            <v>SERVYRE</v>
          </cell>
          <cell r="B10312" t="str">
            <v>530-26014-002-0001</v>
          </cell>
          <cell r="J10312">
            <v>963.47</v>
          </cell>
        </row>
        <row r="10313">
          <cell r="A10313" t="str">
            <v>SERVYRE</v>
          </cell>
          <cell r="B10313" t="str">
            <v>530-26014-002-0002</v>
          </cell>
          <cell r="J10313">
            <v>528.51</v>
          </cell>
        </row>
        <row r="10314">
          <cell r="A10314" t="str">
            <v>SERVYRE</v>
          </cell>
          <cell r="B10314" t="str">
            <v>530-26014-002-0003</v>
          </cell>
          <cell r="J10314">
            <v>277.79000000000002</v>
          </cell>
        </row>
        <row r="10315">
          <cell r="A10315" t="str">
            <v>SERVYRE</v>
          </cell>
          <cell r="B10315" t="str">
            <v>530-26014-002-0004</v>
          </cell>
          <cell r="J10315">
            <v>449.55</v>
          </cell>
        </row>
        <row r="10316">
          <cell r="A10316" t="str">
            <v>SERVYRE</v>
          </cell>
          <cell r="B10316" t="str">
            <v>530-26014-003-0000</v>
          </cell>
          <cell r="J10316">
            <v>1802.11</v>
          </cell>
        </row>
        <row r="10317">
          <cell r="A10317" t="str">
            <v>SERVYRE</v>
          </cell>
          <cell r="B10317" t="str">
            <v>530-26014-016-0000</v>
          </cell>
          <cell r="J10317">
            <v>16985.810000000001</v>
          </cell>
        </row>
        <row r="10318">
          <cell r="A10318" t="str">
            <v>SERVYRE</v>
          </cell>
          <cell r="B10318" t="str">
            <v>530-26014-017-0000</v>
          </cell>
          <cell r="J10318">
            <v>249597.59</v>
          </cell>
        </row>
        <row r="10319">
          <cell r="A10319" t="str">
            <v>SERVYRE</v>
          </cell>
          <cell r="B10319" t="str">
            <v>530-26015-000-0000</v>
          </cell>
          <cell r="J10319">
            <v>1559329.95</v>
          </cell>
        </row>
        <row r="10320">
          <cell r="A10320" t="str">
            <v>SERVYRE</v>
          </cell>
          <cell r="B10320" t="str">
            <v>530-26015-001-0000</v>
          </cell>
          <cell r="J10320">
            <v>22622.41</v>
          </cell>
        </row>
        <row r="10321">
          <cell r="A10321" t="str">
            <v>SERVYRE</v>
          </cell>
          <cell r="B10321" t="str">
            <v>530-26015-001-0001</v>
          </cell>
          <cell r="J10321">
            <v>16709.78</v>
          </cell>
        </row>
        <row r="10322">
          <cell r="A10322" t="str">
            <v>SERVYRE</v>
          </cell>
          <cell r="B10322" t="str">
            <v>530-26015-001-0002</v>
          </cell>
          <cell r="J10322">
            <v>1649.92</v>
          </cell>
        </row>
        <row r="10323">
          <cell r="A10323" t="str">
            <v>SERVYRE</v>
          </cell>
          <cell r="B10323" t="str">
            <v>530-26015-001-0005</v>
          </cell>
          <cell r="J10323">
            <v>1772.49</v>
          </cell>
        </row>
        <row r="10324">
          <cell r="A10324" t="str">
            <v>SERVYRE</v>
          </cell>
          <cell r="B10324" t="str">
            <v>530-26015-001-0006</v>
          </cell>
          <cell r="J10324">
            <v>1772.49</v>
          </cell>
        </row>
        <row r="10325">
          <cell r="A10325" t="str">
            <v>SERVYRE</v>
          </cell>
          <cell r="B10325" t="str">
            <v>530-26015-001-0011</v>
          </cell>
          <cell r="J10325">
            <v>717.73</v>
          </cell>
        </row>
        <row r="10326">
          <cell r="A10326" t="str">
            <v>SERVYRE</v>
          </cell>
          <cell r="B10326" t="str">
            <v>530-26015-002-0000</v>
          </cell>
          <cell r="J10326">
            <v>5900.8</v>
          </cell>
        </row>
        <row r="10327">
          <cell r="A10327" t="str">
            <v>SERVYRE</v>
          </cell>
          <cell r="B10327" t="str">
            <v>530-26015-002-0001</v>
          </cell>
          <cell r="J10327">
            <v>1890.91</v>
          </cell>
        </row>
        <row r="10328">
          <cell r="A10328" t="str">
            <v>SERVYRE</v>
          </cell>
          <cell r="B10328" t="str">
            <v>530-26015-002-0002</v>
          </cell>
          <cell r="J10328">
            <v>2096.9899999999998</v>
          </cell>
        </row>
        <row r="10329">
          <cell r="A10329" t="str">
            <v>SERVYRE</v>
          </cell>
          <cell r="B10329" t="str">
            <v>530-26015-002-0003</v>
          </cell>
          <cell r="J10329">
            <v>1102.18</v>
          </cell>
        </row>
        <row r="10330">
          <cell r="A10330" t="str">
            <v>SERVYRE</v>
          </cell>
          <cell r="B10330" t="str">
            <v>530-26015-002-0004</v>
          </cell>
          <cell r="J10330">
            <v>810.72</v>
          </cell>
        </row>
        <row r="10331">
          <cell r="A10331" t="str">
            <v>SERVYRE</v>
          </cell>
          <cell r="B10331" t="str">
            <v>530-26015-003-0000</v>
          </cell>
          <cell r="J10331">
            <v>2008.77</v>
          </cell>
        </row>
        <row r="10332">
          <cell r="A10332" t="str">
            <v>SERVYRE</v>
          </cell>
          <cell r="B10332" t="str">
            <v>530-26015-016-0000</v>
          </cell>
          <cell r="J10332">
            <v>17779.88</v>
          </cell>
        </row>
        <row r="10333">
          <cell r="A10333" t="str">
            <v>SERVYRE</v>
          </cell>
          <cell r="B10333" t="str">
            <v>530-26015-017-0000</v>
          </cell>
          <cell r="J10333">
            <v>260365.37</v>
          </cell>
        </row>
        <row r="10334">
          <cell r="A10334" t="str">
            <v>SERVYRE</v>
          </cell>
          <cell r="B10334" t="str">
            <v>530-26015-055-0000</v>
          </cell>
          <cell r="J10334">
            <v>1250652.72</v>
          </cell>
        </row>
        <row r="10335">
          <cell r="A10335" t="str">
            <v>SERVYRE</v>
          </cell>
          <cell r="B10335" t="str">
            <v>530-26016-000-0000</v>
          </cell>
          <cell r="J10335">
            <v>58792.77</v>
          </cell>
        </row>
        <row r="10336">
          <cell r="A10336" t="str">
            <v>SERVYRE</v>
          </cell>
          <cell r="B10336" t="str">
            <v>530-26016-055-0000</v>
          </cell>
          <cell r="J10336">
            <v>58792.77</v>
          </cell>
        </row>
        <row r="10337">
          <cell r="A10337" t="str">
            <v>SERVYRE</v>
          </cell>
          <cell r="B10337" t="str">
            <v>530-26017-000-0000</v>
          </cell>
          <cell r="J10337">
            <v>4205068.37</v>
          </cell>
        </row>
        <row r="10338">
          <cell r="A10338" t="str">
            <v>SERVYRE</v>
          </cell>
          <cell r="B10338" t="str">
            <v>530-26017-001-0000</v>
          </cell>
          <cell r="J10338">
            <v>58082.080000000002</v>
          </cell>
        </row>
        <row r="10339">
          <cell r="A10339" t="str">
            <v>SERVYRE</v>
          </cell>
          <cell r="B10339" t="str">
            <v>530-26017-001-0001</v>
          </cell>
          <cell r="J10339">
            <v>42958.73</v>
          </cell>
        </row>
        <row r="10340">
          <cell r="A10340" t="str">
            <v>SERVYRE</v>
          </cell>
          <cell r="B10340" t="str">
            <v>530-26017-001-0002</v>
          </cell>
          <cell r="J10340">
            <v>4122.16</v>
          </cell>
        </row>
        <row r="10341">
          <cell r="A10341" t="str">
            <v>SERVYRE</v>
          </cell>
          <cell r="B10341" t="str">
            <v>530-26017-001-0005</v>
          </cell>
          <cell r="J10341">
            <v>4554.42</v>
          </cell>
        </row>
        <row r="10342">
          <cell r="A10342" t="str">
            <v>SERVYRE</v>
          </cell>
          <cell r="B10342" t="str">
            <v>530-26017-001-0006</v>
          </cell>
          <cell r="J10342">
            <v>4554.42</v>
          </cell>
        </row>
        <row r="10343">
          <cell r="A10343" t="str">
            <v>SERVYRE</v>
          </cell>
          <cell r="B10343" t="str">
            <v>530-26017-001-0011</v>
          </cell>
          <cell r="J10343">
            <v>1892.35</v>
          </cell>
        </row>
        <row r="10344">
          <cell r="A10344" t="str">
            <v>SERVYRE</v>
          </cell>
          <cell r="B10344" t="str">
            <v>530-26017-002-0000</v>
          </cell>
          <cell r="J10344">
            <v>14641.69</v>
          </cell>
        </row>
        <row r="10345">
          <cell r="A10345" t="str">
            <v>SERVYRE</v>
          </cell>
          <cell r="B10345" t="str">
            <v>530-26017-002-0001</v>
          </cell>
          <cell r="J10345">
            <v>5178.08</v>
          </cell>
        </row>
        <row r="10346">
          <cell r="A10346" t="str">
            <v>SERVYRE</v>
          </cell>
          <cell r="B10346" t="str">
            <v>530-26017-002-0002</v>
          </cell>
          <cell r="J10346">
            <v>4732.87</v>
          </cell>
        </row>
        <row r="10347">
          <cell r="A10347" t="str">
            <v>SERVYRE</v>
          </cell>
          <cell r="B10347" t="str">
            <v>530-26017-002-0003</v>
          </cell>
          <cell r="J10347">
            <v>2487.58</v>
          </cell>
        </row>
        <row r="10348">
          <cell r="A10348" t="str">
            <v>SERVYRE</v>
          </cell>
          <cell r="B10348" t="str">
            <v>530-26017-002-0004</v>
          </cell>
          <cell r="J10348">
            <v>2243.16</v>
          </cell>
        </row>
        <row r="10349">
          <cell r="A10349" t="str">
            <v>SERVYRE</v>
          </cell>
          <cell r="B10349" t="str">
            <v>530-26017-003-0000</v>
          </cell>
          <cell r="J10349">
            <v>15919.26</v>
          </cell>
        </row>
        <row r="10350">
          <cell r="A10350" t="str">
            <v>SERVYRE</v>
          </cell>
          <cell r="B10350" t="str">
            <v>530-26017-017-0000</v>
          </cell>
          <cell r="J10350">
            <v>546389.18000000005</v>
          </cell>
        </row>
        <row r="10351">
          <cell r="A10351" t="str">
            <v>SERVYRE</v>
          </cell>
          <cell r="B10351" t="str">
            <v>530-26017-018-0000</v>
          </cell>
          <cell r="J10351">
            <v>44990.2</v>
          </cell>
        </row>
        <row r="10352">
          <cell r="A10352" t="str">
            <v>SERVYRE</v>
          </cell>
          <cell r="B10352" t="str">
            <v>530-26017-018-0001</v>
          </cell>
          <cell r="J10352">
            <v>21678.13</v>
          </cell>
        </row>
        <row r="10353">
          <cell r="A10353" t="str">
            <v>SERVYRE</v>
          </cell>
          <cell r="B10353" t="str">
            <v>530-26017-018-0002</v>
          </cell>
          <cell r="J10353">
            <v>17692.75</v>
          </cell>
        </row>
        <row r="10354">
          <cell r="A10354" t="str">
            <v>SERVYRE</v>
          </cell>
          <cell r="B10354" t="str">
            <v>530-26017-018-0008</v>
          </cell>
          <cell r="J10354">
            <v>5619.32</v>
          </cell>
        </row>
        <row r="10355">
          <cell r="A10355" t="str">
            <v>SERVYRE</v>
          </cell>
          <cell r="B10355" t="str">
            <v>530-26017-054-0000</v>
          </cell>
          <cell r="J10355">
            <v>0</v>
          </cell>
        </row>
        <row r="10356">
          <cell r="A10356" t="str">
            <v>SERVYRE</v>
          </cell>
          <cell r="B10356" t="str">
            <v>530-26017-054-0006</v>
          </cell>
          <cell r="J10356">
            <v>0</v>
          </cell>
        </row>
        <row r="10357">
          <cell r="A10357" t="str">
            <v>SERVYRE</v>
          </cell>
          <cell r="B10357" t="str">
            <v>530-26017-055-0000</v>
          </cell>
          <cell r="J10357">
            <v>3524850.12</v>
          </cell>
        </row>
        <row r="10358">
          <cell r="A10358" t="str">
            <v>SERVYRE</v>
          </cell>
          <cell r="B10358" t="str">
            <v>530-26017-061-0000</v>
          </cell>
          <cell r="J10358">
            <v>195.84</v>
          </cell>
        </row>
        <row r="10359">
          <cell r="A10359" t="str">
            <v>SERVYRE</v>
          </cell>
          <cell r="B10359" t="str">
            <v>530-26018-000-0000</v>
          </cell>
          <cell r="J10359">
            <v>339157.24</v>
          </cell>
        </row>
        <row r="10360">
          <cell r="A10360" t="str">
            <v>SERVYRE</v>
          </cell>
          <cell r="B10360" t="str">
            <v>530-26018-001-0000</v>
          </cell>
          <cell r="J10360">
            <v>274784.2</v>
          </cell>
        </row>
        <row r="10361">
          <cell r="A10361" t="str">
            <v>SERVYRE</v>
          </cell>
          <cell r="B10361" t="str">
            <v>530-26018-001-0001</v>
          </cell>
          <cell r="J10361">
            <v>220116.39</v>
          </cell>
        </row>
        <row r="10362">
          <cell r="A10362" t="str">
            <v>SERVYRE</v>
          </cell>
          <cell r="B10362" t="str">
            <v>530-26018-001-0002</v>
          </cell>
          <cell r="J10362">
            <v>19043.86</v>
          </cell>
        </row>
        <row r="10363">
          <cell r="A10363" t="str">
            <v>SERVYRE</v>
          </cell>
          <cell r="B10363" t="str">
            <v>530-26018-001-0005</v>
          </cell>
          <cell r="J10363">
            <v>10348.94</v>
          </cell>
        </row>
        <row r="10364">
          <cell r="A10364" t="str">
            <v>SERVYRE</v>
          </cell>
          <cell r="B10364" t="str">
            <v>530-26018-001-0006</v>
          </cell>
          <cell r="J10364">
            <v>10348.94</v>
          </cell>
        </row>
        <row r="10365">
          <cell r="A10365" t="str">
            <v>SERVYRE</v>
          </cell>
          <cell r="B10365" t="str">
            <v>530-26018-001-0011</v>
          </cell>
          <cell r="J10365">
            <v>14926.07</v>
          </cell>
        </row>
        <row r="10366">
          <cell r="A10366" t="str">
            <v>SERVYRE</v>
          </cell>
          <cell r="B10366" t="str">
            <v>530-26018-002-0000</v>
          </cell>
          <cell r="J10366">
            <v>59510.91</v>
          </cell>
        </row>
        <row r="10367">
          <cell r="A10367" t="str">
            <v>SERVYRE</v>
          </cell>
          <cell r="B10367" t="str">
            <v>530-26018-002-0001</v>
          </cell>
          <cell r="J10367">
            <v>28428.55</v>
          </cell>
        </row>
        <row r="10368">
          <cell r="A10368" t="str">
            <v>SERVYRE</v>
          </cell>
          <cell r="B10368" t="str">
            <v>530-26018-002-0002</v>
          </cell>
          <cell r="J10368">
            <v>13355.66</v>
          </cell>
        </row>
        <row r="10369">
          <cell r="A10369" t="str">
            <v>SERVYRE</v>
          </cell>
          <cell r="B10369" t="str">
            <v>530-26018-002-0003</v>
          </cell>
          <cell r="J10369">
            <v>7479.05</v>
          </cell>
        </row>
        <row r="10370">
          <cell r="A10370" t="str">
            <v>SERVYRE</v>
          </cell>
          <cell r="B10370" t="str">
            <v>530-26018-002-0004</v>
          </cell>
          <cell r="J10370">
            <v>10247.65</v>
          </cell>
        </row>
        <row r="10371">
          <cell r="A10371" t="str">
            <v>SERVYRE</v>
          </cell>
          <cell r="B10371" t="str">
            <v>530-26018-003-0000</v>
          </cell>
          <cell r="J10371">
            <v>10772.77</v>
          </cell>
        </row>
        <row r="10372">
          <cell r="A10372" t="str">
            <v>SERVYRE</v>
          </cell>
          <cell r="B10372" t="str">
            <v>530-26018-061-0000</v>
          </cell>
          <cell r="J10372">
            <v>-5910.64</v>
          </cell>
        </row>
        <row r="10373">
          <cell r="A10373" t="str">
            <v>SERVYRE</v>
          </cell>
          <cell r="B10373" t="str">
            <v>530-26019-001-0000</v>
          </cell>
          <cell r="J10373">
            <v>25736.31</v>
          </cell>
        </row>
        <row r="10374">
          <cell r="A10374" t="str">
            <v>SERVYRE</v>
          </cell>
          <cell r="B10374" t="str">
            <v>530-26019-001-0001</v>
          </cell>
          <cell r="J10374">
            <v>18874.79</v>
          </cell>
        </row>
        <row r="10375">
          <cell r="A10375" t="str">
            <v>SERVYRE</v>
          </cell>
          <cell r="B10375" t="str">
            <v>530-26019-001-0002</v>
          </cell>
          <cell r="J10375">
            <v>1842.69</v>
          </cell>
        </row>
        <row r="10376">
          <cell r="A10376" t="str">
            <v>SERVYRE</v>
          </cell>
          <cell r="B10376" t="str">
            <v>530-26019-001-0005</v>
          </cell>
          <cell r="J10376">
            <v>1980.53</v>
          </cell>
        </row>
        <row r="10377">
          <cell r="A10377" t="str">
            <v>SERVYRE</v>
          </cell>
          <cell r="B10377" t="str">
            <v>530-26019-001-0006</v>
          </cell>
          <cell r="J10377">
            <v>1980.53</v>
          </cell>
        </row>
        <row r="10378">
          <cell r="A10378" t="str">
            <v>SERVYRE</v>
          </cell>
          <cell r="B10378" t="str">
            <v>530-26019-001-0011</v>
          </cell>
          <cell r="J10378">
            <v>1057.77</v>
          </cell>
        </row>
        <row r="10379">
          <cell r="A10379" t="str">
            <v>SERVYRE</v>
          </cell>
          <cell r="B10379" t="str">
            <v>530-26019-002-0000</v>
          </cell>
          <cell r="J10379">
            <v>7005.22</v>
          </cell>
        </row>
        <row r="10380">
          <cell r="A10380" t="str">
            <v>SERVYRE</v>
          </cell>
          <cell r="B10380" t="str">
            <v>530-26019-002-0001</v>
          </cell>
          <cell r="J10380">
            <v>2335.83</v>
          </cell>
        </row>
        <row r="10381">
          <cell r="A10381" t="str">
            <v>SERVYRE</v>
          </cell>
          <cell r="B10381" t="str">
            <v>530-26019-002-0002</v>
          </cell>
          <cell r="J10381">
            <v>2370.11</v>
          </cell>
        </row>
        <row r="10382">
          <cell r="A10382" t="str">
            <v>SERVYRE</v>
          </cell>
          <cell r="B10382" t="str">
            <v>530-26019-002-0003</v>
          </cell>
          <cell r="J10382">
            <v>1245.72</v>
          </cell>
        </row>
        <row r="10383">
          <cell r="A10383" t="str">
            <v>SERVYRE</v>
          </cell>
          <cell r="B10383" t="str">
            <v>530-26019-002-0004</v>
          </cell>
          <cell r="J10383">
            <v>1053.56</v>
          </cell>
        </row>
        <row r="10384">
          <cell r="A10384" t="str">
            <v>SERVYRE</v>
          </cell>
          <cell r="B10384" t="str">
            <v>530-26019-003-0000</v>
          </cell>
          <cell r="J10384">
            <v>3473.48</v>
          </cell>
        </row>
        <row r="10385">
          <cell r="A10385" t="str">
            <v>SERVYRE</v>
          </cell>
          <cell r="B10385" t="str">
            <v>530-26019-054-0000</v>
          </cell>
          <cell r="J10385">
            <v>-36215.01</v>
          </cell>
        </row>
        <row r="10386">
          <cell r="A10386" t="str">
            <v>SERVYRE</v>
          </cell>
          <cell r="B10386" t="str">
            <v>530-26019-054-0006</v>
          </cell>
          <cell r="J10386">
            <v>-36215.01</v>
          </cell>
        </row>
        <row r="10387">
          <cell r="A10387" t="str">
            <v>SERVYRE</v>
          </cell>
          <cell r="B10387" t="str">
            <v>530-26020-001-0000</v>
          </cell>
          <cell r="J10387">
            <v>28437.54</v>
          </cell>
        </row>
        <row r="10388">
          <cell r="A10388" t="str">
            <v>SERVYRE</v>
          </cell>
          <cell r="B10388" t="str">
            <v>530-26020-001-0001</v>
          </cell>
          <cell r="J10388">
            <v>21665.33</v>
          </cell>
        </row>
        <row r="10389">
          <cell r="A10389" t="str">
            <v>SERVYRE</v>
          </cell>
          <cell r="B10389" t="str">
            <v>530-26020-001-0002</v>
          </cell>
          <cell r="J10389">
            <v>2005.64</v>
          </cell>
        </row>
        <row r="10390">
          <cell r="A10390" t="str">
            <v>SERVYRE</v>
          </cell>
          <cell r="B10390" t="str">
            <v>530-26020-001-0005</v>
          </cell>
          <cell r="J10390">
            <v>1862.19</v>
          </cell>
        </row>
        <row r="10391">
          <cell r="A10391" t="str">
            <v>SERVYRE</v>
          </cell>
          <cell r="B10391" t="str">
            <v>530-26020-001-0006</v>
          </cell>
          <cell r="J10391">
            <v>1862.19</v>
          </cell>
        </row>
        <row r="10392">
          <cell r="A10392" t="str">
            <v>SERVYRE</v>
          </cell>
          <cell r="B10392" t="str">
            <v>530-26020-001-0011</v>
          </cell>
          <cell r="J10392">
            <v>1042.19</v>
          </cell>
        </row>
        <row r="10393">
          <cell r="A10393" t="str">
            <v>SERVYRE</v>
          </cell>
          <cell r="B10393" t="str">
            <v>530-26020-002-0000</v>
          </cell>
          <cell r="J10393">
            <v>8517.0499999999993</v>
          </cell>
        </row>
        <row r="10394">
          <cell r="A10394" t="str">
            <v>SERVYRE</v>
          </cell>
          <cell r="B10394" t="str">
            <v>530-26020-002-0001</v>
          </cell>
          <cell r="J10394">
            <v>2742.12</v>
          </cell>
        </row>
        <row r="10395">
          <cell r="A10395" t="str">
            <v>SERVYRE</v>
          </cell>
          <cell r="B10395" t="str">
            <v>530-26020-002-0002</v>
          </cell>
          <cell r="J10395">
            <v>3010.89</v>
          </cell>
        </row>
        <row r="10396">
          <cell r="A10396" t="str">
            <v>SERVYRE</v>
          </cell>
          <cell r="B10396" t="str">
            <v>530-26020-002-0003</v>
          </cell>
          <cell r="J10396">
            <v>1582.51</v>
          </cell>
        </row>
        <row r="10397">
          <cell r="A10397" t="str">
            <v>SERVYRE</v>
          </cell>
          <cell r="B10397" t="str">
            <v>530-26020-002-0004</v>
          </cell>
          <cell r="J10397">
            <v>1181.53</v>
          </cell>
        </row>
        <row r="10398">
          <cell r="A10398" t="str">
            <v>SERVYRE</v>
          </cell>
          <cell r="B10398" t="str">
            <v>530-26020-003-0000</v>
          </cell>
          <cell r="J10398">
            <v>13839.73</v>
          </cell>
        </row>
        <row r="10399">
          <cell r="A10399" t="str">
            <v>SERVYRE</v>
          </cell>
          <cell r="B10399" t="str">
            <v>530-26020-017-0000</v>
          </cell>
          <cell r="J10399">
            <v>327250</v>
          </cell>
        </row>
        <row r="10400">
          <cell r="A10400" t="str">
            <v>SERVYRE</v>
          </cell>
          <cell r="B10400" t="str">
            <v>530-26020-041-0000</v>
          </cell>
          <cell r="J10400">
            <v>4310344.82</v>
          </cell>
        </row>
        <row r="10401">
          <cell r="A10401" t="str">
            <v>SERVYRE</v>
          </cell>
          <cell r="B10401" t="str">
            <v>530-26020-054-0000</v>
          </cell>
          <cell r="J10401">
            <v>-4682458.13</v>
          </cell>
        </row>
        <row r="10402">
          <cell r="A10402" t="str">
            <v>SERVYRE</v>
          </cell>
          <cell r="B10402" t="str">
            <v>530-26020-054-0006</v>
          </cell>
          <cell r="J10402">
            <v>-4682458.13</v>
          </cell>
        </row>
        <row r="10403">
          <cell r="A10403" t="str">
            <v>SERVYRE</v>
          </cell>
          <cell r="B10403" t="str">
            <v>530-26020-061-0000</v>
          </cell>
          <cell r="J10403">
            <v>-5931.01</v>
          </cell>
        </row>
        <row r="10404">
          <cell r="A10404" t="str">
            <v>SERVYRE</v>
          </cell>
          <cell r="B10404" t="str">
            <v>530-26021-001-0000</v>
          </cell>
          <cell r="J10404">
            <v>22079.22</v>
          </cell>
        </row>
        <row r="10405">
          <cell r="A10405" t="str">
            <v>SERVYRE</v>
          </cell>
          <cell r="B10405" t="str">
            <v>530-26021-001-0001</v>
          </cell>
          <cell r="J10405">
            <v>15393.72</v>
          </cell>
        </row>
        <row r="10406">
          <cell r="A10406" t="str">
            <v>SERVYRE</v>
          </cell>
          <cell r="B10406" t="str">
            <v>530-26021-001-0002</v>
          </cell>
          <cell r="J10406">
            <v>1295.32</v>
          </cell>
        </row>
        <row r="10407">
          <cell r="A10407" t="str">
            <v>SERVYRE</v>
          </cell>
          <cell r="B10407" t="str">
            <v>530-26021-001-0005</v>
          </cell>
          <cell r="J10407">
            <v>1634.69</v>
          </cell>
        </row>
        <row r="10408">
          <cell r="A10408" t="str">
            <v>SERVYRE</v>
          </cell>
          <cell r="B10408" t="str">
            <v>530-26021-001-0006</v>
          </cell>
          <cell r="J10408">
            <v>1634.69</v>
          </cell>
        </row>
        <row r="10409">
          <cell r="A10409" t="str">
            <v>SERVYRE</v>
          </cell>
          <cell r="B10409" t="str">
            <v>530-26021-001-0011</v>
          </cell>
          <cell r="J10409">
            <v>2120.8000000000002</v>
          </cell>
        </row>
        <row r="10410">
          <cell r="A10410" t="str">
            <v>SERVYRE</v>
          </cell>
          <cell r="B10410" t="str">
            <v>530-26021-002-0000</v>
          </cell>
          <cell r="J10410">
            <v>5487.24</v>
          </cell>
        </row>
        <row r="10411">
          <cell r="A10411" t="str">
            <v>SERVYRE</v>
          </cell>
          <cell r="B10411" t="str">
            <v>530-26021-002-0001</v>
          </cell>
          <cell r="J10411">
            <v>1874.43</v>
          </cell>
        </row>
        <row r="10412">
          <cell r="A10412" t="str">
            <v>SERVYRE</v>
          </cell>
          <cell r="B10412" t="str">
            <v>530-26021-002-0002</v>
          </cell>
          <cell r="J10412">
            <v>1843.34</v>
          </cell>
        </row>
        <row r="10413">
          <cell r="A10413" t="str">
            <v>SERVYRE</v>
          </cell>
          <cell r="B10413" t="str">
            <v>530-26021-002-0003</v>
          </cell>
          <cell r="J10413">
            <v>968.85</v>
          </cell>
        </row>
        <row r="10414">
          <cell r="A10414" t="str">
            <v>SERVYRE</v>
          </cell>
          <cell r="B10414" t="str">
            <v>530-26021-002-0004</v>
          </cell>
          <cell r="J10414">
            <v>800.62</v>
          </cell>
        </row>
        <row r="10415">
          <cell r="A10415" t="str">
            <v>SERVYRE</v>
          </cell>
          <cell r="B10415" t="str">
            <v>530-26021-003-0000</v>
          </cell>
          <cell r="J10415">
            <v>7940.31</v>
          </cell>
        </row>
        <row r="10416">
          <cell r="A10416" t="str">
            <v>SERVYRE</v>
          </cell>
          <cell r="B10416" t="str">
            <v>530-26021-017-0000</v>
          </cell>
          <cell r="J10416">
            <v>6556594.8200000003</v>
          </cell>
        </row>
        <row r="10417">
          <cell r="A10417" t="str">
            <v>SERVYRE</v>
          </cell>
          <cell r="B10417" t="str">
            <v>530-26021-054-0000</v>
          </cell>
          <cell r="J10417">
            <v>-6592354.3300000001</v>
          </cell>
        </row>
        <row r="10418">
          <cell r="A10418" t="str">
            <v>SERVYRE</v>
          </cell>
          <cell r="B10418" t="str">
            <v>530-26021-054-0006</v>
          </cell>
          <cell r="J10418">
            <v>-6592354.3300000001</v>
          </cell>
        </row>
        <row r="10419">
          <cell r="A10419" t="str">
            <v>SERVYRE</v>
          </cell>
          <cell r="B10419" t="str">
            <v>530-26021-061-0000</v>
          </cell>
          <cell r="J10419">
            <v>252.74</v>
          </cell>
        </row>
        <row r="10420">
          <cell r="A10420" t="str">
            <v>SERVYRE</v>
          </cell>
          <cell r="B10420" t="str">
            <v>530-26022-000-0000</v>
          </cell>
          <cell r="J10420">
            <v>4465470.72</v>
          </cell>
        </row>
        <row r="10421">
          <cell r="A10421" t="str">
            <v>SERVYRE</v>
          </cell>
          <cell r="B10421" t="str">
            <v>530-26022-001-0000</v>
          </cell>
          <cell r="J10421">
            <v>79322.820000000007</v>
          </cell>
        </row>
        <row r="10422">
          <cell r="A10422" t="str">
            <v>SERVYRE</v>
          </cell>
          <cell r="B10422" t="str">
            <v>530-26022-001-0001</v>
          </cell>
          <cell r="J10422">
            <v>63051.07</v>
          </cell>
        </row>
        <row r="10423">
          <cell r="A10423" t="str">
            <v>SERVYRE</v>
          </cell>
          <cell r="B10423" t="str">
            <v>530-26022-001-0002</v>
          </cell>
          <cell r="J10423">
            <v>4781.41</v>
          </cell>
        </row>
        <row r="10424">
          <cell r="A10424" t="str">
            <v>SERVYRE</v>
          </cell>
          <cell r="B10424" t="str">
            <v>530-26022-001-0004</v>
          </cell>
          <cell r="J10424">
            <v>1401.18</v>
          </cell>
        </row>
        <row r="10425">
          <cell r="A10425" t="str">
            <v>SERVYRE</v>
          </cell>
          <cell r="B10425" t="str">
            <v>530-26022-001-0005</v>
          </cell>
          <cell r="J10425">
            <v>3665.3</v>
          </cell>
        </row>
        <row r="10426">
          <cell r="A10426" t="str">
            <v>SERVYRE</v>
          </cell>
          <cell r="B10426" t="str">
            <v>530-26022-001-0006</v>
          </cell>
          <cell r="J10426">
            <v>3665.3</v>
          </cell>
        </row>
        <row r="10427">
          <cell r="A10427" t="str">
            <v>SERVYRE</v>
          </cell>
          <cell r="B10427" t="str">
            <v>530-26022-001-0011</v>
          </cell>
          <cell r="J10427">
            <v>2758.56</v>
          </cell>
        </row>
        <row r="10428">
          <cell r="A10428" t="str">
            <v>SERVYRE</v>
          </cell>
          <cell r="B10428" t="str">
            <v>530-26022-002-0000</v>
          </cell>
          <cell r="J10428">
            <v>16882.32</v>
          </cell>
        </row>
        <row r="10429">
          <cell r="A10429" t="str">
            <v>SERVYRE</v>
          </cell>
          <cell r="B10429" t="str">
            <v>530-26022-002-0001</v>
          </cell>
          <cell r="J10429">
            <v>6860.35</v>
          </cell>
        </row>
        <row r="10430">
          <cell r="A10430" t="str">
            <v>SERVYRE</v>
          </cell>
          <cell r="B10430" t="str">
            <v>530-26022-002-0002</v>
          </cell>
          <cell r="J10430">
            <v>4525.68</v>
          </cell>
        </row>
        <row r="10431">
          <cell r="A10431" t="str">
            <v>SERVYRE</v>
          </cell>
          <cell r="B10431" t="str">
            <v>530-26022-002-0003</v>
          </cell>
          <cell r="J10431">
            <v>2419.59</v>
          </cell>
        </row>
        <row r="10432">
          <cell r="A10432" t="str">
            <v>SERVYRE</v>
          </cell>
          <cell r="B10432" t="str">
            <v>530-26022-002-0004</v>
          </cell>
          <cell r="J10432">
            <v>3076.7</v>
          </cell>
        </row>
        <row r="10433">
          <cell r="A10433" t="str">
            <v>SERVYRE</v>
          </cell>
          <cell r="B10433" t="str">
            <v>530-26022-003-0000</v>
          </cell>
          <cell r="J10433">
            <v>19475.240000000002</v>
          </cell>
        </row>
        <row r="10434">
          <cell r="A10434" t="str">
            <v>SERVYRE</v>
          </cell>
          <cell r="B10434" t="str">
            <v>530-26022-016-0000</v>
          </cell>
          <cell r="J10434">
            <v>58939.7</v>
          </cell>
        </row>
        <row r="10435">
          <cell r="A10435" t="str">
            <v>SERVYRE</v>
          </cell>
          <cell r="B10435" t="str">
            <v>530-26022-017-0000</v>
          </cell>
          <cell r="J10435">
            <v>110000</v>
          </cell>
        </row>
        <row r="10436">
          <cell r="A10436" t="str">
            <v>SERVYRE</v>
          </cell>
          <cell r="B10436" t="str">
            <v>530-26022-041-0000</v>
          </cell>
          <cell r="J10436">
            <v>1293103.45</v>
          </cell>
        </row>
        <row r="10437">
          <cell r="A10437" t="str">
            <v>SERVYRE</v>
          </cell>
          <cell r="B10437" t="str">
            <v>530-26022-055-0000</v>
          </cell>
          <cell r="J10437">
            <v>2887747.19</v>
          </cell>
        </row>
        <row r="10438">
          <cell r="A10438" t="str">
            <v>SERVYRE</v>
          </cell>
          <cell r="B10438" t="str">
            <v>530-26023-000-0000</v>
          </cell>
          <cell r="J10438">
            <v>31404.9</v>
          </cell>
        </row>
        <row r="10439">
          <cell r="A10439" t="str">
            <v>SERVYRE</v>
          </cell>
          <cell r="B10439" t="str">
            <v>530-26023-001-0000</v>
          </cell>
          <cell r="J10439">
            <v>18386.689999999999</v>
          </cell>
        </row>
        <row r="10440">
          <cell r="A10440" t="str">
            <v>SERVYRE</v>
          </cell>
          <cell r="B10440" t="str">
            <v>530-26023-001-0001</v>
          </cell>
          <cell r="J10440">
            <v>13678.06</v>
          </cell>
        </row>
        <row r="10441">
          <cell r="A10441" t="str">
            <v>SERVYRE</v>
          </cell>
          <cell r="B10441" t="str">
            <v>530-26023-001-0002</v>
          </cell>
          <cell r="J10441">
            <v>1260</v>
          </cell>
        </row>
        <row r="10442">
          <cell r="A10442" t="str">
            <v>SERVYRE</v>
          </cell>
          <cell r="B10442" t="str">
            <v>530-26023-001-0005</v>
          </cell>
          <cell r="J10442">
            <v>1435.26</v>
          </cell>
        </row>
        <row r="10443">
          <cell r="A10443" t="str">
            <v>SERVYRE</v>
          </cell>
          <cell r="B10443" t="str">
            <v>530-26023-001-0006</v>
          </cell>
          <cell r="J10443">
            <v>1435.26</v>
          </cell>
        </row>
        <row r="10444">
          <cell r="A10444" t="str">
            <v>SERVYRE</v>
          </cell>
          <cell r="B10444" t="str">
            <v>530-26023-001-0011</v>
          </cell>
          <cell r="J10444">
            <v>578.11</v>
          </cell>
        </row>
        <row r="10445">
          <cell r="A10445" t="str">
            <v>SERVYRE</v>
          </cell>
          <cell r="B10445" t="str">
            <v>530-26023-002-0000</v>
          </cell>
          <cell r="J10445">
            <v>6612.29</v>
          </cell>
        </row>
        <row r="10446">
          <cell r="A10446" t="str">
            <v>SERVYRE</v>
          </cell>
          <cell r="B10446" t="str">
            <v>530-26023-002-0001</v>
          </cell>
          <cell r="J10446">
            <v>1641</v>
          </cell>
        </row>
        <row r="10447">
          <cell r="A10447" t="str">
            <v>SERVYRE</v>
          </cell>
          <cell r="B10447" t="str">
            <v>530-26023-002-0002</v>
          </cell>
          <cell r="J10447">
            <v>2720.95</v>
          </cell>
        </row>
        <row r="10448">
          <cell r="A10448" t="str">
            <v>SERVYRE</v>
          </cell>
          <cell r="B10448" t="str">
            <v>530-26023-002-0003</v>
          </cell>
          <cell r="J10448">
            <v>1430.13</v>
          </cell>
        </row>
        <row r="10449">
          <cell r="A10449" t="str">
            <v>SERVYRE</v>
          </cell>
          <cell r="B10449" t="str">
            <v>530-26023-002-0004</v>
          </cell>
          <cell r="J10449">
            <v>820.21</v>
          </cell>
        </row>
        <row r="10450">
          <cell r="A10450" t="str">
            <v>SERVYRE</v>
          </cell>
          <cell r="B10450" t="str">
            <v>530-26023-003-0000</v>
          </cell>
          <cell r="J10450">
            <v>6405.92</v>
          </cell>
        </row>
        <row r="10451">
          <cell r="A10451" t="str">
            <v>SERVYRE</v>
          </cell>
          <cell r="B10451" t="str">
            <v>530-26025-000-0000</v>
          </cell>
          <cell r="J10451">
            <v>3457745.23</v>
          </cell>
        </row>
        <row r="10452">
          <cell r="A10452" t="str">
            <v>SERVYRE</v>
          </cell>
          <cell r="B10452" t="str">
            <v>530-26025-001-0000</v>
          </cell>
          <cell r="J10452">
            <v>34693.15</v>
          </cell>
        </row>
        <row r="10453">
          <cell r="A10453" t="str">
            <v>SERVYRE</v>
          </cell>
          <cell r="B10453" t="str">
            <v>530-26025-001-0001</v>
          </cell>
          <cell r="J10453">
            <v>22294.400000000001</v>
          </cell>
        </row>
        <row r="10454">
          <cell r="A10454" t="str">
            <v>SERVYRE</v>
          </cell>
          <cell r="B10454" t="str">
            <v>530-26025-001-0002</v>
          </cell>
          <cell r="J10454">
            <v>1898.15</v>
          </cell>
        </row>
        <row r="10455">
          <cell r="A10455" t="str">
            <v>SERVYRE</v>
          </cell>
          <cell r="B10455" t="str">
            <v>530-26025-001-0005</v>
          </cell>
          <cell r="J10455">
            <v>2282.87</v>
          </cell>
        </row>
        <row r="10456">
          <cell r="A10456" t="str">
            <v>SERVYRE</v>
          </cell>
          <cell r="B10456" t="str">
            <v>530-26025-001-0006</v>
          </cell>
          <cell r="J10456">
            <v>2282.87</v>
          </cell>
        </row>
        <row r="10457">
          <cell r="A10457" t="str">
            <v>SERVYRE</v>
          </cell>
          <cell r="B10457" t="str">
            <v>530-26025-001-0011</v>
          </cell>
          <cell r="J10457">
            <v>5934.86</v>
          </cell>
        </row>
        <row r="10458">
          <cell r="A10458" t="str">
            <v>SERVYRE</v>
          </cell>
          <cell r="B10458" t="str">
            <v>530-26025-002-0000</v>
          </cell>
          <cell r="J10458">
            <v>9634.48</v>
          </cell>
        </row>
        <row r="10459">
          <cell r="A10459" t="str">
            <v>SERVYRE</v>
          </cell>
          <cell r="B10459" t="str">
            <v>530-26025-002-0001</v>
          </cell>
          <cell r="J10459">
            <v>2702.18</v>
          </cell>
        </row>
        <row r="10460">
          <cell r="A10460" t="str">
            <v>SERVYRE</v>
          </cell>
          <cell r="B10460" t="str">
            <v>530-26025-002-0002</v>
          </cell>
          <cell r="J10460">
            <v>3630.3</v>
          </cell>
        </row>
        <row r="10461">
          <cell r="A10461" t="str">
            <v>SERVYRE</v>
          </cell>
          <cell r="B10461" t="str">
            <v>530-26025-002-0003</v>
          </cell>
          <cell r="J10461">
            <v>1926.68</v>
          </cell>
        </row>
        <row r="10462">
          <cell r="A10462" t="str">
            <v>SERVYRE</v>
          </cell>
          <cell r="B10462" t="str">
            <v>530-26025-002-0004</v>
          </cell>
          <cell r="J10462">
            <v>1375.32</v>
          </cell>
        </row>
        <row r="10463">
          <cell r="A10463" t="str">
            <v>SERVYRE</v>
          </cell>
          <cell r="B10463" t="str">
            <v>530-26025-003-0000</v>
          </cell>
          <cell r="J10463">
            <v>20339.810000000001</v>
          </cell>
        </row>
        <row r="10464">
          <cell r="A10464" t="str">
            <v>SERVYRE</v>
          </cell>
          <cell r="B10464" t="str">
            <v>530-26025-017-0000</v>
          </cell>
          <cell r="J10464">
            <v>3394254.86</v>
          </cell>
        </row>
        <row r="10465">
          <cell r="A10465" t="str">
            <v>SERVYRE</v>
          </cell>
          <cell r="B10465" t="str">
            <v>530-26025-061-0000</v>
          </cell>
          <cell r="J10465">
            <v>-1177.07</v>
          </cell>
        </row>
        <row r="10466">
          <cell r="A10466" t="str">
            <v>SERVYRE</v>
          </cell>
          <cell r="B10466" t="str">
            <v>530-26026-000-0000</v>
          </cell>
          <cell r="J10466">
            <v>45064.71</v>
          </cell>
        </row>
        <row r="10467">
          <cell r="A10467" t="str">
            <v>SERVYRE</v>
          </cell>
          <cell r="B10467" t="str">
            <v>530-26026-001-0000</v>
          </cell>
          <cell r="J10467">
            <v>28227.93</v>
          </cell>
        </row>
        <row r="10468">
          <cell r="A10468" t="str">
            <v>SERVYRE</v>
          </cell>
          <cell r="B10468" t="str">
            <v>530-26026-001-0001</v>
          </cell>
          <cell r="J10468">
            <v>21103.08</v>
          </cell>
        </row>
        <row r="10469">
          <cell r="A10469" t="str">
            <v>SERVYRE</v>
          </cell>
          <cell r="B10469" t="str">
            <v>530-26026-001-0002</v>
          </cell>
          <cell r="J10469">
            <v>2046.06</v>
          </cell>
        </row>
        <row r="10470">
          <cell r="A10470" t="str">
            <v>SERVYRE</v>
          </cell>
          <cell r="B10470" t="str">
            <v>530-26026-001-0005</v>
          </cell>
          <cell r="J10470">
            <v>2118.58</v>
          </cell>
        </row>
        <row r="10471">
          <cell r="A10471" t="str">
            <v>SERVYRE</v>
          </cell>
          <cell r="B10471" t="str">
            <v>530-26026-001-0006</v>
          </cell>
          <cell r="J10471">
            <v>2118.58</v>
          </cell>
        </row>
        <row r="10472">
          <cell r="A10472" t="str">
            <v>SERVYRE</v>
          </cell>
          <cell r="B10472" t="str">
            <v>530-26026-001-0011</v>
          </cell>
          <cell r="J10472">
            <v>841.63</v>
          </cell>
        </row>
        <row r="10473">
          <cell r="A10473" t="str">
            <v>SERVYRE</v>
          </cell>
          <cell r="B10473" t="str">
            <v>530-26026-002-0000</v>
          </cell>
          <cell r="J10473">
            <v>8385.9699999999993</v>
          </cell>
        </row>
        <row r="10474">
          <cell r="A10474" t="str">
            <v>SERVYRE</v>
          </cell>
          <cell r="B10474" t="str">
            <v>530-26026-002-0001</v>
          </cell>
          <cell r="J10474">
            <v>2674.25</v>
          </cell>
        </row>
        <row r="10475">
          <cell r="A10475" t="str">
            <v>SERVYRE</v>
          </cell>
          <cell r="B10475" t="str">
            <v>530-26026-002-0002</v>
          </cell>
          <cell r="J10475">
            <v>2924.21</v>
          </cell>
        </row>
        <row r="10476">
          <cell r="A10476" t="str">
            <v>SERVYRE</v>
          </cell>
          <cell r="B10476" t="str">
            <v>530-26026-002-0003</v>
          </cell>
          <cell r="J10476">
            <v>1554.8</v>
          </cell>
        </row>
        <row r="10477">
          <cell r="A10477" t="str">
            <v>SERVYRE</v>
          </cell>
          <cell r="B10477" t="str">
            <v>530-26026-002-0004</v>
          </cell>
          <cell r="J10477">
            <v>1232.71</v>
          </cell>
        </row>
        <row r="10478">
          <cell r="A10478" t="str">
            <v>SERVYRE</v>
          </cell>
          <cell r="B10478" t="str">
            <v>530-26026-003-0000</v>
          </cell>
          <cell r="J10478">
            <v>8450.81</v>
          </cell>
        </row>
        <row r="10479">
          <cell r="A10479" t="str">
            <v>SERVYRE</v>
          </cell>
          <cell r="B10479" t="str">
            <v>530-26027-000-0000</v>
          </cell>
          <cell r="J10479">
            <v>700478.03</v>
          </cell>
        </row>
        <row r="10480">
          <cell r="A10480" t="str">
            <v>SERVYRE</v>
          </cell>
          <cell r="B10480" t="str">
            <v>530-26027-001-0000</v>
          </cell>
          <cell r="J10480">
            <v>31303.16</v>
          </cell>
        </row>
        <row r="10481">
          <cell r="A10481" t="str">
            <v>SERVYRE</v>
          </cell>
          <cell r="B10481" t="str">
            <v>530-26027-001-0001</v>
          </cell>
          <cell r="J10481">
            <v>23175.08</v>
          </cell>
        </row>
        <row r="10482">
          <cell r="A10482" t="str">
            <v>SERVYRE</v>
          </cell>
          <cell r="B10482" t="str">
            <v>530-26027-001-0002</v>
          </cell>
          <cell r="J10482">
            <v>2221.36</v>
          </cell>
        </row>
        <row r="10483">
          <cell r="A10483" t="str">
            <v>SERVYRE</v>
          </cell>
          <cell r="B10483" t="str">
            <v>530-26027-001-0005</v>
          </cell>
          <cell r="J10483">
            <v>2438.25</v>
          </cell>
        </row>
        <row r="10484">
          <cell r="A10484" t="str">
            <v>SERVYRE</v>
          </cell>
          <cell r="B10484" t="str">
            <v>530-26027-001-0006</v>
          </cell>
          <cell r="J10484">
            <v>2438.25</v>
          </cell>
        </row>
        <row r="10485">
          <cell r="A10485" t="str">
            <v>SERVYRE</v>
          </cell>
          <cell r="B10485" t="str">
            <v>530-26027-001-0011</v>
          </cell>
          <cell r="J10485">
            <v>1030.22</v>
          </cell>
        </row>
        <row r="10486">
          <cell r="A10486" t="str">
            <v>SERVYRE</v>
          </cell>
          <cell r="B10486" t="str">
            <v>530-26027-002-0000</v>
          </cell>
          <cell r="J10486">
            <v>8636.42</v>
          </cell>
        </row>
        <row r="10487">
          <cell r="A10487" t="str">
            <v>SERVYRE</v>
          </cell>
          <cell r="B10487" t="str">
            <v>530-26027-002-0001</v>
          </cell>
          <cell r="J10487">
            <v>2805.47</v>
          </cell>
        </row>
        <row r="10488">
          <cell r="A10488" t="str">
            <v>SERVYRE</v>
          </cell>
          <cell r="B10488" t="str">
            <v>530-26027-002-0002</v>
          </cell>
          <cell r="J10488">
            <v>2973.51</v>
          </cell>
        </row>
        <row r="10489">
          <cell r="A10489" t="str">
            <v>SERVYRE</v>
          </cell>
          <cell r="B10489" t="str">
            <v>530-26027-002-0003</v>
          </cell>
          <cell r="J10489">
            <v>1562.87</v>
          </cell>
        </row>
        <row r="10490">
          <cell r="A10490" t="str">
            <v>SERVYRE</v>
          </cell>
          <cell r="B10490" t="str">
            <v>530-26027-002-0004</v>
          </cell>
          <cell r="J10490">
            <v>1294.57</v>
          </cell>
        </row>
        <row r="10491">
          <cell r="A10491" t="str">
            <v>SERVYRE</v>
          </cell>
          <cell r="B10491" t="str">
            <v>530-26027-003-0000</v>
          </cell>
          <cell r="J10491">
            <v>9431.98</v>
          </cell>
        </row>
        <row r="10492">
          <cell r="A10492" t="str">
            <v>SERVYRE</v>
          </cell>
          <cell r="B10492" t="str">
            <v>530-26027-017-0000</v>
          </cell>
          <cell r="J10492">
            <v>653149.93999999994</v>
          </cell>
        </row>
        <row r="10493">
          <cell r="A10493" t="str">
            <v>SERVYRE</v>
          </cell>
          <cell r="B10493" t="str">
            <v>530-26027-061-0000</v>
          </cell>
          <cell r="J10493">
            <v>-2043.47</v>
          </cell>
        </row>
        <row r="10494">
          <cell r="A10494" t="str">
            <v>SERVYRE</v>
          </cell>
          <cell r="B10494" t="str">
            <v>530-26028-000-0000</v>
          </cell>
          <cell r="J10494">
            <v>35137.78</v>
          </cell>
        </row>
        <row r="10495">
          <cell r="A10495" t="str">
            <v>SERVYRE</v>
          </cell>
          <cell r="B10495" t="str">
            <v>530-26028-001-0000</v>
          </cell>
          <cell r="J10495">
            <v>20277.66</v>
          </cell>
        </row>
        <row r="10496">
          <cell r="A10496" t="str">
            <v>SERVYRE</v>
          </cell>
          <cell r="B10496" t="str">
            <v>530-26028-001-0001</v>
          </cell>
          <cell r="J10496">
            <v>15078.43</v>
          </cell>
        </row>
        <row r="10497">
          <cell r="A10497" t="str">
            <v>SERVYRE</v>
          </cell>
          <cell r="B10497" t="str">
            <v>530-26028-001-0002</v>
          </cell>
          <cell r="J10497">
            <v>1389</v>
          </cell>
        </row>
        <row r="10498">
          <cell r="A10498" t="str">
            <v>SERVYRE</v>
          </cell>
          <cell r="B10498" t="str">
            <v>530-26028-001-0005</v>
          </cell>
          <cell r="J10498">
            <v>1586.1</v>
          </cell>
        </row>
        <row r="10499">
          <cell r="A10499" t="str">
            <v>SERVYRE</v>
          </cell>
          <cell r="B10499" t="str">
            <v>530-26028-001-0006</v>
          </cell>
          <cell r="J10499">
            <v>1586.1</v>
          </cell>
        </row>
        <row r="10500">
          <cell r="A10500" t="str">
            <v>SERVYRE</v>
          </cell>
          <cell r="B10500" t="str">
            <v>530-26028-001-0011</v>
          </cell>
          <cell r="J10500">
            <v>638.03</v>
          </cell>
        </row>
        <row r="10501">
          <cell r="A10501" t="str">
            <v>SERVYRE</v>
          </cell>
          <cell r="B10501" t="str">
            <v>530-26028-002-0000</v>
          </cell>
          <cell r="J10501">
            <v>7123.89</v>
          </cell>
        </row>
        <row r="10502">
          <cell r="A10502" t="str">
            <v>SERVYRE</v>
          </cell>
          <cell r="B10502" t="str">
            <v>530-26028-002-0001</v>
          </cell>
          <cell r="J10502">
            <v>1811.78</v>
          </cell>
        </row>
        <row r="10503">
          <cell r="A10503" t="str">
            <v>SERVYRE</v>
          </cell>
          <cell r="B10503" t="str">
            <v>530-26028-002-0002</v>
          </cell>
          <cell r="J10503">
            <v>2886.96</v>
          </cell>
        </row>
        <row r="10504">
          <cell r="A10504" t="str">
            <v>SERVYRE</v>
          </cell>
          <cell r="B10504" t="str">
            <v>530-26028-002-0003</v>
          </cell>
          <cell r="J10504">
            <v>1517.38</v>
          </cell>
        </row>
        <row r="10505">
          <cell r="A10505" t="str">
            <v>SERVYRE</v>
          </cell>
          <cell r="B10505" t="str">
            <v>530-26028-002-0004</v>
          </cell>
          <cell r="J10505">
            <v>907.77</v>
          </cell>
        </row>
        <row r="10506">
          <cell r="A10506" t="str">
            <v>SERVYRE</v>
          </cell>
          <cell r="B10506" t="str">
            <v>530-26028-003-0000</v>
          </cell>
          <cell r="J10506">
            <v>8323.42</v>
          </cell>
        </row>
        <row r="10507">
          <cell r="A10507" t="str">
            <v>SERVYRE</v>
          </cell>
          <cell r="B10507" t="str">
            <v>530-26028-061-0000</v>
          </cell>
          <cell r="J10507">
            <v>-587.19000000000005</v>
          </cell>
        </row>
        <row r="10508">
          <cell r="A10508" t="str">
            <v>SERVYRE</v>
          </cell>
          <cell r="B10508" t="str">
            <v>530-26029-000-0000</v>
          </cell>
          <cell r="J10508">
            <v>28570.32</v>
          </cell>
        </row>
        <row r="10509">
          <cell r="A10509" t="str">
            <v>SERVYRE</v>
          </cell>
          <cell r="B10509" t="str">
            <v>530-26029-001-0000</v>
          </cell>
          <cell r="J10509">
            <v>19921.25</v>
          </cell>
        </row>
        <row r="10510">
          <cell r="A10510" t="str">
            <v>SERVYRE</v>
          </cell>
          <cell r="B10510" t="str">
            <v>530-26029-001-0001</v>
          </cell>
          <cell r="J10510">
            <v>14791.13</v>
          </cell>
        </row>
        <row r="10511">
          <cell r="A10511" t="str">
            <v>SERVYRE</v>
          </cell>
          <cell r="B10511" t="str">
            <v>530-26029-001-0002</v>
          </cell>
          <cell r="J10511">
            <v>1414.64</v>
          </cell>
        </row>
        <row r="10512">
          <cell r="A10512" t="str">
            <v>SERVYRE</v>
          </cell>
          <cell r="B10512" t="str">
            <v>530-26029-001-0005</v>
          </cell>
          <cell r="J10512">
            <v>1552.04</v>
          </cell>
        </row>
        <row r="10513">
          <cell r="A10513" t="str">
            <v>SERVYRE</v>
          </cell>
          <cell r="B10513" t="str">
            <v>530-26029-001-0006</v>
          </cell>
          <cell r="J10513">
            <v>1552.04</v>
          </cell>
        </row>
        <row r="10514">
          <cell r="A10514" t="str">
            <v>SERVYRE</v>
          </cell>
          <cell r="B10514" t="str">
            <v>530-26029-001-0011</v>
          </cell>
          <cell r="J10514">
            <v>611.4</v>
          </cell>
        </row>
        <row r="10515">
          <cell r="A10515" t="str">
            <v>SERVYRE</v>
          </cell>
          <cell r="B10515" t="str">
            <v>530-26029-002-0000</v>
          </cell>
          <cell r="J10515">
            <v>6436.12</v>
          </cell>
        </row>
        <row r="10516">
          <cell r="A10516" t="str">
            <v>SERVYRE</v>
          </cell>
          <cell r="B10516" t="str">
            <v>530-26029-002-0001</v>
          </cell>
          <cell r="J10516">
            <v>1800.26</v>
          </cell>
        </row>
        <row r="10517">
          <cell r="A10517" t="str">
            <v>SERVYRE</v>
          </cell>
          <cell r="B10517" t="str">
            <v>530-26029-002-0002</v>
          </cell>
          <cell r="J10517">
            <v>2475.14</v>
          </cell>
        </row>
        <row r="10518">
          <cell r="A10518" t="str">
            <v>SERVYRE</v>
          </cell>
          <cell r="B10518" t="str">
            <v>530-26029-002-0003</v>
          </cell>
          <cell r="J10518">
            <v>1300.93</v>
          </cell>
        </row>
        <row r="10519">
          <cell r="A10519" t="str">
            <v>SERVYRE</v>
          </cell>
          <cell r="B10519" t="str">
            <v>530-26029-002-0004</v>
          </cell>
          <cell r="J10519">
            <v>859.79</v>
          </cell>
        </row>
        <row r="10520">
          <cell r="A10520" t="str">
            <v>SERVYRE</v>
          </cell>
          <cell r="B10520" t="str">
            <v>530-26029-003-0000</v>
          </cell>
          <cell r="J10520">
            <v>2212.9499999999998</v>
          </cell>
        </row>
        <row r="10521">
          <cell r="A10521" t="str">
            <v>SERVYRE</v>
          </cell>
          <cell r="B10521" t="str">
            <v>530-26030-000-0000</v>
          </cell>
          <cell r="J10521">
            <v>4236.7700000000004</v>
          </cell>
        </row>
        <row r="10522">
          <cell r="A10522" t="str">
            <v>SERVYRE</v>
          </cell>
          <cell r="B10522" t="str">
            <v>530-26030-001-0000</v>
          </cell>
          <cell r="J10522">
            <v>2630.97</v>
          </cell>
        </row>
        <row r="10523">
          <cell r="A10523" t="str">
            <v>SERVYRE</v>
          </cell>
          <cell r="B10523" t="str">
            <v>530-26030-001-0001</v>
          </cell>
          <cell r="J10523">
            <v>1961.39</v>
          </cell>
        </row>
        <row r="10524">
          <cell r="A10524" t="str">
            <v>SERVYRE</v>
          </cell>
          <cell r="B10524" t="str">
            <v>530-26030-001-0002</v>
          </cell>
          <cell r="J10524">
            <v>183</v>
          </cell>
        </row>
        <row r="10525">
          <cell r="A10525" t="str">
            <v>SERVYRE</v>
          </cell>
          <cell r="B10525" t="str">
            <v>530-26030-001-0005</v>
          </cell>
          <cell r="J10525">
            <v>206.17</v>
          </cell>
        </row>
        <row r="10526">
          <cell r="A10526" t="str">
            <v>SERVYRE</v>
          </cell>
          <cell r="B10526" t="str">
            <v>530-26030-001-0006</v>
          </cell>
          <cell r="J10526">
            <v>206.17</v>
          </cell>
        </row>
        <row r="10527">
          <cell r="A10527" t="str">
            <v>SERVYRE</v>
          </cell>
          <cell r="B10527" t="str">
            <v>530-26030-001-0011</v>
          </cell>
          <cell r="J10527">
            <v>74.239999999999995</v>
          </cell>
        </row>
        <row r="10528">
          <cell r="A10528" t="str">
            <v>SERVYRE</v>
          </cell>
          <cell r="B10528" t="str">
            <v>530-26030-002-0000</v>
          </cell>
          <cell r="J10528">
            <v>1019.18</v>
          </cell>
        </row>
        <row r="10529">
          <cell r="A10529" t="str">
            <v>SERVYRE</v>
          </cell>
          <cell r="B10529" t="str">
            <v>530-26030-002-0001</v>
          </cell>
          <cell r="J10529">
            <v>236.72</v>
          </cell>
        </row>
        <row r="10530">
          <cell r="A10530" t="str">
            <v>SERVYRE</v>
          </cell>
          <cell r="B10530" t="str">
            <v>530-26030-002-0002</v>
          </cell>
          <cell r="J10530">
            <v>434.12</v>
          </cell>
        </row>
        <row r="10531">
          <cell r="A10531" t="str">
            <v>SERVYRE</v>
          </cell>
          <cell r="B10531" t="str">
            <v>530-26030-002-0003</v>
          </cell>
          <cell r="J10531">
            <v>228.17</v>
          </cell>
        </row>
        <row r="10532">
          <cell r="A10532" t="str">
            <v>SERVYRE</v>
          </cell>
          <cell r="B10532" t="str">
            <v>530-26030-002-0004</v>
          </cell>
          <cell r="J10532">
            <v>120.17</v>
          </cell>
        </row>
        <row r="10533">
          <cell r="A10533" t="str">
            <v>SERVYRE</v>
          </cell>
          <cell r="B10533" t="str">
            <v>530-26030-003-0000</v>
          </cell>
          <cell r="J10533">
            <v>586.62</v>
          </cell>
        </row>
        <row r="10534">
          <cell r="A10534" t="str">
            <v>SERVYRE</v>
          </cell>
          <cell r="B10534" t="str">
            <v>530-26031-000-0000</v>
          </cell>
          <cell r="J10534">
            <v>138865.17000000001</v>
          </cell>
        </row>
        <row r="10535">
          <cell r="A10535" t="str">
            <v>SERVYRE</v>
          </cell>
          <cell r="B10535" t="str">
            <v>530-26031-001-0000</v>
          </cell>
          <cell r="J10535">
            <v>102160.79</v>
          </cell>
        </row>
        <row r="10536">
          <cell r="A10536" t="str">
            <v>SERVYRE</v>
          </cell>
          <cell r="B10536" t="str">
            <v>530-26031-001-0001</v>
          </cell>
          <cell r="J10536">
            <v>81634.77</v>
          </cell>
        </row>
        <row r="10537">
          <cell r="A10537" t="str">
            <v>SERVYRE</v>
          </cell>
          <cell r="B10537" t="str">
            <v>530-26031-001-0002</v>
          </cell>
          <cell r="J10537">
            <v>7025.76</v>
          </cell>
        </row>
        <row r="10538">
          <cell r="A10538" t="str">
            <v>SERVYRE</v>
          </cell>
          <cell r="B10538" t="str">
            <v>530-26031-001-0005</v>
          </cell>
          <cell r="J10538">
            <v>3306.32</v>
          </cell>
        </row>
        <row r="10539">
          <cell r="A10539" t="str">
            <v>SERVYRE</v>
          </cell>
          <cell r="B10539" t="str">
            <v>530-26031-001-0006</v>
          </cell>
          <cell r="J10539">
            <v>3306.32</v>
          </cell>
        </row>
        <row r="10540">
          <cell r="A10540" t="str">
            <v>SERVYRE</v>
          </cell>
          <cell r="B10540" t="str">
            <v>530-26031-001-0011</v>
          </cell>
          <cell r="J10540">
            <v>6887.62</v>
          </cell>
        </row>
        <row r="10541">
          <cell r="A10541" t="str">
            <v>SERVYRE</v>
          </cell>
          <cell r="B10541" t="str">
            <v>530-26031-002-0000</v>
          </cell>
          <cell r="J10541">
            <v>39496.35</v>
          </cell>
        </row>
        <row r="10542">
          <cell r="A10542" t="str">
            <v>SERVYRE</v>
          </cell>
          <cell r="B10542" t="str">
            <v>530-26031-002-0001</v>
          </cell>
          <cell r="J10542">
            <v>10898.88</v>
          </cell>
        </row>
        <row r="10543">
          <cell r="A10543" t="str">
            <v>SERVYRE</v>
          </cell>
          <cell r="B10543" t="str">
            <v>530-26031-002-0002</v>
          </cell>
          <cell r="J10543">
            <v>15279.92</v>
          </cell>
        </row>
        <row r="10544">
          <cell r="A10544" t="str">
            <v>SERVYRE</v>
          </cell>
          <cell r="B10544" t="str">
            <v>530-26031-002-0003</v>
          </cell>
          <cell r="J10544">
            <v>8790.74</v>
          </cell>
        </row>
        <row r="10545">
          <cell r="A10545" t="str">
            <v>SERVYRE</v>
          </cell>
          <cell r="B10545" t="str">
            <v>530-26031-002-0004</v>
          </cell>
          <cell r="J10545">
            <v>4526.8100000000004</v>
          </cell>
        </row>
        <row r="10546">
          <cell r="A10546" t="str">
            <v>SERVYRE</v>
          </cell>
          <cell r="B10546" t="str">
            <v>530-26031-003-0000</v>
          </cell>
          <cell r="J10546">
            <v>795.69</v>
          </cell>
        </row>
        <row r="10547">
          <cell r="A10547" t="str">
            <v>SERVYRE</v>
          </cell>
          <cell r="B10547" t="str">
            <v>530-26031-061-0000</v>
          </cell>
          <cell r="J10547">
            <v>-3587.66</v>
          </cell>
        </row>
        <row r="10548">
          <cell r="A10548" t="str">
            <v>SERVYRE</v>
          </cell>
          <cell r="B10548" t="str">
            <v>530-26032-000-0000</v>
          </cell>
          <cell r="J10548">
            <v>562082.27</v>
          </cell>
        </row>
        <row r="10549">
          <cell r="A10549" t="str">
            <v>SERVYRE</v>
          </cell>
          <cell r="B10549" t="str">
            <v>530-26032-001-0000</v>
          </cell>
          <cell r="J10549">
            <v>15962.45</v>
          </cell>
        </row>
        <row r="10550">
          <cell r="A10550" t="str">
            <v>SERVYRE</v>
          </cell>
          <cell r="B10550" t="str">
            <v>530-26032-001-0001</v>
          </cell>
          <cell r="J10550">
            <v>11800.01</v>
          </cell>
        </row>
        <row r="10551">
          <cell r="A10551" t="str">
            <v>SERVYRE</v>
          </cell>
          <cell r="B10551" t="str">
            <v>530-26032-001-0002</v>
          </cell>
          <cell r="J10551">
            <v>1071</v>
          </cell>
        </row>
        <row r="10552">
          <cell r="A10552" t="str">
            <v>SERVYRE</v>
          </cell>
          <cell r="B10552" t="str">
            <v>530-26032-001-0004</v>
          </cell>
          <cell r="J10552">
            <v>142.13</v>
          </cell>
        </row>
        <row r="10553">
          <cell r="A10553" t="str">
            <v>SERVYRE</v>
          </cell>
          <cell r="B10553" t="str">
            <v>530-26032-001-0005</v>
          </cell>
          <cell r="J10553">
            <v>1220.47</v>
          </cell>
        </row>
        <row r="10554">
          <cell r="A10554" t="str">
            <v>SERVYRE</v>
          </cell>
          <cell r="B10554" t="str">
            <v>530-26032-001-0006</v>
          </cell>
          <cell r="J10554">
            <v>1220.47</v>
          </cell>
        </row>
        <row r="10555">
          <cell r="A10555" t="str">
            <v>SERVYRE</v>
          </cell>
          <cell r="B10555" t="str">
            <v>530-26032-001-0011</v>
          </cell>
          <cell r="J10555">
            <v>508.37</v>
          </cell>
        </row>
        <row r="10556">
          <cell r="A10556" t="str">
            <v>SERVYRE</v>
          </cell>
          <cell r="B10556" t="str">
            <v>530-26032-002-0000</v>
          </cell>
          <cell r="J10556">
            <v>4376.1400000000003</v>
          </cell>
        </row>
        <row r="10557">
          <cell r="A10557" t="str">
            <v>SERVYRE</v>
          </cell>
          <cell r="B10557" t="str">
            <v>530-26032-002-0001</v>
          </cell>
          <cell r="J10557">
            <v>1385.98</v>
          </cell>
        </row>
        <row r="10558">
          <cell r="A10558" t="str">
            <v>SERVYRE</v>
          </cell>
          <cell r="B10558" t="str">
            <v>530-26032-002-0002</v>
          </cell>
          <cell r="J10558">
            <v>1515.66</v>
          </cell>
        </row>
        <row r="10559">
          <cell r="A10559" t="str">
            <v>SERVYRE</v>
          </cell>
          <cell r="B10559" t="str">
            <v>530-26032-002-0003</v>
          </cell>
          <cell r="J10559">
            <v>796.63</v>
          </cell>
        </row>
        <row r="10560">
          <cell r="A10560" t="str">
            <v>SERVYRE</v>
          </cell>
          <cell r="B10560" t="str">
            <v>530-26032-002-0004</v>
          </cell>
          <cell r="J10560">
            <v>677.87</v>
          </cell>
        </row>
        <row r="10561">
          <cell r="A10561" t="str">
            <v>SERVYRE</v>
          </cell>
          <cell r="B10561" t="str">
            <v>530-26032-003-0000</v>
          </cell>
          <cell r="J10561">
            <v>3950.55</v>
          </cell>
        </row>
        <row r="10562">
          <cell r="A10562" t="str">
            <v>SERVYRE</v>
          </cell>
          <cell r="B10562" t="str">
            <v>530-26032-017-0000</v>
          </cell>
          <cell r="J10562">
            <v>531958.93000000005</v>
          </cell>
        </row>
        <row r="10563">
          <cell r="A10563" t="str">
            <v>SERVYRE</v>
          </cell>
          <cell r="B10563" t="str">
            <v>530-26032-018-0000</v>
          </cell>
          <cell r="J10563">
            <v>7364.39</v>
          </cell>
        </row>
        <row r="10564">
          <cell r="A10564" t="str">
            <v>SERVYRE</v>
          </cell>
          <cell r="B10564" t="str">
            <v>530-26032-018-0001</v>
          </cell>
          <cell r="J10564">
            <v>5260.28</v>
          </cell>
        </row>
        <row r="10565">
          <cell r="A10565" t="str">
            <v>SERVYRE</v>
          </cell>
          <cell r="B10565" t="str">
            <v>530-26032-018-0008</v>
          </cell>
          <cell r="J10565">
            <v>2104.11</v>
          </cell>
        </row>
        <row r="10566">
          <cell r="A10566" t="str">
            <v>SERVYRE</v>
          </cell>
          <cell r="B10566" t="str">
            <v>530-26032-061-0000</v>
          </cell>
          <cell r="J10566">
            <v>-1530.19</v>
          </cell>
        </row>
        <row r="10567">
          <cell r="A10567" t="str">
            <v>SERVYRE</v>
          </cell>
          <cell r="B10567" t="str">
            <v>530-26033-000-0000</v>
          </cell>
          <cell r="J10567">
            <v>182908.63</v>
          </cell>
        </row>
        <row r="10568">
          <cell r="A10568" t="str">
            <v>SERVYRE</v>
          </cell>
          <cell r="B10568" t="str">
            <v>530-26033-001-0000</v>
          </cell>
          <cell r="J10568">
            <v>130172.63</v>
          </cell>
        </row>
        <row r="10569">
          <cell r="A10569" t="str">
            <v>SERVYRE</v>
          </cell>
          <cell r="B10569" t="str">
            <v>530-26033-001-0001</v>
          </cell>
          <cell r="J10569">
            <v>100528.11</v>
          </cell>
        </row>
        <row r="10570">
          <cell r="A10570" t="str">
            <v>SERVYRE</v>
          </cell>
          <cell r="B10570" t="str">
            <v>530-26033-001-0002</v>
          </cell>
          <cell r="J10570">
            <v>9101.32</v>
          </cell>
        </row>
        <row r="10571">
          <cell r="A10571" t="str">
            <v>SERVYRE</v>
          </cell>
          <cell r="B10571" t="str">
            <v>530-26033-001-0005</v>
          </cell>
          <cell r="J10571">
            <v>5472.18</v>
          </cell>
        </row>
        <row r="10572">
          <cell r="A10572" t="str">
            <v>SERVYRE</v>
          </cell>
          <cell r="B10572" t="str">
            <v>530-26033-001-0006</v>
          </cell>
          <cell r="J10572">
            <v>5472.18</v>
          </cell>
        </row>
        <row r="10573">
          <cell r="A10573" t="str">
            <v>SERVYRE</v>
          </cell>
          <cell r="B10573" t="str">
            <v>530-26033-001-0011</v>
          </cell>
          <cell r="J10573">
            <v>9598.84</v>
          </cell>
        </row>
        <row r="10574">
          <cell r="A10574" t="str">
            <v>SERVYRE</v>
          </cell>
          <cell r="B10574" t="str">
            <v>530-26033-002-0000</v>
          </cell>
          <cell r="J10574">
            <v>51026.080000000002</v>
          </cell>
        </row>
        <row r="10575">
          <cell r="A10575" t="str">
            <v>SERVYRE</v>
          </cell>
          <cell r="B10575" t="str">
            <v>530-26033-002-0001</v>
          </cell>
          <cell r="J10575">
            <v>13657.07</v>
          </cell>
        </row>
        <row r="10576">
          <cell r="A10576" t="str">
            <v>SERVYRE</v>
          </cell>
          <cell r="B10576" t="str">
            <v>530-26033-002-0002</v>
          </cell>
          <cell r="J10576">
            <v>19995.05</v>
          </cell>
        </row>
        <row r="10577">
          <cell r="A10577" t="str">
            <v>SERVYRE</v>
          </cell>
          <cell r="B10577" t="str">
            <v>530-26033-002-0003</v>
          </cell>
          <cell r="J10577">
            <v>11587.46</v>
          </cell>
        </row>
        <row r="10578">
          <cell r="A10578" t="str">
            <v>SERVYRE</v>
          </cell>
          <cell r="B10578" t="str">
            <v>530-26033-002-0004</v>
          </cell>
          <cell r="J10578">
            <v>5786.5</v>
          </cell>
        </row>
        <row r="10579">
          <cell r="A10579" t="str">
            <v>SERVYRE</v>
          </cell>
          <cell r="B10579" t="str">
            <v>530-26033-003-0000</v>
          </cell>
          <cell r="J10579">
            <v>3978.34</v>
          </cell>
        </row>
        <row r="10580">
          <cell r="A10580" t="str">
            <v>SERVYRE</v>
          </cell>
          <cell r="B10580" t="str">
            <v>530-26033-061-0000</v>
          </cell>
          <cell r="J10580">
            <v>-2268.42</v>
          </cell>
        </row>
        <row r="10581">
          <cell r="A10581" t="str">
            <v>SERVYRE</v>
          </cell>
          <cell r="B10581" t="str">
            <v>530-26034-000-0000</v>
          </cell>
          <cell r="J10581">
            <v>853690.62</v>
          </cell>
        </row>
        <row r="10582">
          <cell r="A10582" t="str">
            <v>SERVYRE</v>
          </cell>
          <cell r="B10582" t="str">
            <v>530-26034-001-0000</v>
          </cell>
          <cell r="J10582">
            <v>11569.47</v>
          </cell>
        </row>
        <row r="10583">
          <cell r="A10583" t="str">
            <v>SERVYRE</v>
          </cell>
          <cell r="B10583" t="str">
            <v>530-26034-001-0001</v>
          </cell>
          <cell r="J10583">
            <v>8531.92</v>
          </cell>
        </row>
        <row r="10584">
          <cell r="A10584" t="str">
            <v>SERVYRE</v>
          </cell>
          <cell r="B10584" t="str">
            <v>530-26034-001-0002</v>
          </cell>
          <cell r="J10584">
            <v>816</v>
          </cell>
        </row>
        <row r="10585">
          <cell r="A10585" t="str">
            <v>SERVYRE</v>
          </cell>
          <cell r="B10585" t="str">
            <v>530-26034-001-0005</v>
          </cell>
          <cell r="J10585">
            <v>896.46</v>
          </cell>
        </row>
        <row r="10586">
          <cell r="A10586" t="str">
            <v>SERVYRE</v>
          </cell>
          <cell r="B10586" t="str">
            <v>530-26034-001-0006</v>
          </cell>
          <cell r="J10586">
            <v>896.46</v>
          </cell>
        </row>
        <row r="10587">
          <cell r="A10587" t="str">
            <v>SERVYRE</v>
          </cell>
          <cell r="B10587" t="str">
            <v>530-26034-001-0011</v>
          </cell>
          <cell r="J10587">
            <v>428.63</v>
          </cell>
        </row>
        <row r="10588">
          <cell r="A10588" t="str">
            <v>SERVYRE</v>
          </cell>
          <cell r="B10588" t="str">
            <v>530-26034-002-0000</v>
          </cell>
          <cell r="J10588">
            <v>4222.95</v>
          </cell>
        </row>
        <row r="10589">
          <cell r="A10589" t="str">
            <v>SERVYRE</v>
          </cell>
          <cell r="B10589" t="str">
            <v>530-26034-002-0001</v>
          </cell>
          <cell r="J10589">
            <v>1039.29</v>
          </cell>
        </row>
        <row r="10590">
          <cell r="A10590" t="str">
            <v>SERVYRE</v>
          </cell>
          <cell r="B10590" t="str">
            <v>530-26034-002-0002</v>
          </cell>
          <cell r="J10590">
            <v>1749.5</v>
          </cell>
        </row>
        <row r="10591">
          <cell r="A10591" t="str">
            <v>SERVYRE</v>
          </cell>
          <cell r="B10591" t="str">
            <v>530-26034-002-0003</v>
          </cell>
          <cell r="J10591">
            <v>919.53</v>
          </cell>
        </row>
        <row r="10592">
          <cell r="A10592" t="str">
            <v>SERVYRE</v>
          </cell>
          <cell r="B10592" t="str">
            <v>530-26034-002-0004</v>
          </cell>
          <cell r="J10592">
            <v>514.63</v>
          </cell>
        </row>
        <row r="10593">
          <cell r="A10593" t="str">
            <v>SERVYRE</v>
          </cell>
          <cell r="B10593" t="str">
            <v>530-26034-003-0000</v>
          </cell>
          <cell r="J10593">
            <v>3191.23</v>
          </cell>
        </row>
        <row r="10594">
          <cell r="A10594" t="str">
            <v>SERVYRE</v>
          </cell>
          <cell r="B10594" t="str">
            <v>530-26034-017-0000</v>
          </cell>
          <cell r="J10594">
            <v>278607.76</v>
          </cell>
        </row>
        <row r="10595">
          <cell r="A10595" t="str">
            <v>SERVYRE</v>
          </cell>
          <cell r="B10595" t="str">
            <v>530-26034-018-0000</v>
          </cell>
          <cell r="J10595">
            <v>13456.8</v>
          </cell>
        </row>
        <row r="10596">
          <cell r="A10596" t="str">
            <v>SERVYRE</v>
          </cell>
          <cell r="B10596" t="str">
            <v>530-26034-018-0001</v>
          </cell>
          <cell r="J10596">
            <v>9612</v>
          </cell>
        </row>
        <row r="10597">
          <cell r="A10597" t="str">
            <v>SERVYRE</v>
          </cell>
          <cell r="B10597" t="str">
            <v>530-26034-018-0008</v>
          </cell>
          <cell r="J10597">
            <v>3844.8</v>
          </cell>
        </row>
        <row r="10598">
          <cell r="A10598" t="str">
            <v>SERVYRE</v>
          </cell>
          <cell r="B10598" t="str">
            <v>530-26034-054-0000</v>
          </cell>
          <cell r="J10598">
            <v>0</v>
          </cell>
        </row>
        <row r="10599">
          <cell r="A10599" t="str">
            <v>SERVYRE</v>
          </cell>
          <cell r="B10599" t="str">
            <v>530-26034-054-0006</v>
          </cell>
          <cell r="J10599">
            <v>0</v>
          </cell>
        </row>
        <row r="10600">
          <cell r="A10600" t="str">
            <v>SERVYRE</v>
          </cell>
          <cell r="B10600" t="str">
            <v>530-26034-055-0000</v>
          </cell>
          <cell r="J10600">
            <v>542642.41</v>
          </cell>
        </row>
        <row r="10601">
          <cell r="A10601" t="str">
            <v>SERVYRE</v>
          </cell>
          <cell r="B10601" t="str">
            <v>530-26035-000-0000</v>
          </cell>
          <cell r="J10601">
            <v>204466.32</v>
          </cell>
        </row>
        <row r="10602">
          <cell r="A10602" t="str">
            <v>SERVYRE</v>
          </cell>
          <cell r="B10602" t="str">
            <v>530-26035-001-0000</v>
          </cell>
          <cell r="J10602">
            <v>67445.38</v>
          </cell>
        </row>
        <row r="10603">
          <cell r="A10603" t="str">
            <v>SERVYRE</v>
          </cell>
          <cell r="B10603" t="str">
            <v>530-26035-001-0001</v>
          </cell>
          <cell r="J10603">
            <v>53021.46</v>
          </cell>
        </row>
        <row r="10604">
          <cell r="A10604" t="str">
            <v>SERVYRE</v>
          </cell>
          <cell r="B10604" t="str">
            <v>530-26035-001-0002</v>
          </cell>
          <cell r="J10604">
            <v>4406</v>
          </cell>
        </row>
        <row r="10605">
          <cell r="A10605" t="str">
            <v>SERVYRE</v>
          </cell>
          <cell r="B10605" t="str">
            <v>530-26035-001-0005</v>
          </cell>
          <cell r="J10605">
            <v>2570.4699999999998</v>
          </cell>
        </row>
        <row r="10606">
          <cell r="A10606" t="str">
            <v>SERVYRE</v>
          </cell>
          <cell r="B10606" t="str">
            <v>530-26035-001-0006</v>
          </cell>
          <cell r="J10606">
            <v>2570.4699999999998</v>
          </cell>
        </row>
        <row r="10607">
          <cell r="A10607" t="str">
            <v>SERVYRE</v>
          </cell>
          <cell r="B10607" t="str">
            <v>530-26035-001-0011</v>
          </cell>
          <cell r="J10607">
            <v>4876.9799999999996</v>
          </cell>
        </row>
        <row r="10608">
          <cell r="A10608" t="str">
            <v>SERVYRE</v>
          </cell>
          <cell r="B10608" t="str">
            <v>530-26035-002-0000</v>
          </cell>
          <cell r="J10608">
            <v>26259.200000000001</v>
          </cell>
        </row>
        <row r="10609">
          <cell r="A10609" t="str">
            <v>SERVYRE</v>
          </cell>
          <cell r="B10609" t="str">
            <v>530-26035-002-0001</v>
          </cell>
          <cell r="J10609">
            <v>6927.41</v>
          </cell>
        </row>
        <row r="10610">
          <cell r="A10610" t="str">
            <v>SERVYRE</v>
          </cell>
          <cell r="B10610" t="str">
            <v>530-26035-002-0002</v>
          </cell>
          <cell r="J10610">
            <v>10378.5</v>
          </cell>
        </row>
        <row r="10611">
          <cell r="A10611" t="str">
            <v>SERVYRE</v>
          </cell>
          <cell r="B10611" t="str">
            <v>530-26035-002-0003</v>
          </cell>
          <cell r="J10611">
            <v>5926.4</v>
          </cell>
        </row>
        <row r="10612">
          <cell r="A10612" t="str">
            <v>SERVYRE</v>
          </cell>
          <cell r="B10612" t="str">
            <v>530-26035-002-0004</v>
          </cell>
          <cell r="J10612">
            <v>3026.89</v>
          </cell>
        </row>
        <row r="10613">
          <cell r="A10613" t="str">
            <v>SERVYRE</v>
          </cell>
          <cell r="B10613" t="str">
            <v>530-26035-003-0000</v>
          </cell>
          <cell r="J10613">
            <v>9152.48</v>
          </cell>
        </row>
        <row r="10614">
          <cell r="A10614" t="str">
            <v>SERVYRE</v>
          </cell>
          <cell r="B10614" t="str">
            <v>530-26035-054-0000</v>
          </cell>
          <cell r="J10614">
            <v>102233.16</v>
          </cell>
        </row>
        <row r="10615">
          <cell r="A10615" t="str">
            <v>SERVYRE</v>
          </cell>
          <cell r="B10615" t="str">
            <v>530-26035-054-0006</v>
          </cell>
          <cell r="J10615">
            <v>102233.16</v>
          </cell>
        </row>
        <row r="10616">
          <cell r="A10616" t="str">
            <v>SERVYRE</v>
          </cell>
          <cell r="B10616" t="str">
            <v>530-26035-061-0000</v>
          </cell>
          <cell r="J10616">
            <v>-623.9</v>
          </cell>
        </row>
        <row r="10617">
          <cell r="A10617" t="str">
            <v>SERVYRE</v>
          </cell>
          <cell r="B10617" t="str">
            <v>530-26036-001-0000</v>
          </cell>
          <cell r="J10617">
            <v>824.58</v>
          </cell>
        </row>
        <row r="10618">
          <cell r="A10618" t="str">
            <v>SERVYRE</v>
          </cell>
          <cell r="B10618" t="str">
            <v>530-26036-001-0001</v>
          </cell>
          <cell r="J10618">
            <v>703.5</v>
          </cell>
        </row>
        <row r="10619">
          <cell r="A10619" t="str">
            <v>SERVYRE</v>
          </cell>
          <cell r="B10619" t="str">
            <v>530-26036-001-0002</v>
          </cell>
          <cell r="J10619">
            <v>76.44</v>
          </cell>
        </row>
        <row r="10620">
          <cell r="A10620" t="str">
            <v>SERVYRE</v>
          </cell>
          <cell r="B10620" t="str">
            <v>530-26036-001-0011</v>
          </cell>
          <cell r="J10620">
            <v>44.64</v>
          </cell>
        </row>
        <row r="10621">
          <cell r="A10621" t="str">
            <v>SERVYRE</v>
          </cell>
          <cell r="B10621" t="str">
            <v>530-26036-002-0000</v>
          </cell>
          <cell r="J10621">
            <v>452.07</v>
          </cell>
        </row>
        <row r="10622">
          <cell r="A10622" t="str">
            <v>SERVYRE</v>
          </cell>
          <cell r="B10622" t="str">
            <v>530-26036-002-0001</v>
          </cell>
          <cell r="J10622">
            <v>130.87</v>
          </cell>
        </row>
        <row r="10623">
          <cell r="A10623" t="str">
            <v>SERVYRE</v>
          </cell>
          <cell r="B10623" t="str">
            <v>530-26036-002-0002</v>
          </cell>
          <cell r="J10623">
            <v>174.72</v>
          </cell>
        </row>
        <row r="10624">
          <cell r="A10624" t="str">
            <v>SERVYRE</v>
          </cell>
          <cell r="B10624" t="str">
            <v>530-26036-002-0003</v>
          </cell>
          <cell r="J10624">
            <v>106.55</v>
          </cell>
        </row>
        <row r="10625">
          <cell r="A10625" t="str">
            <v>SERVYRE</v>
          </cell>
          <cell r="B10625" t="str">
            <v>530-26036-002-0004</v>
          </cell>
          <cell r="J10625">
            <v>39.93</v>
          </cell>
        </row>
        <row r="10626">
          <cell r="A10626" t="str">
            <v>SERVYRE</v>
          </cell>
          <cell r="B10626" t="str">
            <v>530-26036-003-0000</v>
          </cell>
          <cell r="J10626">
            <v>83.54</v>
          </cell>
        </row>
        <row r="10627">
          <cell r="A10627" t="str">
            <v>SERVYRE</v>
          </cell>
          <cell r="B10627" t="str">
            <v>530-26036-054-0000</v>
          </cell>
          <cell r="J10627">
            <v>-1340.19</v>
          </cell>
        </row>
        <row r="10628">
          <cell r="A10628" t="str">
            <v>SERVYRE</v>
          </cell>
          <cell r="B10628" t="str">
            <v>530-26036-054-0006</v>
          </cell>
          <cell r="J10628">
            <v>-1340.19</v>
          </cell>
        </row>
        <row r="10629">
          <cell r="A10629" t="str">
            <v>SERVYRE</v>
          </cell>
          <cell r="B10629" t="str">
            <v>530-26036-061-0000</v>
          </cell>
          <cell r="J10629">
            <v>-20</v>
          </cell>
        </row>
        <row r="10630">
          <cell r="A10630" t="str">
            <v>SERVYRE</v>
          </cell>
          <cell r="B10630" t="str">
            <v>530-26301-000-0000</v>
          </cell>
          <cell r="J10630">
            <v>0</v>
          </cell>
        </row>
        <row r="10631">
          <cell r="A10631" t="str">
            <v>SERVYRE</v>
          </cell>
          <cell r="B10631" t="str">
            <v>530-26301-001-0000</v>
          </cell>
          <cell r="J10631">
            <v>5039.29</v>
          </cell>
        </row>
        <row r="10632">
          <cell r="A10632" t="str">
            <v>SERVYRE</v>
          </cell>
          <cell r="B10632" t="str">
            <v>530-26301-001-0001</v>
          </cell>
          <cell r="J10632">
            <v>3781.36</v>
          </cell>
        </row>
        <row r="10633">
          <cell r="A10633" t="str">
            <v>SERVYRE</v>
          </cell>
          <cell r="B10633" t="str">
            <v>530-26301-001-0002</v>
          </cell>
          <cell r="J10633">
            <v>315</v>
          </cell>
        </row>
        <row r="10634">
          <cell r="A10634" t="str">
            <v>SERVYRE</v>
          </cell>
          <cell r="B10634" t="str">
            <v>530-26301-001-0005</v>
          </cell>
          <cell r="J10634">
            <v>398.86</v>
          </cell>
        </row>
        <row r="10635">
          <cell r="A10635" t="str">
            <v>SERVYRE</v>
          </cell>
          <cell r="B10635" t="str">
            <v>530-26301-001-0006</v>
          </cell>
          <cell r="J10635">
            <v>398.86</v>
          </cell>
        </row>
        <row r="10636">
          <cell r="A10636" t="str">
            <v>SERVYRE</v>
          </cell>
          <cell r="B10636" t="str">
            <v>530-26301-001-0011</v>
          </cell>
          <cell r="J10636">
            <v>145.21</v>
          </cell>
        </row>
        <row r="10637">
          <cell r="A10637" t="str">
            <v>SERVYRE</v>
          </cell>
          <cell r="B10637" t="str">
            <v>530-26301-002-0000</v>
          </cell>
          <cell r="J10637">
            <v>1101.67</v>
          </cell>
        </row>
        <row r="10638">
          <cell r="A10638" t="str">
            <v>SERVYRE</v>
          </cell>
          <cell r="B10638" t="str">
            <v>530-26301-002-0001</v>
          </cell>
          <cell r="J10638">
            <v>430.6</v>
          </cell>
        </row>
        <row r="10639">
          <cell r="A10639" t="str">
            <v>SERVYRE</v>
          </cell>
          <cell r="B10639" t="str">
            <v>530-26301-002-0002</v>
          </cell>
          <cell r="J10639">
            <v>319.81</v>
          </cell>
        </row>
        <row r="10640">
          <cell r="A10640" t="str">
            <v>SERVYRE</v>
          </cell>
          <cell r="B10640" t="str">
            <v>530-26301-002-0003</v>
          </cell>
          <cell r="J10640">
            <v>168.09</v>
          </cell>
        </row>
        <row r="10641">
          <cell r="A10641" t="str">
            <v>SERVYRE</v>
          </cell>
          <cell r="B10641" t="str">
            <v>530-26301-002-0004</v>
          </cell>
          <cell r="J10641">
            <v>183.17</v>
          </cell>
        </row>
        <row r="10642">
          <cell r="A10642" t="str">
            <v>SERVYRE</v>
          </cell>
          <cell r="B10642" t="str">
            <v>530-26301-054-0000</v>
          </cell>
          <cell r="J10642">
            <v>-4993.49</v>
          </cell>
        </row>
        <row r="10643">
          <cell r="A10643" t="str">
            <v>SERVYRE</v>
          </cell>
          <cell r="B10643" t="str">
            <v>530-26301-054-0006</v>
          </cell>
          <cell r="J10643">
            <v>-4993.49</v>
          </cell>
        </row>
        <row r="10644">
          <cell r="A10644" t="str">
            <v>SERVYRE</v>
          </cell>
          <cell r="B10644" t="str">
            <v>530-26301-061-0000</v>
          </cell>
          <cell r="J10644">
            <v>-1147.47</v>
          </cell>
        </row>
        <row r="10645">
          <cell r="A10645" t="str">
            <v>SERVYRE</v>
          </cell>
          <cell r="B10645" t="str">
            <v>530-26401-000-0000</v>
          </cell>
          <cell r="J10645">
            <v>0</v>
          </cell>
        </row>
        <row r="10646">
          <cell r="A10646" t="str">
            <v>SERVYRE</v>
          </cell>
          <cell r="B10646" t="str">
            <v>530-26401-001-0000</v>
          </cell>
          <cell r="J10646">
            <v>964.18</v>
          </cell>
        </row>
        <row r="10647">
          <cell r="A10647" t="str">
            <v>SERVYRE</v>
          </cell>
          <cell r="B10647" t="str">
            <v>530-26401-001-0001</v>
          </cell>
          <cell r="J10647">
            <v>718.88</v>
          </cell>
        </row>
        <row r="10648">
          <cell r="A10648" t="str">
            <v>SERVYRE</v>
          </cell>
          <cell r="B10648" t="str">
            <v>530-26401-001-0002</v>
          </cell>
          <cell r="J10648">
            <v>66.319999999999993</v>
          </cell>
        </row>
        <row r="10649">
          <cell r="A10649" t="str">
            <v>SERVYRE</v>
          </cell>
          <cell r="B10649" t="str">
            <v>530-26401-001-0005</v>
          </cell>
          <cell r="J10649">
            <v>75.63</v>
          </cell>
        </row>
        <row r="10650">
          <cell r="A10650" t="str">
            <v>SERVYRE</v>
          </cell>
          <cell r="B10650" t="str">
            <v>530-26401-001-0006</v>
          </cell>
          <cell r="J10650">
            <v>75.63</v>
          </cell>
        </row>
        <row r="10651">
          <cell r="A10651" t="str">
            <v>SERVYRE</v>
          </cell>
          <cell r="B10651" t="str">
            <v>530-26401-001-0011</v>
          </cell>
          <cell r="J10651">
            <v>27.72</v>
          </cell>
        </row>
        <row r="10652">
          <cell r="A10652" t="str">
            <v>SERVYRE</v>
          </cell>
          <cell r="B10652" t="str">
            <v>530-26401-002-0000</v>
          </cell>
          <cell r="J10652">
            <v>350.4</v>
          </cell>
        </row>
        <row r="10653">
          <cell r="A10653" t="str">
            <v>SERVYRE</v>
          </cell>
          <cell r="B10653" t="str">
            <v>530-26401-002-0001</v>
          </cell>
          <cell r="J10653">
            <v>84.29</v>
          </cell>
        </row>
        <row r="10654">
          <cell r="A10654" t="str">
            <v>SERVYRE</v>
          </cell>
          <cell r="B10654" t="str">
            <v>530-26401-002-0002</v>
          </cell>
          <cell r="J10654">
            <v>151.61000000000001</v>
          </cell>
        </row>
        <row r="10655">
          <cell r="A10655" t="str">
            <v>SERVYRE</v>
          </cell>
          <cell r="B10655" t="str">
            <v>530-26401-002-0003</v>
          </cell>
          <cell r="J10655">
            <v>79.69</v>
          </cell>
        </row>
        <row r="10656">
          <cell r="A10656" t="str">
            <v>SERVYRE</v>
          </cell>
          <cell r="B10656" t="str">
            <v>530-26401-002-0004</v>
          </cell>
          <cell r="J10656">
            <v>34.81</v>
          </cell>
        </row>
        <row r="10657">
          <cell r="A10657" t="str">
            <v>SERVYRE</v>
          </cell>
          <cell r="B10657" t="str">
            <v>530-26401-054-0000</v>
          </cell>
          <cell r="J10657">
            <v>-1169.33</v>
          </cell>
        </row>
        <row r="10658">
          <cell r="A10658" t="str">
            <v>SERVYRE</v>
          </cell>
          <cell r="B10658" t="str">
            <v>530-26401-054-0006</v>
          </cell>
          <cell r="J10658">
            <v>-1169.33</v>
          </cell>
        </row>
        <row r="10659">
          <cell r="A10659" t="str">
            <v>SERVYRE</v>
          </cell>
          <cell r="B10659" t="str">
            <v>530-26401-061-0000</v>
          </cell>
          <cell r="J10659">
            <v>-145.25</v>
          </cell>
        </row>
        <row r="10660">
          <cell r="A10660" t="str">
            <v>SERVYRE</v>
          </cell>
          <cell r="B10660" t="str">
            <v>530-26414-000-0000</v>
          </cell>
          <cell r="J10660">
            <v>0</v>
          </cell>
        </row>
        <row r="10661">
          <cell r="A10661" t="str">
            <v>SERVYRE</v>
          </cell>
          <cell r="B10661" t="str">
            <v>530-26414-001-0000</v>
          </cell>
          <cell r="J10661">
            <v>938.7</v>
          </cell>
        </row>
        <row r="10662">
          <cell r="A10662" t="str">
            <v>SERVYRE</v>
          </cell>
          <cell r="B10662" t="str">
            <v>530-26414-001-0001</v>
          </cell>
          <cell r="J10662">
            <v>694.39</v>
          </cell>
        </row>
        <row r="10663">
          <cell r="A10663" t="str">
            <v>SERVYRE</v>
          </cell>
          <cell r="B10663" t="str">
            <v>530-26414-001-0002</v>
          </cell>
          <cell r="J10663">
            <v>66.319999999999993</v>
          </cell>
        </row>
        <row r="10664">
          <cell r="A10664" t="str">
            <v>SERVYRE</v>
          </cell>
          <cell r="B10664" t="str">
            <v>530-26414-001-0005</v>
          </cell>
          <cell r="J10664">
            <v>72.86</v>
          </cell>
        </row>
        <row r="10665">
          <cell r="A10665" t="str">
            <v>SERVYRE</v>
          </cell>
          <cell r="B10665" t="str">
            <v>530-26414-001-0006</v>
          </cell>
          <cell r="J10665">
            <v>72.86</v>
          </cell>
        </row>
        <row r="10666">
          <cell r="A10666" t="str">
            <v>SERVYRE</v>
          </cell>
          <cell r="B10666" t="str">
            <v>530-26414-001-0011</v>
          </cell>
          <cell r="J10666">
            <v>32.270000000000003</v>
          </cell>
        </row>
        <row r="10667">
          <cell r="A10667" t="str">
            <v>SERVYRE</v>
          </cell>
          <cell r="B10667" t="str">
            <v>530-26414-002-0000</v>
          </cell>
          <cell r="J10667">
            <v>116.78</v>
          </cell>
        </row>
        <row r="10668">
          <cell r="A10668" t="str">
            <v>SERVYRE</v>
          </cell>
          <cell r="B10668" t="str">
            <v>530-26414-002-0001</v>
          </cell>
          <cell r="J10668">
            <v>83.18</v>
          </cell>
        </row>
        <row r="10669">
          <cell r="A10669" t="str">
            <v>SERVYRE</v>
          </cell>
          <cell r="B10669" t="str">
            <v>530-26414-002-0004</v>
          </cell>
          <cell r="J10669">
            <v>33.6</v>
          </cell>
        </row>
        <row r="10670">
          <cell r="A10670" t="str">
            <v>SERVYRE</v>
          </cell>
          <cell r="B10670" t="str">
            <v>530-26414-003-0000</v>
          </cell>
          <cell r="J10670">
            <v>337.15</v>
          </cell>
        </row>
        <row r="10671">
          <cell r="A10671" t="str">
            <v>SERVYRE</v>
          </cell>
          <cell r="B10671" t="str">
            <v>530-26414-054-0000</v>
          </cell>
          <cell r="J10671">
            <v>-1392.63</v>
          </cell>
        </row>
        <row r="10672">
          <cell r="A10672" t="str">
            <v>SERVYRE</v>
          </cell>
          <cell r="B10672" t="str">
            <v>530-26414-054-0006</v>
          </cell>
          <cell r="J10672">
            <v>-1392.63</v>
          </cell>
        </row>
        <row r="10673">
          <cell r="A10673" t="str">
            <v>SERVYRE</v>
          </cell>
          <cell r="B10673" t="str">
            <v>530-26436-000-0000</v>
          </cell>
          <cell r="J10673">
            <v>0</v>
          </cell>
        </row>
        <row r="10674">
          <cell r="A10674" t="str">
            <v>SERVYRE</v>
          </cell>
          <cell r="B10674" t="str">
            <v>530-26436-001-0000</v>
          </cell>
          <cell r="J10674">
            <v>876.96</v>
          </cell>
        </row>
        <row r="10675">
          <cell r="A10675" t="str">
            <v>SERVYRE</v>
          </cell>
          <cell r="B10675" t="str">
            <v>530-26436-001-0001</v>
          </cell>
          <cell r="J10675">
            <v>646.9</v>
          </cell>
        </row>
        <row r="10676">
          <cell r="A10676" t="str">
            <v>SERVYRE</v>
          </cell>
          <cell r="B10676" t="str">
            <v>530-26436-001-0002</v>
          </cell>
          <cell r="J10676">
            <v>63</v>
          </cell>
        </row>
        <row r="10677">
          <cell r="A10677" t="str">
            <v>SERVYRE</v>
          </cell>
          <cell r="B10677" t="str">
            <v>530-26436-001-0005</v>
          </cell>
          <cell r="J10677">
            <v>70.58</v>
          </cell>
        </row>
        <row r="10678">
          <cell r="A10678" t="str">
            <v>SERVYRE</v>
          </cell>
          <cell r="B10678" t="str">
            <v>530-26436-001-0006</v>
          </cell>
          <cell r="J10678">
            <v>70.58</v>
          </cell>
        </row>
        <row r="10679">
          <cell r="A10679" t="str">
            <v>SERVYRE</v>
          </cell>
          <cell r="B10679" t="str">
            <v>530-26436-001-0011</v>
          </cell>
          <cell r="J10679">
            <v>25.9</v>
          </cell>
        </row>
        <row r="10680">
          <cell r="A10680" t="str">
            <v>SERVYRE</v>
          </cell>
          <cell r="B10680" t="str">
            <v>530-26436-002-0000</v>
          </cell>
          <cell r="J10680">
            <v>325.08</v>
          </cell>
        </row>
        <row r="10681">
          <cell r="A10681" t="str">
            <v>SERVYRE</v>
          </cell>
          <cell r="B10681" t="str">
            <v>530-26436-002-0001</v>
          </cell>
          <cell r="J10681">
            <v>76.44</v>
          </cell>
        </row>
        <row r="10682">
          <cell r="A10682" t="str">
            <v>SERVYRE</v>
          </cell>
          <cell r="B10682" t="str">
            <v>530-26436-002-0002</v>
          </cell>
          <cell r="J10682">
            <v>142.27000000000001</v>
          </cell>
        </row>
        <row r="10683">
          <cell r="A10683" t="str">
            <v>SERVYRE</v>
          </cell>
          <cell r="B10683" t="str">
            <v>530-26436-002-0003</v>
          </cell>
          <cell r="J10683">
            <v>74.78</v>
          </cell>
        </row>
        <row r="10684">
          <cell r="A10684" t="str">
            <v>SERVYRE</v>
          </cell>
          <cell r="B10684" t="str">
            <v>530-26436-002-0004</v>
          </cell>
          <cell r="J10684">
            <v>31.59</v>
          </cell>
        </row>
        <row r="10685">
          <cell r="A10685" t="str">
            <v>SERVYRE</v>
          </cell>
          <cell r="B10685" t="str">
            <v>530-26436-003-0000</v>
          </cell>
          <cell r="J10685">
            <v>267.5</v>
          </cell>
        </row>
        <row r="10686">
          <cell r="A10686" t="str">
            <v>SERVYRE</v>
          </cell>
          <cell r="B10686" t="str">
            <v>530-26436-054-0000</v>
          </cell>
          <cell r="J10686">
            <v>-1528.69</v>
          </cell>
        </row>
        <row r="10687">
          <cell r="A10687" t="str">
            <v>SERVYRE</v>
          </cell>
          <cell r="B10687" t="str">
            <v>530-26436-054-0006</v>
          </cell>
          <cell r="J10687">
            <v>-1528.69</v>
          </cell>
        </row>
        <row r="10688">
          <cell r="A10688" t="str">
            <v>SERVYRE</v>
          </cell>
          <cell r="B10688" t="str">
            <v>530-26436-061-0000</v>
          </cell>
          <cell r="J10688">
            <v>59.15</v>
          </cell>
        </row>
        <row r="10689">
          <cell r="A10689" t="str">
            <v>SERVYRE</v>
          </cell>
          <cell r="B10689" t="str">
            <v>530-26701-000-0000</v>
          </cell>
          <cell r="J10689">
            <v>0</v>
          </cell>
        </row>
        <row r="10690">
          <cell r="A10690" t="str">
            <v>SERVYRE</v>
          </cell>
          <cell r="B10690" t="str">
            <v>530-26701-001-0000</v>
          </cell>
          <cell r="J10690">
            <v>3275.38</v>
          </cell>
        </row>
        <row r="10691">
          <cell r="A10691" t="str">
            <v>SERVYRE</v>
          </cell>
          <cell r="B10691" t="str">
            <v>530-26701-001-0001</v>
          </cell>
          <cell r="J10691">
            <v>2671.93</v>
          </cell>
        </row>
        <row r="10692">
          <cell r="A10692" t="str">
            <v>SERVYRE</v>
          </cell>
          <cell r="B10692" t="str">
            <v>530-26701-001-0002</v>
          </cell>
          <cell r="J10692">
            <v>311.18</v>
          </cell>
        </row>
        <row r="10693">
          <cell r="A10693" t="str">
            <v>SERVYRE</v>
          </cell>
          <cell r="B10693" t="str">
            <v>530-26701-001-0005</v>
          </cell>
          <cell r="J10693">
            <v>71.95</v>
          </cell>
        </row>
        <row r="10694">
          <cell r="A10694" t="str">
            <v>SERVYRE</v>
          </cell>
          <cell r="B10694" t="str">
            <v>530-26701-001-0006</v>
          </cell>
          <cell r="J10694">
            <v>71.95</v>
          </cell>
        </row>
        <row r="10695">
          <cell r="A10695" t="str">
            <v>SERVYRE</v>
          </cell>
          <cell r="B10695" t="str">
            <v>530-26701-001-0011</v>
          </cell>
          <cell r="J10695">
            <v>148.37</v>
          </cell>
        </row>
        <row r="10696">
          <cell r="A10696" t="str">
            <v>SERVYRE</v>
          </cell>
          <cell r="B10696" t="str">
            <v>530-26701-002-0000</v>
          </cell>
          <cell r="J10696">
            <v>1172.83</v>
          </cell>
        </row>
        <row r="10697">
          <cell r="A10697" t="str">
            <v>SERVYRE</v>
          </cell>
          <cell r="B10697" t="str">
            <v>530-26701-002-0001</v>
          </cell>
          <cell r="J10697">
            <v>399.37</v>
          </cell>
        </row>
        <row r="10698">
          <cell r="A10698" t="str">
            <v>SERVYRE</v>
          </cell>
          <cell r="B10698" t="str">
            <v>530-26701-002-0002</v>
          </cell>
          <cell r="J10698">
            <v>366.78</v>
          </cell>
        </row>
        <row r="10699">
          <cell r="A10699" t="str">
            <v>SERVYRE</v>
          </cell>
          <cell r="B10699" t="str">
            <v>530-26701-002-0003</v>
          </cell>
          <cell r="J10699">
            <v>254.51</v>
          </cell>
        </row>
        <row r="10700">
          <cell r="A10700" t="str">
            <v>SERVYRE</v>
          </cell>
          <cell r="B10700" t="str">
            <v>530-26701-002-0004</v>
          </cell>
          <cell r="J10700">
            <v>152.16999999999999</v>
          </cell>
        </row>
        <row r="10701">
          <cell r="A10701" t="str">
            <v>SERVYRE</v>
          </cell>
          <cell r="B10701" t="str">
            <v>530-26701-003-0000</v>
          </cell>
          <cell r="J10701">
            <v>826.45</v>
          </cell>
        </row>
        <row r="10702">
          <cell r="A10702" t="str">
            <v>SERVYRE</v>
          </cell>
          <cell r="B10702" t="str">
            <v>530-26701-054-0000</v>
          </cell>
          <cell r="J10702">
            <v>-5274.66</v>
          </cell>
        </row>
        <row r="10703">
          <cell r="A10703" t="str">
            <v>SERVYRE</v>
          </cell>
          <cell r="B10703" t="str">
            <v>530-26701-054-0006</v>
          </cell>
          <cell r="J10703">
            <v>-5274.66</v>
          </cell>
        </row>
        <row r="10704">
          <cell r="A10704" t="str">
            <v>SERVYRE</v>
          </cell>
          <cell r="B10704" t="str">
            <v>531-00000-000-0000</v>
          </cell>
          <cell r="J10704">
            <v>35911133.409999996</v>
          </cell>
        </row>
        <row r="10705">
          <cell r="A10705" t="str">
            <v>SERVYRE</v>
          </cell>
          <cell r="B10705" t="str">
            <v>531-23039-000-0000</v>
          </cell>
          <cell r="J10705">
            <v>234.04</v>
          </cell>
        </row>
        <row r="10706">
          <cell r="A10706" t="str">
            <v>SERVYRE</v>
          </cell>
          <cell r="B10706" t="str">
            <v>531-23039-004-0000</v>
          </cell>
          <cell r="J10706">
            <v>234.04</v>
          </cell>
        </row>
        <row r="10707">
          <cell r="A10707" t="str">
            <v>SERVYRE</v>
          </cell>
          <cell r="B10707" t="str">
            <v>531-23039-004-0001</v>
          </cell>
          <cell r="J10707">
            <v>234.04</v>
          </cell>
        </row>
        <row r="10708">
          <cell r="A10708" t="str">
            <v>SERVYRE</v>
          </cell>
          <cell r="B10708" t="str">
            <v>531-24004-000-0000</v>
          </cell>
          <cell r="J10708">
            <v>9838.7900000000009</v>
          </cell>
        </row>
        <row r="10709">
          <cell r="A10709" t="str">
            <v>SERVYRE</v>
          </cell>
          <cell r="B10709" t="str">
            <v>531-24004-004-0000</v>
          </cell>
          <cell r="J10709">
            <v>9838.7900000000009</v>
          </cell>
        </row>
        <row r="10710">
          <cell r="A10710" t="str">
            <v>SERVYRE</v>
          </cell>
          <cell r="B10710" t="str">
            <v>531-24004-004-0005</v>
          </cell>
          <cell r="J10710">
            <v>9838.7900000000009</v>
          </cell>
        </row>
        <row r="10711">
          <cell r="A10711" t="str">
            <v>SERVYRE</v>
          </cell>
          <cell r="B10711" t="str">
            <v>531-24014-000-0000</v>
          </cell>
          <cell r="J10711">
            <v>223079.83</v>
          </cell>
        </row>
        <row r="10712">
          <cell r="A10712" t="str">
            <v>SERVYRE</v>
          </cell>
          <cell r="B10712" t="str">
            <v>531-24014-007-0000</v>
          </cell>
          <cell r="J10712">
            <v>215298.3</v>
          </cell>
        </row>
        <row r="10713">
          <cell r="A10713" t="str">
            <v>SERVYRE</v>
          </cell>
          <cell r="B10713" t="str">
            <v>531-24014-007-0010</v>
          </cell>
          <cell r="J10713">
            <v>158647.42000000001</v>
          </cell>
        </row>
        <row r="10714">
          <cell r="A10714" t="str">
            <v>SERVYRE</v>
          </cell>
          <cell r="B10714" t="str">
            <v>531-24014-007-0060</v>
          </cell>
          <cell r="J10714">
            <v>56650.879999999997</v>
          </cell>
        </row>
        <row r="10715">
          <cell r="A10715" t="str">
            <v>SERVYRE</v>
          </cell>
          <cell r="B10715" t="str">
            <v>531-24014-031-0000</v>
          </cell>
          <cell r="J10715">
            <v>7781.53</v>
          </cell>
        </row>
        <row r="10716">
          <cell r="A10716" t="str">
            <v>SERVYRE</v>
          </cell>
          <cell r="B10716" t="str">
            <v>531-24014-031-0002</v>
          </cell>
          <cell r="J10716">
            <v>5913.96</v>
          </cell>
        </row>
        <row r="10717">
          <cell r="A10717" t="str">
            <v>SERVYRE</v>
          </cell>
          <cell r="B10717" t="str">
            <v>531-24014-031-0005</v>
          </cell>
          <cell r="J10717">
            <v>1867.57</v>
          </cell>
        </row>
        <row r="10718">
          <cell r="A10718" t="str">
            <v>SERVYRE</v>
          </cell>
          <cell r="B10718" t="str">
            <v>531-24015-000-0000</v>
          </cell>
          <cell r="J10718">
            <v>32422.02</v>
          </cell>
        </row>
        <row r="10719">
          <cell r="A10719" t="str">
            <v>SERVYRE</v>
          </cell>
          <cell r="B10719" t="str">
            <v>531-24015-004-0000</v>
          </cell>
          <cell r="J10719">
            <v>19168.2</v>
          </cell>
        </row>
        <row r="10720">
          <cell r="A10720" t="str">
            <v>SERVYRE</v>
          </cell>
          <cell r="B10720" t="str">
            <v>531-24015-004-0001</v>
          </cell>
          <cell r="J10720">
            <v>4098.57</v>
          </cell>
        </row>
        <row r="10721">
          <cell r="A10721" t="str">
            <v>SERVYRE</v>
          </cell>
          <cell r="B10721" t="str">
            <v>531-24015-004-0002</v>
          </cell>
          <cell r="J10721">
            <v>2025.98</v>
          </cell>
        </row>
        <row r="10722">
          <cell r="A10722" t="str">
            <v>SERVYRE</v>
          </cell>
          <cell r="B10722" t="str">
            <v>531-24015-004-0003</v>
          </cell>
          <cell r="J10722">
            <v>9600</v>
          </cell>
        </row>
        <row r="10723">
          <cell r="A10723" t="str">
            <v>SERVYRE</v>
          </cell>
          <cell r="B10723" t="str">
            <v>531-24015-004-0005</v>
          </cell>
          <cell r="J10723">
            <v>2856.33</v>
          </cell>
        </row>
        <row r="10724">
          <cell r="A10724" t="str">
            <v>SERVYRE</v>
          </cell>
          <cell r="B10724" t="str">
            <v>531-24015-004-0009</v>
          </cell>
          <cell r="J10724">
            <v>8.6199999999999992</v>
          </cell>
        </row>
        <row r="10725">
          <cell r="A10725" t="str">
            <v>SERVYRE</v>
          </cell>
          <cell r="B10725" t="str">
            <v>531-24015-004-0013</v>
          </cell>
          <cell r="J10725">
            <v>578.70000000000005</v>
          </cell>
        </row>
        <row r="10726">
          <cell r="A10726" t="str">
            <v>SERVYRE</v>
          </cell>
          <cell r="B10726" t="str">
            <v>531-24015-031-0000</v>
          </cell>
          <cell r="J10726">
            <v>13253.82</v>
          </cell>
        </row>
        <row r="10727">
          <cell r="A10727" t="str">
            <v>SERVYRE</v>
          </cell>
          <cell r="B10727" t="str">
            <v>531-24015-031-0002</v>
          </cell>
          <cell r="J10727">
            <v>10072.9</v>
          </cell>
        </row>
        <row r="10728">
          <cell r="A10728" t="str">
            <v>SERVYRE</v>
          </cell>
          <cell r="B10728" t="str">
            <v>531-24015-031-0005</v>
          </cell>
          <cell r="J10728">
            <v>3180.92</v>
          </cell>
        </row>
        <row r="10729">
          <cell r="A10729" t="str">
            <v>SERVYRE</v>
          </cell>
          <cell r="B10729" t="str">
            <v>531-24044-000-0000</v>
          </cell>
          <cell r="J10729">
            <v>1725.84</v>
          </cell>
        </row>
        <row r="10730">
          <cell r="A10730" t="str">
            <v>SERVYRE</v>
          </cell>
          <cell r="B10730" t="str">
            <v>531-24044-004-0000</v>
          </cell>
          <cell r="J10730">
            <v>1725.84</v>
          </cell>
        </row>
        <row r="10731">
          <cell r="A10731" t="str">
            <v>SERVYRE</v>
          </cell>
          <cell r="B10731" t="str">
            <v>531-24044-004-0002</v>
          </cell>
          <cell r="J10731">
            <v>1725.84</v>
          </cell>
        </row>
        <row r="10732">
          <cell r="A10732" t="str">
            <v>SERVYRE</v>
          </cell>
          <cell r="B10732" t="str">
            <v>531-25004-000-0000</v>
          </cell>
          <cell r="J10732">
            <v>219681.13</v>
          </cell>
        </row>
        <row r="10733">
          <cell r="A10733" t="str">
            <v>SERVYRE</v>
          </cell>
          <cell r="B10733" t="str">
            <v>531-25004-004-0000</v>
          </cell>
          <cell r="J10733">
            <v>1650</v>
          </cell>
        </row>
        <row r="10734">
          <cell r="A10734" t="str">
            <v>SERVYRE</v>
          </cell>
          <cell r="B10734" t="str">
            <v>531-25004-004-0005</v>
          </cell>
          <cell r="J10734">
            <v>1650</v>
          </cell>
        </row>
        <row r="10735">
          <cell r="A10735" t="str">
            <v>SERVYRE</v>
          </cell>
          <cell r="B10735" t="str">
            <v>531-25004-007-0000</v>
          </cell>
          <cell r="J10735">
            <v>198226.87</v>
          </cell>
        </row>
        <row r="10736">
          <cell r="A10736" t="str">
            <v>SERVYRE</v>
          </cell>
          <cell r="B10736" t="str">
            <v>531-25004-007-0010</v>
          </cell>
          <cell r="J10736">
            <v>-4971.3999999999996</v>
          </cell>
        </row>
        <row r="10737">
          <cell r="A10737" t="str">
            <v>SERVYRE</v>
          </cell>
          <cell r="B10737" t="str">
            <v>531-25004-007-0030</v>
          </cell>
          <cell r="J10737">
            <v>-50.8</v>
          </cell>
        </row>
        <row r="10738">
          <cell r="A10738" t="str">
            <v>SERVYRE</v>
          </cell>
          <cell r="B10738" t="str">
            <v>531-25004-007-0050</v>
          </cell>
          <cell r="J10738">
            <v>203249.07</v>
          </cell>
        </row>
        <row r="10739">
          <cell r="A10739" t="str">
            <v>SERVYRE</v>
          </cell>
          <cell r="B10739" t="str">
            <v>531-25004-009-0000</v>
          </cell>
          <cell r="J10739">
            <v>63.06</v>
          </cell>
        </row>
        <row r="10740">
          <cell r="A10740" t="str">
            <v>SERVYRE</v>
          </cell>
          <cell r="B10740" t="str">
            <v>531-25004-031-0000</v>
          </cell>
          <cell r="J10740">
            <v>19741.2</v>
          </cell>
        </row>
        <row r="10741">
          <cell r="A10741" t="str">
            <v>SERVYRE</v>
          </cell>
          <cell r="B10741" t="str">
            <v>531-25004-031-0002</v>
          </cell>
          <cell r="J10741">
            <v>15003.31</v>
          </cell>
        </row>
        <row r="10742">
          <cell r="A10742" t="str">
            <v>SERVYRE</v>
          </cell>
          <cell r="B10742" t="str">
            <v>531-25004-031-0005</v>
          </cell>
          <cell r="J10742">
            <v>4737.8900000000003</v>
          </cell>
        </row>
        <row r="10743">
          <cell r="A10743" t="str">
            <v>SERVYRE</v>
          </cell>
          <cell r="B10743" t="str">
            <v>531-25005-000-0000</v>
          </cell>
          <cell r="J10743">
            <v>23505.98</v>
          </cell>
        </row>
        <row r="10744">
          <cell r="A10744" t="str">
            <v>SERVYRE</v>
          </cell>
          <cell r="B10744" t="str">
            <v>531-25005-004-0000</v>
          </cell>
          <cell r="J10744">
            <v>7128.83</v>
          </cell>
        </row>
        <row r="10745">
          <cell r="A10745" t="str">
            <v>SERVYRE</v>
          </cell>
          <cell r="B10745" t="str">
            <v>531-25005-004-0002</v>
          </cell>
          <cell r="J10745">
            <v>3748.27</v>
          </cell>
        </row>
        <row r="10746">
          <cell r="A10746" t="str">
            <v>SERVYRE</v>
          </cell>
          <cell r="B10746" t="str">
            <v>531-25005-004-0005</v>
          </cell>
          <cell r="J10746">
            <v>3380.56</v>
          </cell>
        </row>
        <row r="10747">
          <cell r="A10747" t="str">
            <v>SERVYRE</v>
          </cell>
          <cell r="B10747" t="str">
            <v>531-25005-007-0000</v>
          </cell>
          <cell r="J10747">
            <v>12721.95</v>
          </cell>
        </row>
        <row r="10748">
          <cell r="A10748" t="str">
            <v>SERVYRE</v>
          </cell>
          <cell r="B10748" t="str">
            <v>531-25005-007-0050</v>
          </cell>
          <cell r="J10748">
            <v>12721.95</v>
          </cell>
        </row>
        <row r="10749">
          <cell r="A10749" t="str">
            <v>SERVYRE</v>
          </cell>
          <cell r="B10749" t="str">
            <v>531-25005-031-0000</v>
          </cell>
          <cell r="J10749">
            <v>3655.2</v>
          </cell>
        </row>
        <row r="10750">
          <cell r="A10750" t="str">
            <v>SERVYRE</v>
          </cell>
          <cell r="B10750" t="str">
            <v>531-25005-031-0002</v>
          </cell>
          <cell r="J10750">
            <v>2777.95</v>
          </cell>
        </row>
        <row r="10751">
          <cell r="A10751" t="str">
            <v>SERVYRE</v>
          </cell>
          <cell r="B10751" t="str">
            <v>531-25005-031-0005</v>
          </cell>
          <cell r="J10751">
            <v>877.25</v>
          </cell>
        </row>
        <row r="10752">
          <cell r="A10752" t="str">
            <v>SERVYRE</v>
          </cell>
          <cell r="B10752" t="str">
            <v>531-25006-000-0000</v>
          </cell>
          <cell r="J10752">
            <v>1577.67</v>
          </cell>
        </row>
        <row r="10753">
          <cell r="A10753" t="str">
            <v>SERVYRE</v>
          </cell>
          <cell r="B10753" t="str">
            <v>531-25006-004-0000</v>
          </cell>
          <cell r="J10753">
            <v>1577.67</v>
          </cell>
        </row>
        <row r="10754">
          <cell r="A10754" t="str">
            <v>SERVYRE</v>
          </cell>
          <cell r="B10754" t="str">
            <v>531-25006-004-0002</v>
          </cell>
          <cell r="J10754">
            <v>1577.67</v>
          </cell>
        </row>
        <row r="10755">
          <cell r="A10755" t="str">
            <v>SERVYRE</v>
          </cell>
          <cell r="B10755" t="str">
            <v>531-25007-000-0000</v>
          </cell>
          <cell r="J10755">
            <v>5440.73</v>
          </cell>
        </row>
        <row r="10756">
          <cell r="A10756" t="str">
            <v>SERVYRE</v>
          </cell>
          <cell r="B10756" t="str">
            <v>531-25007-004-0000</v>
          </cell>
          <cell r="J10756">
            <v>3617.72</v>
          </cell>
        </row>
        <row r="10757">
          <cell r="A10757" t="str">
            <v>SERVYRE</v>
          </cell>
          <cell r="B10757" t="str">
            <v>531-25007-004-0002</v>
          </cell>
          <cell r="J10757">
            <v>1936.69</v>
          </cell>
        </row>
        <row r="10758">
          <cell r="A10758" t="str">
            <v>SERVYRE</v>
          </cell>
          <cell r="B10758" t="str">
            <v>531-25007-004-0003</v>
          </cell>
          <cell r="J10758">
            <v>1681.03</v>
          </cell>
        </row>
        <row r="10759">
          <cell r="A10759" t="str">
            <v>SERVYRE</v>
          </cell>
          <cell r="B10759" t="str">
            <v>531-25007-007-0000</v>
          </cell>
          <cell r="J10759">
            <v>-1261.03</v>
          </cell>
        </row>
        <row r="10760">
          <cell r="A10760" t="str">
            <v>SERVYRE</v>
          </cell>
          <cell r="B10760" t="str">
            <v>531-25007-007-0020</v>
          </cell>
          <cell r="J10760">
            <v>-1261.03</v>
          </cell>
        </row>
        <row r="10761">
          <cell r="A10761" t="str">
            <v>SERVYRE</v>
          </cell>
          <cell r="B10761" t="str">
            <v>531-25007-031-0000</v>
          </cell>
          <cell r="J10761">
            <v>3084.04</v>
          </cell>
        </row>
        <row r="10762">
          <cell r="A10762" t="str">
            <v>SERVYRE</v>
          </cell>
          <cell r="B10762" t="str">
            <v>531-25007-031-0002</v>
          </cell>
          <cell r="J10762">
            <v>2343.87</v>
          </cell>
        </row>
        <row r="10763">
          <cell r="A10763" t="str">
            <v>SERVYRE</v>
          </cell>
          <cell r="B10763" t="str">
            <v>531-25007-031-0005</v>
          </cell>
          <cell r="J10763">
            <v>740.17</v>
          </cell>
        </row>
        <row r="10764">
          <cell r="A10764" t="str">
            <v>SERVYRE</v>
          </cell>
          <cell r="B10764" t="str">
            <v>531-25009-000-0000</v>
          </cell>
          <cell r="J10764">
            <v>4280.91</v>
          </cell>
        </row>
        <row r="10765">
          <cell r="A10765" t="str">
            <v>SERVYRE</v>
          </cell>
          <cell r="B10765" t="str">
            <v>531-25009-004-0000</v>
          </cell>
          <cell r="J10765">
            <v>14324.74</v>
          </cell>
        </row>
        <row r="10766">
          <cell r="A10766" t="str">
            <v>SERVYRE</v>
          </cell>
          <cell r="B10766" t="str">
            <v>531-25009-004-0002</v>
          </cell>
          <cell r="J10766">
            <v>13752.33</v>
          </cell>
        </row>
        <row r="10767">
          <cell r="A10767" t="str">
            <v>SERVYRE</v>
          </cell>
          <cell r="B10767" t="str">
            <v>531-25009-004-0005</v>
          </cell>
          <cell r="J10767">
            <v>572.41</v>
          </cell>
        </row>
        <row r="10768">
          <cell r="A10768" t="str">
            <v>SERVYRE</v>
          </cell>
          <cell r="B10768" t="str">
            <v>531-25009-007-0000</v>
          </cell>
          <cell r="J10768">
            <v>-10043.83</v>
          </cell>
        </row>
        <row r="10769">
          <cell r="A10769" t="str">
            <v>SERVYRE</v>
          </cell>
          <cell r="B10769" t="str">
            <v>531-25009-007-0020</v>
          </cell>
          <cell r="J10769">
            <v>-10043.83</v>
          </cell>
        </row>
        <row r="10770">
          <cell r="A10770" t="str">
            <v>SERVYRE</v>
          </cell>
          <cell r="B10770" t="str">
            <v>531-25010-000-0000</v>
          </cell>
          <cell r="J10770">
            <v>-19635.73</v>
          </cell>
        </row>
        <row r="10771">
          <cell r="A10771" t="str">
            <v>SERVYRE</v>
          </cell>
          <cell r="B10771" t="str">
            <v>531-25010-004-0000</v>
          </cell>
          <cell r="J10771">
            <v>1962.07</v>
          </cell>
        </row>
        <row r="10772">
          <cell r="A10772" t="str">
            <v>SERVYRE</v>
          </cell>
          <cell r="B10772" t="str">
            <v>531-25010-004-0002</v>
          </cell>
          <cell r="J10772">
            <v>1962.07</v>
          </cell>
        </row>
        <row r="10773">
          <cell r="A10773" t="str">
            <v>SERVYRE</v>
          </cell>
          <cell r="B10773" t="str">
            <v>531-25010-007-0000</v>
          </cell>
          <cell r="J10773">
            <v>-21597.8</v>
          </cell>
        </row>
        <row r="10774">
          <cell r="A10774" t="str">
            <v>SERVYRE</v>
          </cell>
          <cell r="B10774" t="str">
            <v>531-25010-007-0020</v>
          </cell>
          <cell r="J10774">
            <v>-14609.2</v>
          </cell>
        </row>
        <row r="10775">
          <cell r="A10775" t="str">
            <v>SERVYRE</v>
          </cell>
          <cell r="B10775" t="str">
            <v>531-25010-007-0070</v>
          </cell>
          <cell r="J10775">
            <v>-6988.6</v>
          </cell>
        </row>
        <row r="10776">
          <cell r="A10776" t="str">
            <v>SERVYRE</v>
          </cell>
          <cell r="B10776" t="str">
            <v>531-25013-000-0000</v>
          </cell>
          <cell r="J10776">
            <v>24777.5</v>
          </cell>
        </row>
        <row r="10777">
          <cell r="A10777" t="str">
            <v>SERVYRE</v>
          </cell>
          <cell r="B10777" t="str">
            <v>531-25013-004-0000</v>
          </cell>
          <cell r="J10777">
            <v>6344.34</v>
          </cell>
        </row>
        <row r="10778">
          <cell r="A10778" t="str">
            <v>SERVYRE</v>
          </cell>
          <cell r="B10778" t="str">
            <v>531-25013-004-0002</v>
          </cell>
          <cell r="J10778">
            <v>6344.34</v>
          </cell>
        </row>
        <row r="10779">
          <cell r="A10779" t="str">
            <v>SERVYRE</v>
          </cell>
          <cell r="B10779" t="str">
            <v>531-25013-007-0000</v>
          </cell>
          <cell r="J10779">
            <v>18433.16</v>
          </cell>
        </row>
        <row r="10780">
          <cell r="A10780" t="str">
            <v>SERVYRE</v>
          </cell>
          <cell r="B10780" t="str">
            <v>531-25013-007-0010</v>
          </cell>
          <cell r="J10780">
            <v>12793.71</v>
          </cell>
        </row>
        <row r="10781">
          <cell r="A10781" t="str">
            <v>SERVYRE</v>
          </cell>
          <cell r="B10781" t="str">
            <v>531-25013-007-0060</v>
          </cell>
          <cell r="J10781">
            <v>5639.45</v>
          </cell>
        </row>
        <row r="10782">
          <cell r="A10782" t="str">
            <v>SERVYRE</v>
          </cell>
          <cell r="B10782" t="str">
            <v>531-25014-000-0000</v>
          </cell>
          <cell r="J10782">
            <v>1625.78</v>
          </cell>
        </row>
        <row r="10783">
          <cell r="A10783" t="str">
            <v>SERVYRE</v>
          </cell>
          <cell r="B10783" t="str">
            <v>531-25014-004-0000</v>
          </cell>
          <cell r="J10783">
            <v>1625.78</v>
          </cell>
        </row>
        <row r="10784">
          <cell r="A10784" t="str">
            <v>SERVYRE</v>
          </cell>
          <cell r="B10784" t="str">
            <v>531-25014-004-0005</v>
          </cell>
          <cell r="J10784">
            <v>1625.78</v>
          </cell>
        </row>
        <row r="10785">
          <cell r="A10785" t="str">
            <v>SERVYRE</v>
          </cell>
          <cell r="B10785" t="str">
            <v>531-25015-000-0000</v>
          </cell>
          <cell r="J10785">
            <v>18702.32</v>
          </cell>
        </row>
        <row r="10786">
          <cell r="A10786" t="str">
            <v>SERVYRE</v>
          </cell>
          <cell r="B10786" t="str">
            <v>531-25015-004-0000</v>
          </cell>
          <cell r="J10786">
            <v>18702.32</v>
          </cell>
        </row>
        <row r="10787">
          <cell r="A10787" t="str">
            <v>SERVYRE</v>
          </cell>
          <cell r="B10787" t="str">
            <v>531-25015-004-0002</v>
          </cell>
          <cell r="J10787">
            <v>8232.76</v>
          </cell>
        </row>
        <row r="10788">
          <cell r="A10788" t="str">
            <v>SERVYRE</v>
          </cell>
          <cell r="B10788" t="str">
            <v>531-25015-004-0005</v>
          </cell>
          <cell r="J10788">
            <v>10469.56</v>
          </cell>
        </row>
        <row r="10789">
          <cell r="A10789" t="str">
            <v>SERVYRE</v>
          </cell>
          <cell r="B10789" t="str">
            <v>531-25018-000-0000</v>
          </cell>
          <cell r="J10789">
            <v>244987.3</v>
          </cell>
        </row>
        <row r="10790">
          <cell r="A10790" t="str">
            <v>SERVYRE</v>
          </cell>
          <cell r="B10790" t="str">
            <v>531-25018-054-0000</v>
          </cell>
          <cell r="J10790">
            <v>244987.3</v>
          </cell>
        </row>
        <row r="10791">
          <cell r="A10791" t="str">
            <v>SERVYRE</v>
          </cell>
          <cell r="B10791" t="str">
            <v>531-25018-054-0006</v>
          </cell>
          <cell r="J10791">
            <v>244987.3</v>
          </cell>
        </row>
        <row r="10792">
          <cell r="A10792" t="str">
            <v>SERVYRE</v>
          </cell>
          <cell r="B10792" t="str">
            <v>531-25019-000-0000</v>
          </cell>
          <cell r="J10792">
            <v>156966.72</v>
          </cell>
        </row>
        <row r="10793">
          <cell r="A10793" t="str">
            <v>SERVYRE</v>
          </cell>
          <cell r="B10793" t="str">
            <v>531-25019-054-0000</v>
          </cell>
          <cell r="J10793">
            <v>156966.72</v>
          </cell>
        </row>
        <row r="10794">
          <cell r="A10794" t="str">
            <v>SERVYRE</v>
          </cell>
          <cell r="B10794" t="str">
            <v>531-25019-054-0006</v>
          </cell>
          <cell r="J10794">
            <v>156966.72</v>
          </cell>
        </row>
        <row r="10795">
          <cell r="A10795" t="str">
            <v>SERVYRE</v>
          </cell>
          <cell r="B10795" t="str">
            <v>531-25021-000-0000</v>
          </cell>
          <cell r="J10795">
            <v>331460.09000000003</v>
          </cell>
        </row>
        <row r="10796">
          <cell r="A10796" t="str">
            <v>SERVYRE</v>
          </cell>
          <cell r="B10796" t="str">
            <v>531-25021-054-0000</v>
          </cell>
          <cell r="J10796">
            <v>331460.09000000003</v>
          </cell>
        </row>
        <row r="10797">
          <cell r="A10797" t="str">
            <v>SERVYRE</v>
          </cell>
          <cell r="B10797" t="str">
            <v>531-25021-054-0006</v>
          </cell>
          <cell r="J10797">
            <v>331460.09000000003</v>
          </cell>
        </row>
        <row r="10798">
          <cell r="A10798" t="str">
            <v>SERVYRE</v>
          </cell>
          <cell r="B10798" t="str">
            <v>531-25023-000-0000</v>
          </cell>
          <cell r="J10798">
            <v>42441.75</v>
          </cell>
        </row>
        <row r="10799">
          <cell r="A10799" t="str">
            <v>SERVYRE</v>
          </cell>
          <cell r="B10799" t="str">
            <v>531-25023-007-0000</v>
          </cell>
          <cell r="J10799">
            <v>37741.49</v>
          </cell>
        </row>
        <row r="10800">
          <cell r="A10800" t="str">
            <v>SERVYRE</v>
          </cell>
          <cell r="B10800" t="str">
            <v>531-25023-007-0020</v>
          </cell>
          <cell r="J10800">
            <v>34213.4</v>
          </cell>
        </row>
        <row r="10801">
          <cell r="A10801" t="str">
            <v>SERVYRE</v>
          </cell>
          <cell r="B10801" t="str">
            <v>531-25023-007-0060</v>
          </cell>
          <cell r="J10801">
            <v>3528.09</v>
          </cell>
        </row>
        <row r="10802">
          <cell r="A10802" t="str">
            <v>SERVYRE</v>
          </cell>
          <cell r="B10802" t="str">
            <v>531-25023-031-0000</v>
          </cell>
          <cell r="J10802">
            <v>4700.26</v>
          </cell>
        </row>
        <row r="10803">
          <cell r="A10803" t="str">
            <v>SERVYRE</v>
          </cell>
          <cell r="B10803" t="str">
            <v>531-25023-031-0002</v>
          </cell>
          <cell r="J10803">
            <v>3572.2</v>
          </cell>
        </row>
        <row r="10804">
          <cell r="A10804" t="str">
            <v>SERVYRE</v>
          </cell>
          <cell r="B10804" t="str">
            <v>531-25023-031-0005</v>
          </cell>
          <cell r="J10804">
            <v>1128.06</v>
          </cell>
        </row>
        <row r="10805">
          <cell r="A10805" t="str">
            <v>SERVYRE</v>
          </cell>
          <cell r="B10805" t="str">
            <v>531-25025-000-0000</v>
          </cell>
          <cell r="J10805">
            <v>1514291.4</v>
          </cell>
        </row>
        <row r="10806">
          <cell r="A10806" t="str">
            <v>SERVYRE</v>
          </cell>
          <cell r="B10806" t="str">
            <v>531-25025-004-0000</v>
          </cell>
          <cell r="J10806">
            <v>1180489.3</v>
          </cell>
        </row>
        <row r="10807">
          <cell r="A10807" t="str">
            <v>SERVYRE</v>
          </cell>
          <cell r="B10807" t="str">
            <v>531-25025-004-0001</v>
          </cell>
          <cell r="J10807">
            <v>183343.98</v>
          </cell>
        </row>
        <row r="10808">
          <cell r="A10808" t="str">
            <v>SERVYRE</v>
          </cell>
          <cell r="B10808" t="str">
            <v>531-25025-004-0002</v>
          </cell>
          <cell r="J10808">
            <v>282598.08</v>
          </cell>
        </row>
        <row r="10809">
          <cell r="A10809" t="str">
            <v>SERVYRE</v>
          </cell>
          <cell r="B10809" t="str">
            <v>531-25025-004-0003</v>
          </cell>
          <cell r="J10809">
            <v>219573.51</v>
          </cell>
        </row>
        <row r="10810">
          <cell r="A10810" t="str">
            <v>SERVYRE</v>
          </cell>
          <cell r="B10810" t="str">
            <v>531-25025-004-0004</v>
          </cell>
          <cell r="J10810">
            <v>1175.8699999999999</v>
          </cell>
        </row>
        <row r="10811">
          <cell r="A10811" t="str">
            <v>SERVYRE</v>
          </cell>
          <cell r="B10811" t="str">
            <v>531-25025-004-0005</v>
          </cell>
          <cell r="J10811">
            <v>275527.73</v>
          </cell>
        </row>
        <row r="10812">
          <cell r="A10812" t="str">
            <v>SERVYRE</v>
          </cell>
          <cell r="B10812" t="str">
            <v>531-25025-004-0006</v>
          </cell>
          <cell r="J10812">
            <v>5381.13</v>
          </cell>
        </row>
        <row r="10813">
          <cell r="A10813" t="str">
            <v>SERVYRE</v>
          </cell>
          <cell r="B10813" t="str">
            <v>531-25025-004-0009</v>
          </cell>
          <cell r="J10813">
            <v>129139.04</v>
          </cell>
        </row>
        <row r="10814">
          <cell r="A10814" t="str">
            <v>SERVYRE</v>
          </cell>
          <cell r="B10814" t="str">
            <v>531-25025-004-0011</v>
          </cell>
          <cell r="J10814">
            <v>9290.18</v>
          </cell>
        </row>
        <row r="10815">
          <cell r="A10815" t="str">
            <v>SERVYRE</v>
          </cell>
          <cell r="B10815" t="str">
            <v>531-25025-004-0013</v>
          </cell>
          <cell r="J10815">
            <v>73081.08</v>
          </cell>
        </row>
        <row r="10816">
          <cell r="A10816" t="str">
            <v>SERVYRE</v>
          </cell>
          <cell r="B10816" t="str">
            <v>531-25025-004-0014</v>
          </cell>
          <cell r="J10816">
            <v>1378.7</v>
          </cell>
        </row>
        <row r="10817">
          <cell r="A10817" t="str">
            <v>SERVYRE</v>
          </cell>
          <cell r="B10817" t="str">
            <v>531-25025-007-0000</v>
          </cell>
          <cell r="J10817">
            <v>1119914.2</v>
          </cell>
        </row>
        <row r="10818">
          <cell r="A10818" t="str">
            <v>SERVYRE</v>
          </cell>
          <cell r="B10818" t="str">
            <v>531-25025-007-0010</v>
          </cell>
          <cell r="J10818">
            <v>429370.73</v>
          </cell>
        </row>
        <row r="10819">
          <cell r="A10819" t="str">
            <v>SERVYRE</v>
          </cell>
          <cell r="B10819" t="str">
            <v>531-25025-007-0030</v>
          </cell>
          <cell r="J10819">
            <v>235073.84</v>
          </cell>
        </row>
        <row r="10820">
          <cell r="A10820" t="str">
            <v>SERVYRE</v>
          </cell>
          <cell r="B10820" t="str">
            <v>531-25025-007-0050</v>
          </cell>
          <cell r="J10820">
            <v>163336.17000000001</v>
          </cell>
        </row>
        <row r="10821">
          <cell r="A10821" t="str">
            <v>SERVYRE</v>
          </cell>
          <cell r="B10821" t="str">
            <v>531-25025-007-0060</v>
          </cell>
          <cell r="J10821">
            <v>289723.84999999998</v>
          </cell>
        </row>
        <row r="10822">
          <cell r="A10822" t="str">
            <v>SERVYRE</v>
          </cell>
          <cell r="B10822" t="str">
            <v>531-25025-007-0070</v>
          </cell>
          <cell r="J10822">
            <v>2409.61</v>
          </cell>
        </row>
        <row r="10823">
          <cell r="A10823" t="str">
            <v>SERVYRE</v>
          </cell>
          <cell r="B10823" t="str">
            <v>531-25025-031-0000</v>
          </cell>
          <cell r="J10823">
            <v>10377.6</v>
          </cell>
        </row>
        <row r="10824">
          <cell r="A10824" t="str">
            <v>SERVYRE</v>
          </cell>
          <cell r="B10824" t="str">
            <v>531-25025-031-0002</v>
          </cell>
          <cell r="J10824">
            <v>7886.97</v>
          </cell>
        </row>
        <row r="10825">
          <cell r="A10825" t="str">
            <v>SERVYRE</v>
          </cell>
          <cell r="B10825" t="str">
            <v>531-25025-031-0005</v>
          </cell>
          <cell r="J10825">
            <v>2490.63</v>
          </cell>
        </row>
        <row r="10826">
          <cell r="A10826" t="str">
            <v>SERVYRE</v>
          </cell>
          <cell r="B10826" t="str">
            <v>531-25025-054-0000</v>
          </cell>
          <cell r="J10826">
            <v>-796489.7</v>
          </cell>
        </row>
        <row r="10827">
          <cell r="A10827" t="str">
            <v>SERVYRE</v>
          </cell>
          <cell r="B10827" t="str">
            <v>531-25025-054-0006</v>
          </cell>
          <cell r="J10827">
            <v>-796489.7</v>
          </cell>
        </row>
        <row r="10828">
          <cell r="A10828" t="str">
            <v>SERVYRE</v>
          </cell>
          <cell r="B10828" t="str">
            <v>531-25028-000-0000</v>
          </cell>
          <cell r="J10828">
            <v>47459.55</v>
          </cell>
        </row>
        <row r="10829">
          <cell r="A10829" t="str">
            <v>SERVYRE</v>
          </cell>
          <cell r="B10829" t="str">
            <v>531-25028-004-0000</v>
          </cell>
          <cell r="J10829">
            <v>47459.55</v>
          </cell>
        </row>
        <row r="10830">
          <cell r="A10830" t="str">
            <v>SERVYRE</v>
          </cell>
          <cell r="B10830" t="str">
            <v>531-25028-004-0001</v>
          </cell>
          <cell r="J10830">
            <v>7372.46</v>
          </cell>
        </row>
        <row r="10831">
          <cell r="A10831" t="str">
            <v>SERVYRE</v>
          </cell>
          <cell r="B10831" t="str">
            <v>531-25028-004-0002</v>
          </cell>
          <cell r="J10831">
            <v>6917.69</v>
          </cell>
        </row>
        <row r="10832">
          <cell r="A10832" t="str">
            <v>SERVYRE</v>
          </cell>
          <cell r="B10832" t="str">
            <v>531-25028-004-0003</v>
          </cell>
          <cell r="J10832">
            <v>18217.259999999998</v>
          </cell>
        </row>
        <row r="10833">
          <cell r="A10833" t="str">
            <v>SERVYRE</v>
          </cell>
          <cell r="B10833" t="str">
            <v>531-25028-004-0005</v>
          </cell>
          <cell r="J10833">
            <v>7541</v>
          </cell>
        </row>
        <row r="10834">
          <cell r="A10834" t="str">
            <v>SERVYRE</v>
          </cell>
          <cell r="B10834" t="str">
            <v>531-25028-004-0011</v>
          </cell>
          <cell r="J10834">
            <v>2764.49</v>
          </cell>
        </row>
        <row r="10835">
          <cell r="A10835" t="str">
            <v>SERVYRE</v>
          </cell>
          <cell r="B10835" t="str">
            <v>531-25028-004-0013</v>
          </cell>
          <cell r="J10835">
            <v>2388.89</v>
          </cell>
        </row>
        <row r="10836">
          <cell r="A10836" t="str">
            <v>SERVYRE</v>
          </cell>
          <cell r="B10836" t="str">
            <v>531-25028-004-0014</v>
          </cell>
          <cell r="J10836">
            <v>2257.7600000000002</v>
          </cell>
        </row>
        <row r="10837">
          <cell r="A10837" t="str">
            <v>SERVYRE</v>
          </cell>
          <cell r="B10837" t="str">
            <v>531-25033-000-0000</v>
          </cell>
          <cell r="J10837">
            <v>-91787</v>
          </cell>
        </row>
        <row r="10838">
          <cell r="A10838" t="str">
            <v>SERVYRE</v>
          </cell>
          <cell r="B10838" t="str">
            <v>531-25033-007-0000</v>
          </cell>
          <cell r="J10838">
            <v>10361.43</v>
          </cell>
        </row>
        <row r="10839">
          <cell r="A10839" t="str">
            <v>SERVYRE</v>
          </cell>
          <cell r="B10839" t="str">
            <v>531-25033-007-0010</v>
          </cell>
          <cell r="J10839">
            <v>6913.12</v>
          </cell>
        </row>
        <row r="10840">
          <cell r="A10840" t="str">
            <v>SERVYRE</v>
          </cell>
          <cell r="B10840" t="str">
            <v>531-25033-007-0060</v>
          </cell>
          <cell r="J10840">
            <v>3448.31</v>
          </cell>
        </row>
        <row r="10841">
          <cell r="A10841" t="str">
            <v>SERVYRE</v>
          </cell>
          <cell r="B10841" t="str">
            <v>531-25033-054-0000</v>
          </cell>
          <cell r="J10841">
            <v>-102148.43</v>
          </cell>
        </row>
        <row r="10842">
          <cell r="A10842" t="str">
            <v>SERVYRE</v>
          </cell>
          <cell r="B10842" t="str">
            <v>531-25033-054-0006</v>
          </cell>
          <cell r="J10842">
            <v>-102148.43</v>
          </cell>
        </row>
        <row r="10843">
          <cell r="A10843" t="str">
            <v>SERVYRE</v>
          </cell>
          <cell r="B10843" t="str">
            <v>531-25035-000-0000</v>
          </cell>
          <cell r="J10843">
            <v>61670.87</v>
          </cell>
        </row>
        <row r="10844">
          <cell r="A10844" t="str">
            <v>SERVYRE</v>
          </cell>
          <cell r="B10844" t="str">
            <v>531-25035-004-0000</v>
          </cell>
          <cell r="J10844">
            <v>64129.78</v>
          </cell>
        </row>
        <row r="10845">
          <cell r="A10845" t="str">
            <v>SERVYRE</v>
          </cell>
          <cell r="B10845" t="str">
            <v>531-25035-004-0001</v>
          </cell>
          <cell r="J10845">
            <v>-95317.66</v>
          </cell>
        </row>
        <row r="10846">
          <cell r="A10846" t="str">
            <v>SERVYRE</v>
          </cell>
          <cell r="B10846" t="str">
            <v>531-25035-004-0002</v>
          </cell>
          <cell r="J10846">
            <v>91778.33</v>
          </cell>
        </row>
        <row r="10847">
          <cell r="A10847" t="str">
            <v>SERVYRE</v>
          </cell>
          <cell r="B10847" t="str">
            <v>531-25035-004-0003</v>
          </cell>
          <cell r="J10847">
            <v>7402.59</v>
          </cell>
        </row>
        <row r="10848">
          <cell r="A10848" t="str">
            <v>SERVYRE</v>
          </cell>
          <cell r="B10848" t="str">
            <v>531-25035-004-0005</v>
          </cell>
          <cell r="J10848">
            <v>28049.71</v>
          </cell>
        </row>
        <row r="10849">
          <cell r="A10849" t="str">
            <v>SERVYRE</v>
          </cell>
          <cell r="B10849" t="str">
            <v>531-25035-004-0006</v>
          </cell>
          <cell r="J10849">
            <v>4278.46</v>
          </cell>
        </row>
        <row r="10850">
          <cell r="A10850" t="str">
            <v>SERVYRE</v>
          </cell>
          <cell r="B10850" t="str">
            <v>531-25035-004-0009</v>
          </cell>
          <cell r="J10850">
            <v>3779.32</v>
          </cell>
        </row>
        <row r="10851">
          <cell r="A10851" t="str">
            <v>SERVYRE</v>
          </cell>
          <cell r="B10851" t="str">
            <v>531-25035-004-0011</v>
          </cell>
          <cell r="J10851">
            <v>332</v>
          </cell>
        </row>
        <row r="10852">
          <cell r="A10852" t="str">
            <v>SERVYRE</v>
          </cell>
          <cell r="B10852" t="str">
            <v>531-25035-004-0013</v>
          </cell>
          <cell r="J10852">
            <v>23375.62</v>
          </cell>
        </row>
        <row r="10853">
          <cell r="A10853" t="str">
            <v>SERVYRE</v>
          </cell>
          <cell r="B10853" t="str">
            <v>531-25035-004-0014</v>
          </cell>
          <cell r="J10853">
            <v>451.41</v>
          </cell>
        </row>
        <row r="10854">
          <cell r="A10854" t="str">
            <v>SERVYRE</v>
          </cell>
          <cell r="B10854" t="str">
            <v>531-25035-007-0000</v>
          </cell>
          <cell r="J10854">
            <v>-5478.99</v>
          </cell>
        </row>
        <row r="10855">
          <cell r="A10855" t="str">
            <v>SERVYRE</v>
          </cell>
          <cell r="B10855" t="str">
            <v>531-25035-007-0010</v>
          </cell>
          <cell r="J10855">
            <v>-6975.56</v>
          </cell>
        </row>
        <row r="10856">
          <cell r="A10856" t="str">
            <v>SERVYRE</v>
          </cell>
          <cell r="B10856" t="str">
            <v>531-25035-007-0030</v>
          </cell>
          <cell r="J10856">
            <v>1477.69</v>
          </cell>
        </row>
        <row r="10857">
          <cell r="A10857" t="str">
            <v>SERVYRE</v>
          </cell>
          <cell r="B10857" t="str">
            <v>531-25035-007-0060</v>
          </cell>
          <cell r="J10857">
            <v>18.88</v>
          </cell>
        </row>
        <row r="10858">
          <cell r="A10858" t="str">
            <v>SERVYRE</v>
          </cell>
          <cell r="B10858" t="str">
            <v>531-25035-031-0000</v>
          </cell>
          <cell r="J10858">
            <v>3020.08</v>
          </cell>
        </row>
        <row r="10859">
          <cell r="A10859" t="str">
            <v>SERVYRE</v>
          </cell>
          <cell r="B10859" t="str">
            <v>531-25035-031-0002</v>
          </cell>
          <cell r="J10859">
            <v>2295.2600000000002</v>
          </cell>
        </row>
        <row r="10860">
          <cell r="A10860" t="str">
            <v>SERVYRE</v>
          </cell>
          <cell r="B10860" t="str">
            <v>531-25035-031-0005</v>
          </cell>
          <cell r="J10860">
            <v>724.82</v>
          </cell>
        </row>
        <row r="10861">
          <cell r="A10861" t="str">
            <v>SERVYRE</v>
          </cell>
          <cell r="B10861" t="str">
            <v>531-25036-000-0000</v>
          </cell>
          <cell r="J10861">
            <v>55896.160000000003</v>
          </cell>
        </row>
        <row r="10862">
          <cell r="A10862" t="str">
            <v>SERVYRE</v>
          </cell>
          <cell r="B10862" t="str">
            <v>531-25036-004-0000</v>
          </cell>
          <cell r="J10862">
            <v>54200.47</v>
          </cell>
        </row>
        <row r="10863">
          <cell r="A10863" t="str">
            <v>SERVYRE</v>
          </cell>
          <cell r="B10863" t="str">
            <v>531-25036-004-0001</v>
          </cell>
          <cell r="J10863">
            <v>16064.81</v>
          </cell>
        </row>
        <row r="10864">
          <cell r="A10864" t="str">
            <v>SERVYRE</v>
          </cell>
          <cell r="B10864" t="str">
            <v>531-25036-004-0002</v>
          </cell>
          <cell r="J10864">
            <v>16356.18</v>
          </cell>
        </row>
        <row r="10865">
          <cell r="A10865" t="str">
            <v>SERVYRE</v>
          </cell>
          <cell r="B10865" t="str">
            <v>531-25036-004-0003</v>
          </cell>
          <cell r="J10865">
            <v>11549.09</v>
          </cell>
        </row>
        <row r="10866">
          <cell r="A10866" t="str">
            <v>SERVYRE</v>
          </cell>
          <cell r="B10866" t="str">
            <v>531-25036-004-0005</v>
          </cell>
          <cell r="J10866">
            <v>7264.66</v>
          </cell>
        </row>
        <row r="10867">
          <cell r="A10867" t="str">
            <v>SERVYRE</v>
          </cell>
          <cell r="B10867" t="str">
            <v>531-25036-004-0009</v>
          </cell>
          <cell r="J10867">
            <v>1388.79</v>
          </cell>
        </row>
        <row r="10868">
          <cell r="A10868" t="str">
            <v>SERVYRE</v>
          </cell>
          <cell r="B10868" t="str">
            <v>531-25036-004-0013</v>
          </cell>
          <cell r="J10868">
            <v>1465.83</v>
          </cell>
        </row>
        <row r="10869">
          <cell r="A10869" t="str">
            <v>SERVYRE</v>
          </cell>
          <cell r="B10869" t="str">
            <v>531-25036-004-0014</v>
          </cell>
          <cell r="J10869">
            <v>111.11</v>
          </cell>
        </row>
        <row r="10870">
          <cell r="A10870" t="str">
            <v>SERVYRE</v>
          </cell>
          <cell r="B10870" t="str">
            <v>531-25036-007-0000</v>
          </cell>
          <cell r="J10870">
            <v>114.71</v>
          </cell>
        </row>
        <row r="10871">
          <cell r="A10871" t="str">
            <v>SERVYRE</v>
          </cell>
          <cell r="B10871" t="str">
            <v>531-25036-007-0010</v>
          </cell>
          <cell r="J10871">
            <v>114.71</v>
          </cell>
        </row>
        <row r="10872">
          <cell r="A10872" t="str">
            <v>SERVYRE</v>
          </cell>
          <cell r="B10872" t="str">
            <v>531-25036-031-0000</v>
          </cell>
          <cell r="J10872">
            <v>1580.99</v>
          </cell>
        </row>
        <row r="10873">
          <cell r="A10873" t="str">
            <v>SERVYRE</v>
          </cell>
          <cell r="B10873" t="str">
            <v>531-25036-031-0002</v>
          </cell>
          <cell r="J10873">
            <v>1201.55</v>
          </cell>
        </row>
        <row r="10874">
          <cell r="A10874" t="str">
            <v>SERVYRE</v>
          </cell>
          <cell r="B10874" t="str">
            <v>531-25036-031-0005</v>
          </cell>
          <cell r="J10874">
            <v>379.44</v>
          </cell>
        </row>
        <row r="10875">
          <cell r="A10875" t="str">
            <v>SERVYRE</v>
          </cell>
          <cell r="B10875" t="str">
            <v>531-25036-054-0000</v>
          </cell>
          <cell r="J10875">
            <v>-0.01</v>
          </cell>
        </row>
        <row r="10876">
          <cell r="A10876" t="str">
            <v>SERVYRE</v>
          </cell>
          <cell r="B10876" t="str">
            <v>531-25036-054-0006</v>
          </cell>
          <cell r="J10876">
            <v>-0.01</v>
          </cell>
        </row>
        <row r="10877">
          <cell r="A10877" t="str">
            <v>SERVYRE</v>
          </cell>
          <cell r="B10877" t="str">
            <v>531-25038-000-0000</v>
          </cell>
          <cell r="J10877">
            <v>43752.3</v>
          </cell>
        </row>
        <row r="10878">
          <cell r="A10878" t="str">
            <v>SERVYRE</v>
          </cell>
          <cell r="B10878" t="str">
            <v>531-25038-004-0000</v>
          </cell>
          <cell r="J10878">
            <v>25750.36</v>
          </cell>
        </row>
        <row r="10879">
          <cell r="A10879" t="str">
            <v>SERVYRE</v>
          </cell>
          <cell r="B10879" t="str">
            <v>531-25038-004-0001</v>
          </cell>
          <cell r="J10879">
            <v>7078.06</v>
          </cell>
        </row>
        <row r="10880">
          <cell r="A10880" t="str">
            <v>SERVYRE</v>
          </cell>
          <cell r="B10880" t="str">
            <v>531-25038-004-0002</v>
          </cell>
          <cell r="J10880">
            <v>11800.98</v>
          </cell>
        </row>
        <row r="10881">
          <cell r="A10881" t="str">
            <v>SERVYRE</v>
          </cell>
          <cell r="B10881" t="str">
            <v>531-25038-004-0003</v>
          </cell>
          <cell r="J10881">
            <v>5120.6899999999996</v>
          </cell>
        </row>
        <row r="10882">
          <cell r="A10882" t="str">
            <v>SERVYRE</v>
          </cell>
          <cell r="B10882" t="str">
            <v>531-25038-004-0005</v>
          </cell>
          <cell r="J10882">
            <v>-666.86</v>
          </cell>
        </row>
        <row r="10883">
          <cell r="A10883" t="str">
            <v>SERVYRE</v>
          </cell>
          <cell r="B10883" t="str">
            <v>531-25038-004-0013</v>
          </cell>
          <cell r="J10883">
            <v>2417.4899999999998</v>
          </cell>
        </row>
        <row r="10884">
          <cell r="A10884" t="str">
            <v>SERVYRE</v>
          </cell>
          <cell r="B10884" t="str">
            <v>531-25038-007-0000</v>
          </cell>
          <cell r="J10884">
            <v>16540.96</v>
          </cell>
        </row>
        <row r="10885">
          <cell r="A10885" t="str">
            <v>SERVYRE</v>
          </cell>
          <cell r="B10885" t="str">
            <v>531-25038-007-0010</v>
          </cell>
          <cell r="J10885">
            <v>864.83</v>
          </cell>
        </row>
        <row r="10886">
          <cell r="A10886" t="str">
            <v>SERVYRE</v>
          </cell>
          <cell r="B10886" t="str">
            <v>531-25038-007-0070</v>
          </cell>
          <cell r="J10886">
            <v>15676.13</v>
          </cell>
        </row>
        <row r="10887">
          <cell r="A10887" t="str">
            <v>SERVYRE</v>
          </cell>
          <cell r="B10887" t="str">
            <v>531-25038-031-0000</v>
          </cell>
          <cell r="J10887">
            <v>1460.98</v>
          </cell>
        </row>
        <row r="10888">
          <cell r="A10888" t="str">
            <v>SERVYRE</v>
          </cell>
          <cell r="B10888" t="str">
            <v>531-25038-031-0002</v>
          </cell>
          <cell r="J10888">
            <v>1110.3399999999999</v>
          </cell>
        </row>
        <row r="10889">
          <cell r="A10889" t="str">
            <v>SERVYRE</v>
          </cell>
          <cell r="B10889" t="str">
            <v>531-25038-031-0005</v>
          </cell>
          <cell r="J10889">
            <v>350.64</v>
          </cell>
        </row>
        <row r="10890">
          <cell r="A10890" t="str">
            <v>SERVYRE</v>
          </cell>
          <cell r="B10890" t="str">
            <v>531-25039-000-0000</v>
          </cell>
          <cell r="J10890">
            <v>52.28</v>
          </cell>
        </row>
        <row r="10891">
          <cell r="A10891" t="str">
            <v>SERVYRE</v>
          </cell>
          <cell r="B10891" t="str">
            <v>531-25039-004-0000</v>
          </cell>
          <cell r="J10891">
            <v>79802.929999999993</v>
          </cell>
        </row>
        <row r="10892">
          <cell r="A10892" t="str">
            <v>SERVYRE</v>
          </cell>
          <cell r="B10892" t="str">
            <v>531-25039-004-0001</v>
          </cell>
          <cell r="J10892">
            <v>10716.47</v>
          </cell>
        </row>
        <row r="10893">
          <cell r="A10893" t="str">
            <v>SERVYRE</v>
          </cell>
          <cell r="B10893" t="str">
            <v>531-25039-004-0002</v>
          </cell>
          <cell r="J10893">
            <v>13165.57</v>
          </cell>
        </row>
        <row r="10894">
          <cell r="A10894" t="str">
            <v>SERVYRE</v>
          </cell>
          <cell r="B10894" t="str">
            <v>531-25039-004-0003</v>
          </cell>
          <cell r="J10894">
            <v>32450.34</v>
          </cell>
        </row>
        <row r="10895">
          <cell r="A10895" t="str">
            <v>SERVYRE</v>
          </cell>
          <cell r="B10895" t="str">
            <v>531-25039-004-0004</v>
          </cell>
          <cell r="J10895">
            <v>3214.87</v>
          </cell>
        </row>
        <row r="10896">
          <cell r="A10896" t="str">
            <v>SERVYRE</v>
          </cell>
          <cell r="B10896" t="str">
            <v>531-25039-004-0005</v>
          </cell>
          <cell r="J10896">
            <v>15962.81</v>
          </cell>
        </row>
        <row r="10897">
          <cell r="A10897" t="str">
            <v>SERVYRE</v>
          </cell>
          <cell r="B10897" t="str">
            <v>531-25039-004-0009</v>
          </cell>
          <cell r="J10897">
            <v>106.9</v>
          </cell>
        </row>
        <row r="10898">
          <cell r="A10898" t="str">
            <v>SERVYRE</v>
          </cell>
          <cell r="B10898" t="str">
            <v>531-25039-004-0013</v>
          </cell>
          <cell r="J10898">
            <v>4185.97</v>
          </cell>
        </row>
        <row r="10899">
          <cell r="A10899" t="str">
            <v>SERVYRE</v>
          </cell>
          <cell r="B10899" t="str">
            <v>531-25039-007-0000</v>
          </cell>
          <cell r="J10899">
            <v>1276451.8</v>
          </cell>
        </row>
        <row r="10900">
          <cell r="A10900" t="str">
            <v>SERVYRE</v>
          </cell>
          <cell r="B10900" t="str">
            <v>531-25039-007-0010</v>
          </cell>
          <cell r="J10900">
            <v>403054.94</v>
          </cell>
        </row>
        <row r="10901">
          <cell r="A10901" t="str">
            <v>SERVYRE</v>
          </cell>
          <cell r="B10901" t="str">
            <v>531-25039-007-0020</v>
          </cell>
          <cell r="J10901">
            <v>4.33</v>
          </cell>
        </row>
        <row r="10902">
          <cell r="A10902" t="str">
            <v>SERVYRE</v>
          </cell>
          <cell r="B10902" t="str">
            <v>531-25039-007-0030</v>
          </cell>
          <cell r="J10902">
            <v>309534.21000000002</v>
          </cell>
        </row>
        <row r="10903">
          <cell r="A10903" t="str">
            <v>SERVYRE</v>
          </cell>
          <cell r="B10903" t="str">
            <v>531-25039-007-0050</v>
          </cell>
          <cell r="J10903">
            <v>405345.12</v>
          </cell>
        </row>
        <row r="10904">
          <cell r="A10904" t="str">
            <v>SERVYRE</v>
          </cell>
          <cell r="B10904" t="str">
            <v>531-25039-007-0060</v>
          </cell>
          <cell r="J10904">
            <v>151769.04999999999</v>
          </cell>
        </row>
        <row r="10905">
          <cell r="A10905" t="str">
            <v>SERVYRE</v>
          </cell>
          <cell r="B10905" t="str">
            <v>531-25039-007-0070</v>
          </cell>
          <cell r="J10905">
            <v>6744.15</v>
          </cell>
        </row>
        <row r="10906">
          <cell r="A10906" t="str">
            <v>SERVYRE</v>
          </cell>
          <cell r="B10906" t="str">
            <v>531-25039-009-0000</v>
          </cell>
          <cell r="J10906">
            <v>275889.59999999998</v>
          </cell>
        </row>
        <row r="10907">
          <cell r="A10907" t="str">
            <v>SERVYRE</v>
          </cell>
          <cell r="B10907" t="str">
            <v>531-25039-054-0000</v>
          </cell>
          <cell r="J10907">
            <v>-1632092.05</v>
          </cell>
        </row>
        <row r="10908">
          <cell r="A10908" t="str">
            <v>SERVYRE</v>
          </cell>
          <cell r="B10908" t="str">
            <v>531-25039-054-0006</v>
          </cell>
          <cell r="J10908">
            <v>-1632092.05</v>
          </cell>
        </row>
        <row r="10909">
          <cell r="A10909" t="str">
            <v>SERVYRE</v>
          </cell>
          <cell r="B10909" t="str">
            <v>531-25041-000-0000</v>
          </cell>
          <cell r="J10909">
            <v>-88864.65</v>
          </cell>
        </row>
        <row r="10910">
          <cell r="A10910" t="str">
            <v>SERVYRE</v>
          </cell>
          <cell r="B10910" t="str">
            <v>531-25041-004-0000</v>
          </cell>
          <cell r="J10910">
            <v>556221.91</v>
          </cell>
        </row>
        <row r="10911">
          <cell r="A10911" t="str">
            <v>SERVYRE</v>
          </cell>
          <cell r="B10911" t="str">
            <v>531-25041-004-0001</v>
          </cell>
          <cell r="J10911">
            <v>165749.79</v>
          </cell>
        </row>
        <row r="10912">
          <cell r="A10912" t="str">
            <v>SERVYRE</v>
          </cell>
          <cell r="B10912" t="str">
            <v>531-25041-004-0002</v>
          </cell>
          <cell r="J10912">
            <v>158095.20000000001</v>
          </cell>
        </row>
        <row r="10913">
          <cell r="A10913" t="str">
            <v>SERVYRE</v>
          </cell>
          <cell r="B10913" t="str">
            <v>531-25041-004-0003</v>
          </cell>
          <cell r="J10913">
            <v>124099.18</v>
          </cell>
        </row>
        <row r="10914">
          <cell r="A10914" t="str">
            <v>SERVYRE</v>
          </cell>
          <cell r="B10914" t="str">
            <v>531-25041-004-0004</v>
          </cell>
          <cell r="J10914">
            <v>3133.62</v>
          </cell>
        </row>
        <row r="10915">
          <cell r="A10915" t="str">
            <v>SERVYRE</v>
          </cell>
          <cell r="B10915" t="str">
            <v>531-25041-004-0005</v>
          </cell>
          <cell r="J10915">
            <v>55041.07</v>
          </cell>
        </row>
        <row r="10916">
          <cell r="A10916" t="str">
            <v>SERVYRE</v>
          </cell>
          <cell r="B10916" t="str">
            <v>531-25041-004-0006</v>
          </cell>
          <cell r="J10916">
            <v>924.14</v>
          </cell>
        </row>
        <row r="10917">
          <cell r="A10917" t="str">
            <v>SERVYRE</v>
          </cell>
          <cell r="B10917" t="str">
            <v>531-25041-004-0009</v>
          </cell>
          <cell r="J10917">
            <v>6565.25</v>
          </cell>
        </row>
        <row r="10918">
          <cell r="A10918" t="str">
            <v>SERVYRE</v>
          </cell>
          <cell r="B10918" t="str">
            <v>531-25041-004-0011</v>
          </cell>
          <cell r="J10918">
            <v>4472.92</v>
          </cell>
        </row>
        <row r="10919">
          <cell r="A10919" t="str">
            <v>SERVYRE</v>
          </cell>
          <cell r="B10919" t="str">
            <v>531-25041-004-0013</v>
          </cell>
          <cell r="J10919">
            <v>31358.05</v>
          </cell>
        </row>
        <row r="10920">
          <cell r="A10920" t="str">
            <v>SERVYRE</v>
          </cell>
          <cell r="B10920" t="str">
            <v>531-25041-004-0014</v>
          </cell>
          <cell r="J10920">
            <v>6782.69</v>
          </cell>
        </row>
        <row r="10921">
          <cell r="A10921" t="str">
            <v>SERVYRE</v>
          </cell>
          <cell r="B10921" t="str">
            <v>531-25041-007-0000</v>
          </cell>
          <cell r="J10921">
            <v>432348.6</v>
          </cell>
        </row>
        <row r="10922">
          <cell r="A10922" t="str">
            <v>SERVYRE</v>
          </cell>
          <cell r="B10922" t="str">
            <v>531-25041-007-0010</v>
          </cell>
          <cell r="J10922">
            <v>327.08</v>
          </cell>
        </row>
        <row r="10923">
          <cell r="A10923" t="str">
            <v>SERVYRE</v>
          </cell>
          <cell r="B10923" t="str">
            <v>531-25041-007-0020</v>
          </cell>
          <cell r="J10923">
            <v>293278.40999999997</v>
          </cell>
        </row>
        <row r="10924">
          <cell r="A10924" t="str">
            <v>SERVYRE</v>
          </cell>
          <cell r="B10924" t="str">
            <v>531-25041-007-0050</v>
          </cell>
          <cell r="J10924">
            <v>-5979.03</v>
          </cell>
        </row>
        <row r="10925">
          <cell r="A10925" t="str">
            <v>SERVYRE</v>
          </cell>
          <cell r="B10925" t="str">
            <v>531-25041-007-0060</v>
          </cell>
          <cell r="J10925">
            <v>144722.14000000001</v>
          </cell>
        </row>
        <row r="10926">
          <cell r="A10926" t="str">
            <v>SERVYRE</v>
          </cell>
          <cell r="B10926" t="str">
            <v>531-25041-031-0000</v>
          </cell>
          <cell r="J10926">
            <v>6042.62</v>
          </cell>
        </row>
        <row r="10927">
          <cell r="A10927" t="str">
            <v>SERVYRE</v>
          </cell>
          <cell r="B10927" t="str">
            <v>531-25041-031-0002</v>
          </cell>
          <cell r="J10927">
            <v>4592.3900000000003</v>
          </cell>
        </row>
        <row r="10928">
          <cell r="A10928" t="str">
            <v>SERVYRE</v>
          </cell>
          <cell r="B10928" t="str">
            <v>531-25041-031-0005</v>
          </cell>
          <cell r="J10928">
            <v>1450.23</v>
          </cell>
        </row>
        <row r="10929">
          <cell r="A10929" t="str">
            <v>SERVYRE</v>
          </cell>
          <cell r="B10929" t="str">
            <v>531-25041-054-0000</v>
          </cell>
          <cell r="J10929">
            <v>-1083477.78</v>
          </cell>
        </row>
        <row r="10930">
          <cell r="A10930" t="str">
            <v>SERVYRE</v>
          </cell>
          <cell r="B10930" t="str">
            <v>531-25041-054-0006</v>
          </cell>
          <cell r="J10930">
            <v>-1083477.78</v>
          </cell>
        </row>
        <row r="10931">
          <cell r="A10931" t="str">
            <v>SERVYRE</v>
          </cell>
          <cell r="B10931" t="str">
            <v>531-25042-000-0000</v>
          </cell>
          <cell r="J10931">
            <v>296611.90999999997</v>
          </cell>
        </row>
        <row r="10932">
          <cell r="A10932" t="str">
            <v>SERVYRE</v>
          </cell>
          <cell r="B10932" t="str">
            <v>531-25042-004-0000</v>
          </cell>
          <cell r="J10932">
            <v>355112.85</v>
          </cell>
        </row>
        <row r="10933">
          <cell r="A10933" t="str">
            <v>SERVYRE</v>
          </cell>
          <cell r="B10933" t="str">
            <v>531-25042-004-0001</v>
          </cell>
          <cell r="J10933">
            <v>118912.19</v>
          </cell>
        </row>
        <row r="10934">
          <cell r="A10934" t="str">
            <v>SERVYRE</v>
          </cell>
          <cell r="B10934" t="str">
            <v>531-25042-004-0002</v>
          </cell>
          <cell r="J10934">
            <v>118387.75</v>
          </cell>
        </row>
        <row r="10935">
          <cell r="A10935" t="str">
            <v>SERVYRE</v>
          </cell>
          <cell r="B10935" t="str">
            <v>531-25042-004-0003</v>
          </cell>
          <cell r="J10935">
            <v>44219.68</v>
          </cell>
        </row>
        <row r="10936">
          <cell r="A10936" t="str">
            <v>SERVYRE</v>
          </cell>
          <cell r="B10936" t="str">
            <v>531-25042-004-0004</v>
          </cell>
          <cell r="J10936">
            <v>337.07</v>
          </cell>
        </row>
        <row r="10937">
          <cell r="A10937" t="str">
            <v>SERVYRE</v>
          </cell>
          <cell r="B10937" t="str">
            <v>531-25042-004-0005</v>
          </cell>
          <cell r="J10937">
            <v>37398.730000000003</v>
          </cell>
        </row>
        <row r="10938">
          <cell r="A10938" t="str">
            <v>SERVYRE</v>
          </cell>
          <cell r="B10938" t="str">
            <v>531-25042-004-0006</v>
          </cell>
          <cell r="J10938">
            <v>255.17</v>
          </cell>
        </row>
        <row r="10939">
          <cell r="A10939" t="str">
            <v>SERVYRE</v>
          </cell>
          <cell r="B10939" t="str">
            <v>531-25042-004-0009</v>
          </cell>
          <cell r="J10939">
            <v>4007.73</v>
          </cell>
        </row>
        <row r="10940">
          <cell r="A10940" t="str">
            <v>SERVYRE</v>
          </cell>
          <cell r="B10940" t="str">
            <v>531-25042-004-0011</v>
          </cell>
          <cell r="J10940">
            <v>385.35</v>
          </cell>
        </row>
        <row r="10941">
          <cell r="A10941" t="str">
            <v>SERVYRE</v>
          </cell>
          <cell r="B10941" t="str">
            <v>531-25042-004-0013</v>
          </cell>
          <cell r="J10941">
            <v>29636.959999999999</v>
          </cell>
        </row>
        <row r="10942">
          <cell r="A10942" t="str">
            <v>SERVYRE</v>
          </cell>
          <cell r="B10942" t="str">
            <v>531-25042-004-0014</v>
          </cell>
          <cell r="J10942">
            <v>1572.22</v>
          </cell>
        </row>
        <row r="10943">
          <cell r="A10943" t="str">
            <v>SERVYRE</v>
          </cell>
          <cell r="B10943" t="str">
            <v>531-25042-007-0000</v>
          </cell>
          <cell r="J10943">
            <v>280315.40000000002</v>
          </cell>
        </row>
        <row r="10944">
          <cell r="A10944" t="str">
            <v>SERVYRE</v>
          </cell>
          <cell r="B10944" t="str">
            <v>531-25042-007-0010</v>
          </cell>
          <cell r="J10944">
            <v>98690.98</v>
          </cell>
        </row>
        <row r="10945">
          <cell r="A10945" t="str">
            <v>SERVYRE</v>
          </cell>
          <cell r="B10945" t="str">
            <v>531-25042-007-0030</v>
          </cell>
          <cell r="J10945">
            <v>178131.54</v>
          </cell>
        </row>
        <row r="10946">
          <cell r="A10946" t="str">
            <v>SERVYRE</v>
          </cell>
          <cell r="B10946" t="str">
            <v>531-25042-007-0060</v>
          </cell>
          <cell r="J10946">
            <v>3390.5</v>
          </cell>
        </row>
        <row r="10947">
          <cell r="A10947" t="str">
            <v>SERVYRE</v>
          </cell>
          <cell r="B10947" t="str">
            <v>531-25042-007-0070</v>
          </cell>
          <cell r="J10947">
            <v>102.38</v>
          </cell>
        </row>
        <row r="10948">
          <cell r="A10948" t="str">
            <v>SERVYRE</v>
          </cell>
          <cell r="B10948" t="str">
            <v>531-25042-031-0000</v>
          </cell>
          <cell r="J10948">
            <v>9150.82</v>
          </cell>
        </row>
        <row r="10949">
          <cell r="A10949" t="str">
            <v>SERVYRE</v>
          </cell>
          <cell r="B10949" t="str">
            <v>531-25042-031-0002</v>
          </cell>
          <cell r="J10949">
            <v>6954.62</v>
          </cell>
        </row>
        <row r="10950">
          <cell r="A10950" t="str">
            <v>SERVYRE</v>
          </cell>
          <cell r="B10950" t="str">
            <v>531-25042-031-0005</v>
          </cell>
          <cell r="J10950">
            <v>2196.1999999999998</v>
          </cell>
        </row>
        <row r="10951">
          <cell r="A10951" t="str">
            <v>SERVYRE</v>
          </cell>
          <cell r="B10951" t="str">
            <v>531-25042-054-0000</v>
          </cell>
          <cell r="J10951">
            <v>-347967.16</v>
          </cell>
        </row>
        <row r="10952">
          <cell r="A10952" t="str">
            <v>SERVYRE</v>
          </cell>
          <cell r="B10952" t="str">
            <v>531-25042-054-0006</v>
          </cell>
          <cell r="J10952">
            <v>-347967.16</v>
          </cell>
        </row>
        <row r="10953">
          <cell r="A10953" t="str">
            <v>SERVYRE</v>
          </cell>
          <cell r="B10953" t="str">
            <v>531-25043-000-0000</v>
          </cell>
          <cell r="J10953">
            <v>138590.35999999999</v>
          </cell>
        </row>
        <row r="10954">
          <cell r="A10954" t="str">
            <v>SERVYRE</v>
          </cell>
          <cell r="B10954" t="str">
            <v>531-25043-004-0000</v>
          </cell>
          <cell r="J10954">
            <v>184994.78</v>
          </cell>
        </row>
        <row r="10955">
          <cell r="A10955" t="str">
            <v>SERVYRE</v>
          </cell>
          <cell r="B10955" t="str">
            <v>531-25043-004-0001</v>
          </cell>
          <cell r="J10955">
            <v>72535.78</v>
          </cell>
        </row>
        <row r="10956">
          <cell r="A10956" t="str">
            <v>SERVYRE</v>
          </cell>
          <cell r="B10956" t="str">
            <v>531-25043-004-0002</v>
          </cell>
          <cell r="J10956">
            <v>49535.839999999997</v>
          </cell>
        </row>
        <row r="10957">
          <cell r="A10957" t="str">
            <v>SERVYRE</v>
          </cell>
          <cell r="B10957" t="str">
            <v>531-25043-004-0003</v>
          </cell>
          <cell r="J10957">
            <v>27294.880000000001</v>
          </cell>
        </row>
        <row r="10958">
          <cell r="A10958" t="str">
            <v>SERVYRE</v>
          </cell>
          <cell r="B10958" t="str">
            <v>531-25043-004-0004</v>
          </cell>
          <cell r="J10958">
            <v>930.18</v>
          </cell>
        </row>
        <row r="10959">
          <cell r="A10959" t="str">
            <v>SERVYRE</v>
          </cell>
          <cell r="B10959" t="str">
            <v>531-25043-004-0005</v>
          </cell>
          <cell r="J10959">
            <v>19852.68</v>
          </cell>
        </row>
        <row r="10960">
          <cell r="A10960" t="str">
            <v>SERVYRE</v>
          </cell>
          <cell r="B10960" t="str">
            <v>531-25043-004-0009</v>
          </cell>
          <cell r="J10960">
            <v>193.97</v>
          </cell>
        </row>
        <row r="10961">
          <cell r="A10961" t="str">
            <v>SERVYRE</v>
          </cell>
          <cell r="B10961" t="str">
            <v>531-25043-004-0011</v>
          </cell>
          <cell r="J10961">
            <v>6045.67</v>
          </cell>
        </row>
        <row r="10962">
          <cell r="A10962" t="str">
            <v>SERVYRE</v>
          </cell>
          <cell r="B10962" t="str">
            <v>531-25043-004-0013</v>
          </cell>
          <cell r="J10962">
            <v>7720.89</v>
          </cell>
        </row>
        <row r="10963">
          <cell r="A10963" t="str">
            <v>SERVYRE</v>
          </cell>
          <cell r="B10963" t="str">
            <v>531-25043-004-0014</v>
          </cell>
          <cell r="J10963">
            <v>884.89</v>
          </cell>
        </row>
        <row r="10964">
          <cell r="A10964" t="str">
            <v>SERVYRE</v>
          </cell>
          <cell r="B10964" t="str">
            <v>531-25043-007-0000</v>
          </cell>
          <cell r="J10964">
            <v>-48884</v>
          </cell>
        </row>
        <row r="10965">
          <cell r="A10965" t="str">
            <v>SERVYRE</v>
          </cell>
          <cell r="B10965" t="str">
            <v>531-25043-007-0020</v>
          </cell>
          <cell r="J10965">
            <v>-48888.07</v>
          </cell>
        </row>
        <row r="10966">
          <cell r="A10966" t="str">
            <v>SERVYRE</v>
          </cell>
          <cell r="B10966" t="str">
            <v>531-25043-007-0060</v>
          </cell>
          <cell r="J10966">
            <v>4.07</v>
          </cell>
        </row>
        <row r="10967">
          <cell r="A10967" t="str">
            <v>SERVYRE</v>
          </cell>
          <cell r="B10967" t="str">
            <v>531-25043-031-0000</v>
          </cell>
          <cell r="J10967">
            <v>2479.58</v>
          </cell>
        </row>
        <row r="10968">
          <cell r="A10968" t="str">
            <v>SERVYRE</v>
          </cell>
          <cell r="B10968" t="str">
            <v>531-25043-031-0002</v>
          </cell>
          <cell r="J10968">
            <v>1884.48</v>
          </cell>
        </row>
        <row r="10969">
          <cell r="A10969" t="str">
            <v>SERVYRE</v>
          </cell>
          <cell r="B10969" t="str">
            <v>531-25043-031-0005</v>
          </cell>
          <cell r="J10969">
            <v>595.1</v>
          </cell>
        </row>
        <row r="10970">
          <cell r="A10970" t="str">
            <v>SERVYRE</v>
          </cell>
          <cell r="B10970" t="str">
            <v>531-25044-000-0000</v>
          </cell>
          <cell r="J10970">
            <v>7822805.1100000003</v>
          </cell>
        </row>
        <row r="10971">
          <cell r="A10971" t="str">
            <v>SERVYRE</v>
          </cell>
          <cell r="B10971" t="str">
            <v>531-25044-004-0000</v>
          </cell>
          <cell r="J10971">
            <v>168948.9</v>
          </cell>
        </row>
        <row r="10972">
          <cell r="A10972" t="str">
            <v>SERVYRE</v>
          </cell>
          <cell r="B10972" t="str">
            <v>531-25044-004-0001</v>
          </cell>
          <cell r="J10972">
            <v>52625.3</v>
          </cell>
        </row>
        <row r="10973">
          <cell r="A10973" t="str">
            <v>SERVYRE</v>
          </cell>
          <cell r="B10973" t="str">
            <v>531-25044-004-0002</v>
          </cell>
          <cell r="J10973">
            <v>44580.33</v>
          </cell>
        </row>
        <row r="10974">
          <cell r="A10974" t="str">
            <v>SERVYRE</v>
          </cell>
          <cell r="B10974" t="str">
            <v>531-25044-004-0003</v>
          </cell>
          <cell r="J10974">
            <v>4646.5600000000004</v>
          </cell>
        </row>
        <row r="10975">
          <cell r="A10975" t="str">
            <v>SERVYRE</v>
          </cell>
          <cell r="B10975" t="str">
            <v>531-25044-004-0004</v>
          </cell>
          <cell r="J10975">
            <v>24.14</v>
          </cell>
        </row>
        <row r="10976">
          <cell r="A10976" t="str">
            <v>SERVYRE</v>
          </cell>
          <cell r="B10976" t="str">
            <v>531-25044-004-0005</v>
          </cell>
          <cell r="J10976">
            <v>24706.03</v>
          </cell>
        </row>
        <row r="10977">
          <cell r="A10977" t="str">
            <v>SERVYRE</v>
          </cell>
          <cell r="B10977" t="str">
            <v>531-25044-004-0006</v>
          </cell>
          <cell r="J10977">
            <v>79.31</v>
          </cell>
        </row>
        <row r="10978">
          <cell r="A10978" t="str">
            <v>SERVYRE</v>
          </cell>
          <cell r="B10978" t="str">
            <v>531-25044-004-0009</v>
          </cell>
          <cell r="J10978">
            <v>593.97</v>
          </cell>
        </row>
        <row r="10979">
          <cell r="A10979" t="str">
            <v>SERVYRE</v>
          </cell>
          <cell r="B10979" t="str">
            <v>531-25044-004-0011</v>
          </cell>
          <cell r="J10979">
            <v>6369.83</v>
          </cell>
        </row>
        <row r="10980">
          <cell r="A10980" t="str">
            <v>SERVYRE</v>
          </cell>
          <cell r="B10980" t="str">
            <v>531-25044-004-0013</v>
          </cell>
          <cell r="J10980">
            <v>28940.47</v>
          </cell>
        </row>
        <row r="10981">
          <cell r="A10981" t="str">
            <v>SERVYRE</v>
          </cell>
          <cell r="B10981" t="str">
            <v>531-25044-004-0014</v>
          </cell>
          <cell r="J10981">
            <v>6382.96</v>
          </cell>
        </row>
        <row r="10982">
          <cell r="A10982" t="str">
            <v>SERVYRE</v>
          </cell>
          <cell r="B10982" t="str">
            <v>531-25044-007-0000</v>
          </cell>
          <cell r="J10982">
            <v>7647656.29</v>
          </cell>
        </row>
        <row r="10983">
          <cell r="A10983" t="str">
            <v>SERVYRE</v>
          </cell>
          <cell r="B10983" t="str">
            <v>531-25044-007-0010</v>
          </cell>
          <cell r="J10983">
            <v>-1685.75</v>
          </cell>
        </row>
        <row r="10984">
          <cell r="A10984" t="str">
            <v>SERVYRE</v>
          </cell>
          <cell r="B10984" t="str">
            <v>531-25044-007-0050</v>
          </cell>
          <cell r="J10984">
            <v>5198.24</v>
          </cell>
        </row>
        <row r="10985">
          <cell r="A10985" t="str">
            <v>SERVYRE</v>
          </cell>
          <cell r="B10985" t="str">
            <v>531-25044-007-0070</v>
          </cell>
          <cell r="J10985">
            <v>7644143.7999999998</v>
          </cell>
        </row>
        <row r="10986">
          <cell r="A10986" t="str">
            <v>SERVYRE</v>
          </cell>
          <cell r="B10986" t="str">
            <v>531-25044-031-0000</v>
          </cell>
          <cell r="J10986">
            <v>6199.92</v>
          </cell>
        </row>
        <row r="10987">
          <cell r="A10987" t="str">
            <v>SERVYRE</v>
          </cell>
          <cell r="B10987" t="str">
            <v>531-25044-031-0002</v>
          </cell>
          <cell r="J10987">
            <v>4711.9399999999996</v>
          </cell>
        </row>
        <row r="10988">
          <cell r="A10988" t="str">
            <v>SERVYRE</v>
          </cell>
          <cell r="B10988" t="str">
            <v>531-25044-031-0005</v>
          </cell>
          <cell r="J10988">
            <v>1487.98</v>
          </cell>
        </row>
        <row r="10989">
          <cell r="A10989" t="str">
            <v>SERVYRE</v>
          </cell>
          <cell r="B10989" t="str">
            <v>531-25045-000-0000</v>
          </cell>
          <cell r="J10989">
            <v>-805158.85</v>
          </cell>
        </row>
        <row r="10990">
          <cell r="A10990" t="str">
            <v>SERVYRE</v>
          </cell>
          <cell r="B10990" t="str">
            <v>531-25045-004-0000</v>
          </cell>
          <cell r="J10990">
            <v>79345.14</v>
          </cell>
        </row>
        <row r="10991">
          <cell r="A10991" t="str">
            <v>SERVYRE</v>
          </cell>
          <cell r="B10991" t="str">
            <v>531-25045-004-0001</v>
          </cell>
          <cell r="J10991">
            <v>35347.57</v>
          </cell>
        </row>
        <row r="10992">
          <cell r="A10992" t="str">
            <v>SERVYRE</v>
          </cell>
          <cell r="B10992" t="str">
            <v>531-25045-004-0002</v>
          </cell>
          <cell r="J10992">
            <v>28098.92</v>
          </cell>
        </row>
        <row r="10993">
          <cell r="A10993" t="str">
            <v>SERVYRE</v>
          </cell>
          <cell r="B10993" t="str">
            <v>531-25045-004-0003</v>
          </cell>
          <cell r="J10993">
            <v>456.89</v>
          </cell>
        </row>
        <row r="10994">
          <cell r="A10994" t="str">
            <v>SERVYRE</v>
          </cell>
          <cell r="B10994" t="str">
            <v>531-25045-004-0004</v>
          </cell>
          <cell r="J10994">
            <v>356.9</v>
          </cell>
        </row>
        <row r="10995">
          <cell r="A10995" t="str">
            <v>SERVYRE</v>
          </cell>
          <cell r="B10995" t="str">
            <v>531-25045-004-0005</v>
          </cell>
          <cell r="J10995">
            <v>1878.86</v>
          </cell>
        </row>
        <row r="10996">
          <cell r="A10996" t="str">
            <v>SERVYRE</v>
          </cell>
          <cell r="B10996" t="str">
            <v>531-25045-004-0009</v>
          </cell>
          <cell r="J10996">
            <v>189.65</v>
          </cell>
        </row>
        <row r="10997">
          <cell r="A10997" t="str">
            <v>SERVYRE</v>
          </cell>
          <cell r="B10997" t="str">
            <v>531-25045-004-0013</v>
          </cell>
          <cell r="J10997">
            <v>11162.9</v>
          </cell>
        </row>
        <row r="10998">
          <cell r="A10998" t="str">
            <v>SERVYRE</v>
          </cell>
          <cell r="B10998" t="str">
            <v>531-25045-004-0014</v>
          </cell>
          <cell r="J10998">
            <v>1853.45</v>
          </cell>
        </row>
        <row r="10999">
          <cell r="A10999" t="str">
            <v>SERVYRE</v>
          </cell>
          <cell r="B10999" t="str">
            <v>531-25045-007-0000</v>
          </cell>
          <cell r="J10999">
            <v>-884503.99</v>
          </cell>
        </row>
        <row r="11000">
          <cell r="A11000" t="str">
            <v>SERVYRE</v>
          </cell>
          <cell r="B11000" t="str">
            <v>531-25045-007-0010</v>
          </cell>
          <cell r="J11000">
            <v>-55203.44</v>
          </cell>
        </row>
        <row r="11001">
          <cell r="A11001" t="str">
            <v>SERVYRE</v>
          </cell>
          <cell r="B11001" t="str">
            <v>531-25045-007-0030</v>
          </cell>
          <cell r="J11001">
            <v>4071</v>
          </cell>
        </row>
        <row r="11002">
          <cell r="A11002" t="str">
            <v>SERVYRE</v>
          </cell>
          <cell r="B11002" t="str">
            <v>531-25045-007-0050</v>
          </cell>
          <cell r="J11002">
            <v>-798722.17</v>
          </cell>
        </row>
        <row r="11003">
          <cell r="A11003" t="str">
            <v>SERVYRE</v>
          </cell>
          <cell r="B11003" t="str">
            <v>531-25045-007-0060</v>
          </cell>
          <cell r="J11003">
            <v>-34649.379999999997</v>
          </cell>
        </row>
        <row r="11004">
          <cell r="A11004" t="str">
            <v>SERVYRE</v>
          </cell>
          <cell r="B11004" t="str">
            <v>531-25046-000-0000</v>
          </cell>
          <cell r="J11004">
            <v>3131531.25</v>
          </cell>
        </row>
        <row r="11005">
          <cell r="A11005" t="str">
            <v>SERVYRE</v>
          </cell>
          <cell r="B11005" t="str">
            <v>531-25046-004-0000</v>
          </cell>
          <cell r="J11005">
            <v>519962.13</v>
          </cell>
        </row>
        <row r="11006">
          <cell r="A11006" t="str">
            <v>SERVYRE</v>
          </cell>
          <cell r="B11006" t="str">
            <v>531-25046-004-0001</v>
          </cell>
          <cell r="J11006">
            <v>71236.28</v>
          </cell>
        </row>
        <row r="11007">
          <cell r="A11007" t="str">
            <v>SERVYRE</v>
          </cell>
          <cell r="B11007" t="str">
            <v>531-25046-004-0002</v>
          </cell>
          <cell r="J11007">
            <v>203808.56</v>
          </cell>
        </row>
        <row r="11008">
          <cell r="A11008" t="str">
            <v>SERVYRE</v>
          </cell>
          <cell r="B11008" t="str">
            <v>531-25046-004-0003</v>
          </cell>
          <cell r="J11008">
            <v>157594.49</v>
          </cell>
        </row>
        <row r="11009">
          <cell r="A11009" t="str">
            <v>SERVYRE</v>
          </cell>
          <cell r="B11009" t="str">
            <v>531-25046-004-0004</v>
          </cell>
          <cell r="J11009">
            <v>11617.99</v>
          </cell>
        </row>
        <row r="11010">
          <cell r="A11010" t="str">
            <v>SERVYRE</v>
          </cell>
          <cell r="B11010" t="str">
            <v>531-25046-004-0005</v>
          </cell>
          <cell r="J11010">
            <v>11960.78</v>
          </cell>
        </row>
        <row r="11011">
          <cell r="A11011" t="str">
            <v>SERVYRE</v>
          </cell>
          <cell r="B11011" t="str">
            <v>531-25046-004-0006</v>
          </cell>
          <cell r="J11011">
            <v>4221.78</v>
          </cell>
        </row>
        <row r="11012">
          <cell r="A11012" t="str">
            <v>SERVYRE</v>
          </cell>
          <cell r="B11012" t="str">
            <v>531-25046-004-0009</v>
          </cell>
          <cell r="J11012">
            <v>3566.95</v>
          </cell>
        </row>
        <row r="11013">
          <cell r="A11013" t="str">
            <v>SERVYRE</v>
          </cell>
          <cell r="B11013" t="str">
            <v>531-25046-004-0011</v>
          </cell>
          <cell r="J11013">
            <v>10934.15</v>
          </cell>
        </row>
        <row r="11014">
          <cell r="A11014" t="str">
            <v>SERVYRE</v>
          </cell>
          <cell r="B11014" t="str">
            <v>531-25046-004-0013</v>
          </cell>
          <cell r="J11014">
            <v>44859.08</v>
          </cell>
        </row>
        <row r="11015">
          <cell r="A11015" t="str">
            <v>SERVYRE</v>
          </cell>
          <cell r="B11015" t="str">
            <v>531-25046-004-0014</v>
          </cell>
          <cell r="J11015">
            <v>162.07</v>
          </cell>
        </row>
        <row r="11016">
          <cell r="A11016" t="str">
            <v>SERVYRE</v>
          </cell>
          <cell r="B11016" t="str">
            <v>531-25046-007-0000</v>
          </cell>
          <cell r="J11016">
            <v>2159878.44</v>
          </cell>
        </row>
        <row r="11017">
          <cell r="A11017" t="str">
            <v>SERVYRE</v>
          </cell>
          <cell r="B11017" t="str">
            <v>531-25046-007-0010</v>
          </cell>
          <cell r="J11017">
            <v>22950.12</v>
          </cell>
        </row>
        <row r="11018">
          <cell r="A11018" t="str">
            <v>SERVYRE</v>
          </cell>
          <cell r="B11018" t="str">
            <v>531-25046-007-0020</v>
          </cell>
          <cell r="J11018">
            <v>1912.25</v>
          </cell>
        </row>
        <row r="11019">
          <cell r="A11019" t="str">
            <v>SERVYRE</v>
          </cell>
          <cell r="B11019" t="str">
            <v>531-25046-007-0030</v>
          </cell>
          <cell r="J11019">
            <v>39754</v>
          </cell>
        </row>
        <row r="11020">
          <cell r="A11020" t="str">
            <v>SERVYRE</v>
          </cell>
          <cell r="B11020" t="str">
            <v>531-25046-007-0050</v>
          </cell>
          <cell r="J11020">
            <v>2069073.32</v>
          </cell>
        </row>
        <row r="11021">
          <cell r="A11021" t="str">
            <v>SERVYRE</v>
          </cell>
          <cell r="B11021" t="str">
            <v>531-25046-007-0060</v>
          </cell>
          <cell r="J11021">
            <v>25984</v>
          </cell>
        </row>
        <row r="11022">
          <cell r="A11022" t="str">
            <v>SERVYRE</v>
          </cell>
          <cell r="B11022" t="str">
            <v>531-25046-007-0070</v>
          </cell>
          <cell r="J11022">
            <v>204.75</v>
          </cell>
        </row>
        <row r="11023">
          <cell r="A11023" t="str">
            <v>SERVYRE</v>
          </cell>
          <cell r="B11023" t="str">
            <v>531-25046-009-0000</v>
          </cell>
          <cell r="J11023">
            <v>426228.26</v>
          </cell>
        </row>
        <row r="11024">
          <cell r="A11024" t="str">
            <v>SERVYRE</v>
          </cell>
          <cell r="B11024" t="str">
            <v>531-25046-031-0000</v>
          </cell>
          <cell r="J11024">
            <v>25462.42</v>
          </cell>
        </row>
        <row r="11025">
          <cell r="A11025" t="str">
            <v>SERVYRE</v>
          </cell>
          <cell r="B11025" t="str">
            <v>531-25046-031-0002</v>
          </cell>
          <cell r="J11025">
            <v>19351.439999999999</v>
          </cell>
        </row>
        <row r="11026">
          <cell r="A11026" t="str">
            <v>SERVYRE</v>
          </cell>
          <cell r="B11026" t="str">
            <v>531-25046-031-0005</v>
          </cell>
          <cell r="J11026">
            <v>6110.98</v>
          </cell>
        </row>
        <row r="11027">
          <cell r="A11027" t="str">
            <v>SERVYRE</v>
          </cell>
          <cell r="B11027" t="str">
            <v>531-25047-000-0000</v>
          </cell>
          <cell r="J11027">
            <v>1459223.64</v>
          </cell>
        </row>
        <row r="11028">
          <cell r="A11028" t="str">
            <v>SERVYRE</v>
          </cell>
          <cell r="B11028" t="str">
            <v>531-25047-004-0000</v>
          </cell>
          <cell r="J11028">
            <v>143114.78</v>
          </cell>
        </row>
        <row r="11029">
          <cell r="A11029" t="str">
            <v>SERVYRE</v>
          </cell>
          <cell r="B11029" t="str">
            <v>531-25047-004-0001</v>
          </cell>
          <cell r="J11029">
            <v>23346.41</v>
          </cell>
        </row>
        <row r="11030">
          <cell r="A11030" t="str">
            <v>SERVYRE</v>
          </cell>
          <cell r="B11030" t="str">
            <v>531-25047-004-0002</v>
          </cell>
          <cell r="J11030">
            <v>40197.129999999997</v>
          </cell>
        </row>
        <row r="11031">
          <cell r="A11031" t="str">
            <v>SERVYRE</v>
          </cell>
          <cell r="B11031" t="str">
            <v>531-25047-004-0003</v>
          </cell>
          <cell r="J11031">
            <v>37633.46</v>
          </cell>
        </row>
        <row r="11032">
          <cell r="A11032" t="str">
            <v>SERVYRE</v>
          </cell>
          <cell r="B11032" t="str">
            <v>531-25047-004-0004</v>
          </cell>
          <cell r="J11032">
            <v>409.49</v>
          </cell>
        </row>
        <row r="11033">
          <cell r="A11033" t="str">
            <v>SERVYRE</v>
          </cell>
          <cell r="B11033" t="str">
            <v>531-25047-004-0005</v>
          </cell>
          <cell r="J11033">
            <v>24420.32</v>
          </cell>
        </row>
        <row r="11034">
          <cell r="A11034" t="str">
            <v>SERVYRE</v>
          </cell>
          <cell r="B11034" t="str">
            <v>531-25047-004-0009</v>
          </cell>
          <cell r="J11034">
            <v>3156.17</v>
          </cell>
        </row>
        <row r="11035">
          <cell r="A11035" t="str">
            <v>SERVYRE</v>
          </cell>
          <cell r="B11035" t="str">
            <v>531-25047-004-0011</v>
          </cell>
          <cell r="J11035">
            <v>257.76</v>
          </cell>
        </row>
        <row r="11036">
          <cell r="A11036" t="str">
            <v>SERVYRE</v>
          </cell>
          <cell r="B11036" t="str">
            <v>531-25047-004-0013</v>
          </cell>
          <cell r="J11036">
            <v>12023.2</v>
          </cell>
        </row>
        <row r="11037">
          <cell r="A11037" t="str">
            <v>SERVYRE</v>
          </cell>
          <cell r="B11037" t="str">
            <v>531-25047-004-0014</v>
          </cell>
          <cell r="J11037">
            <v>1670.84</v>
          </cell>
        </row>
        <row r="11038">
          <cell r="A11038" t="str">
            <v>SERVYRE</v>
          </cell>
          <cell r="B11038" t="str">
            <v>531-25047-007-0000</v>
          </cell>
          <cell r="J11038">
            <v>1261527.49</v>
          </cell>
        </row>
        <row r="11039">
          <cell r="A11039" t="str">
            <v>SERVYRE</v>
          </cell>
          <cell r="B11039" t="str">
            <v>531-25047-007-0010</v>
          </cell>
          <cell r="J11039">
            <v>795503.62</v>
          </cell>
        </row>
        <row r="11040">
          <cell r="A11040" t="str">
            <v>SERVYRE</v>
          </cell>
          <cell r="B11040" t="str">
            <v>531-25047-007-0020</v>
          </cell>
          <cell r="J11040">
            <v>26454.59</v>
          </cell>
        </row>
        <row r="11041">
          <cell r="A11041" t="str">
            <v>SERVYRE</v>
          </cell>
          <cell r="B11041" t="str">
            <v>531-25047-007-0030</v>
          </cell>
          <cell r="J11041">
            <v>20332.79</v>
          </cell>
        </row>
        <row r="11042">
          <cell r="A11042" t="str">
            <v>SERVYRE</v>
          </cell>
          <cell r="B11042" t="str">
            <v>531-25047-007-0050</v>
          </cell>
          <cell r="J11042">
            <v>70218.16</v>
          </cell>
        </row>
        <row r="11043">
          <cell r="A11043" t="str">
            <v>SERVYRE</v>
          </cell>
          <cell r="B11043" t="str">
            <v>531-25047-007-0060</v>
          </cell>
          <cell r="J11043">
            <v>346504.75</v>
          </cell>
        </row>
        <row r="11044">
          <cell r="A11044" t="str">
            <v>SERVYRE</v>
          </cell>
          <cell r="B11044" t="str">
            <v>531-25047-007-0070</v>
          </cell>
          <cell r="J11044">
            <v>2513.58</v>
          </cell>
        </row>
        <row r="11045">
          <cell r="A11045" t="str">
            <v>SERVYRE</v>
          </cell>
          <cell r="B11045" t="str">
            <v>531-25047-031-0000</v>
          </cell>
          <cell r="J11045">
            <v>54581.37</v>
          </cell>
        </row>
        <row r="11046">
          <cell r="A11046" t="str">
            <v>SERVYRE</v>
          </cell>
          <cell r="B11046" t="str">
            <v>531-25047-031-0002</v>
          </cell>
          <cell r="J11046">
            <v>41481.839999999997</v>
          </cell>
        </row>
        <row r="11047">
          <cell r="A11047" t="str">
            <v>SERVYRE</v>
          </cell>
          <cell r="B11047" t="str">
            <v>531-25047-031-0005</v>
          </cell>
          <cell r="J11047">
            <v>13099.53</v>
          </cell>
        </row>
        <row r="11048">
          <cell r="A11048" t="str">
            <v>SERVYRE</v>
          </cell>
          <cell r="B11048" t="str">
            <v>531-25403-000-0000</v>
          </cell>
          <cell r="J11048">
            <v>6468.13</v>
          </cell>
        </row>
        <row r="11049">
          <cell r="A11049" t="str">
            <v>SERVYRE</v>
          </cell>
          <cell r="B11049" t="str">
            <v>531-25403-004-0000</v>
          </cell>
          <cell r="J11049">
            <v>6468.13</v>
          </cell>
        </row>
        <row r="11050">
          <cell r="A11050" t="str">
            <v>SERVYRE</v>
          </cell>
          <cell r="B11050" t="str">
            <v>531-25403-004-0001</v>
          </cell>
          <cell r="J11050">
            <v>1510.74</v>
          </cell>
        </row>
        <row r="11051">
          <cell r="A11051" t="str">
            <v>SERVYRE</v>
          </cell>
          <cell r="B11051" t="str">
            <v>531-25403-004-0002</v>
          </cell>
          <cell r="J11051">
            <v>4362.5600000000004</v>
          </cell>
        </row>
        <row r="11052">
          <cell r="A11052" t="str">
            <v>SERVYRE</v>
          </cell>
          <cell r="B11052" t="str">
            <v>531-25403-004-0003</v>
          </cell>
          <cell r="J11052">
            <v>594.83000000000004</v>
          </cell>
        </row>
        <row r="11053">
          <cell r="A11053" t="str">
            <v>SERVYRE</v>
          </cell>
          <cell r="B11053" t="str">
            <v>531-25406-000-0000</v>
          </cell>
          <cell r="J11053">
            <v>103718</v>
          </cell>
        </row>
        <row r="11054">
          <cell r="A11054" t="str">
            <v>SERVYRE</v>
          </cell>
          <cell r="B11054" t="str">
            <v>531-25406-004-0000</v>
          </cell>
          <cell r="J11054">
            <v>5938.98</v>
          </cell>
        </row>
        <row r="11055">
          <cell r="A11055" t="str">
            <v>SERVYRE</v>
          </cell>
          <cell r="B11055" t="str">
            <v>531-25406-004-0001</v>
          </cell>
          <cell r="J11055">
            <v>647.87</v>
          </cell>
        </row>
        <row r="11056">
          <cell r="A11056" t="str">
            <v>SERVYRE</v>
          </cell>
          <cell r="B11056" t="str">
            <v>531-25406-004-0002</v>
          </cell>
          <cell r="J11056">
            <v>1291.5999999999999</v>
          </cell>
        </row>
        <row r="11057">
          <cell r="A11057" t="str">
            <v>SERVYRE</v>
          </cell>
          <cell r="B11057" t="str">
            <v>531-25406-004-0005</v>
          </cell>
          <cell r="J11057">
            <v>690</v>
          </cell>
        </row>
        <row r="11058">
          <cell r="A11058" t="str">
            <v>SERVYRE</v>
          </cell>
          <cell r="B11058" t="str">
            <v>531-25406-004-0009</v>
          </cell>
          <cell r="J11058">
            <v>346.55</v>
          </cell>
        </row>
        <row r="11059">
          <cell r="A11059" t="str">
            <v>SERVYRE</v>
          </cell>
          <cell r="B11059" t="str">
            <v>531-25406-004-0013</v>
          </cell>
          <cell r="J11059">
            <v>2962.96</v>
          </cell>
        </row>
        <row r="11060">
          <cell r="A11060" t="str">
            <v>SERVYRE</v>
          </cell>
          <cell r="B11060" t="str">
            <v>531-25406-007-0000</v>
          </cell>
          <cell r="J11060">
            <v>97779.02</v>
          </cell>
        </row>
        <row r="11061">
          <cell r="A11061" t="str">
            <v>SERVYRE</v>
          </cell>
          <cell r="B11061" t="str">
            <v>531-25406-007-0050</v>
          </cell>
          <cell r="J11061">
            <v>97779.02</v>
          </cell>
        </row>
        <row r="11062">
          <cell r="A11062" t="str">
            <v>SERVYRE</v>
          </cell>
          <cell r="B11062" t="str">
            <v>531-26004-000-0000</v>
          </cell>
          <cell r="J11062">
            <v>2554498.4500000002</v>
          </cell>
        </row>
        <row r="11063">
          <cell r="A11063" t="str">
            <v>SERVYRE</v>
          </cell>
          <cell r="B11063" t="str">
            <v>531-26004-004-0000</v>
          </cell>
          <cell r="J11063">
            <v>249055.28</v>
          </cell>
        </row>
        <row r="11064">
          <cell r="A11064" t="str">
            <v>SERVYRE</v>
          </cell>
          <cell r="B11064" t="str">
            <v>531-26004-004-0001</v>
          </cell>
          <cell r="J11064">
            <v>53124.21</v>
          </cell>
        </row>
        <row r="11065">
          <cell r="A11065" t="str">
            <v>SERVYRE</v>
          </cell>
          <cell r="B11065" t="str">
            <v>531-26004-004-0002</v>
          </cell>
          <cell r="J11065">
            <v>65803.13</v>
          </cell>
        </row>
        <row r="11066">
          <cell r="A11066" t="str">
            <v>SERVYRE</v>
          </cell>
          <cell r="B11066" t="str">
            <v>531-26004-004-0003</v>
          </cell>
          <cell r="J11066">
            <v>82207.86</v>
          </cell>
        </row>
        <row r="11067">
          <cell r="A11067" t="str">
            <v>SERVYRE</v>
          </cell>
          <cell r="B11067" t="str">
            <v>531-26004-004-0004</v>
          </cell>
          <cell r="J11067">
            <v>11548.97</v>
          </cell>
        </row>
        <row r="11068">
          <cell r="A11068" t="str">
            <v>SERVYRE</v>
          </cell>
          <cell r="B11068" t="str">
            <v>531-26004-004-0005</v>
          </cell>
          <cell r="J11068">
            <v>30620.37</v>
          </cell>
        </row>
        <row r="11069">
          <cell r="A11069" t="str">
            <v>SERVYRE</v>
          </cell>
          <cell r="B11069" t="str">
            <v>531-26004-004-0011</v>
          </cell>
          <cell r="J11069">
            <v>268.97000000000003</v>
          </cell>
        </row>
        <row r="11070">
          <cell r="A11070" t="str">
            <v>SERVYRE</v>
          </cell>
          <cell r="B11070" t="str">
            <v>531-26004-004-0013</v>
          </cell>
          <cell r="J11070">
            <v>5010.0200000000004</v>
          </cell>
        </row>
        <row r="11071">
          <cell r="A11071" t="str">
            <v>SERVYRE</v>
          </cell>
          <cell r="B11071" t="str">
            <v>531-26004-004-0014</v>
          </cell>
          <cell r="J11071">
            <v>471.75</v>
          </cell>
        </row>
        <row r="11072">
          <cell r="A11072" t="str">
            <v>SERVYRE</v>
          </cell>
          <cell r="B11072" t="str">
            <v>531-26004-007-0000</v>
          </cell>
          <cell r="J11072">
            <v>2162452.35</v>
          </cell>
        </row>
        <row r="11073">
          <cell r="A11073" t="str">
            <v>SERVYRE</v>
          </cell>
          <cell r="B11073" t="str">
            <v>531-26004-007-0010</v>
          </cell>
          <cell r="J11073">
            <v>523.33000000000004</v>
          </cell>
        </row>
        <row r="11074">
          <cell r="A11074" t="str">
            <v>SERVYRE</v>
          </cell>
          <cell r="B11074" t="str">
            <v>531-26004-007-0020</v>
          </cell>
          <cell r="J11074">
            <v>1274145.29</v>
          </cell>
        </row>
        <row r="11075">
          <cell r="A11075" t="str">
            <v>SERVYRE</v>
          </cell>
          <cell r="B11075" t="str">
            <v>531-26004-007-0060</v>
          </cell>
          <cell r="J11075">
            <v>812196.78</v>
          </cell>
        </row>
        <row r="11076">
          <cell r="A11076" t="str">
            <v>SERVYRE</v>
          </cell>
          <cell r="B11076" t="str">
            <v>531-26004-007-0070</v>
          </cell>
          <cell r="J11076">
            <v>75586.95</v>
          </cell>
        </row>
        <row r="11077">
          <cell r="A11077" t="str">
            <v>SERVYRE</v>
          </cell>
          <cell r="B11077" t="str">
            <v>531-26004-009-0000</v>
          </cell>
          <cell r="J11077">
            <v>66798</v>
          </cell>
        </row>
        <row r="11078">
          <cell r="A11078" t="str">
            <v>SERVYRE</v>
          </cell>
          <cell r="B11078" t="str">
            <v>531-26004-031-0000</v>
          </cell>
          <cell r="J11078">
            <v>76192.820000000007</v>
          </cell>
        </row>
        <row r="11079">
          <cell r="A11079" t="str">
            <v>SERVYRE</v>
          </cell>
          <cell r="B11079" t="str">
            <v>531-26004-031-0002</v>
          </cell>
          <cell r="J11079">
            <v>57906.54</v>
          </cell>
        </row>
        <row r="11080">
          <cell r="A11080" t="str">
            <v>SERVYRE</v>
          </cell>
          <cell r="B11080" t="str">
            <v>531-26004-031-0005</v>
          </cell>
          <cell r="J11080">
            <v>18286.28</v>
          </cell>
        </row>
        <row r="11081">
          <cell r="A11081" t="str">
            <v>SERVYRE</v>
          </cell>
          <cell r="B11081" t="str">
            <v>531-26005-000-0000</v>
          </cell>
          <cell r="J11081">
            <v>820367.05</v>
          </cell>
        </row>
        <row r="11082">
          <cell r="A11082" t="str">
            <v>SERVYRE</v>
          </cell>
          <cell r="B11082" t="str">
            <v>531-26005-004-0000</v>
          </cell>
          <cell r="J11082">
            <v>34968.300000000003</v>
          </cell>
        </row>
        <row r="11083">
          <cell r="A11083" t="str">
            <v>SERVYRE</v>
          </cell>
          <cell r="B11083" t="str">
            <v>531-26005-004-0001</v>
          </cell>
          <cell r="J11083">
            <v>5414.54</v>
          </cell>
        </row>
        <row r="11084">
          <cell r="A11084" t="str">
            <v>SERVYRE</v>
          </cell>
          <cell r="B11084" t="str">
            <v>531-26005-004-0002</v>
          </cell>
          <cell r="J11084">
            <v>9320.7999999999993</v>
          </cell>
        </row>
        <row r="11085">
          <cell r="A11085" t="str">
            <v>SERVYRE</v>
          </cell>
          <cell r="B11085" t="str">
            <v>531-26005-004-0003</v>
          </cell>
          <cell r="J11085">
            <v>6086.2</v>
          </cell>
        </row>
        <row r="11086">
          <cell r="A11086" t="str">
            <v>SERVYRE</v>
          </cell>
          <cell r="B11086" t="str">
            <v>531-26005-004-0005</v>
          </cell>
          <cell r="J11086">
            <v>9976.49</v>
          </cell>
        </row>
        <row r="11087">
          <cell r="A11087" t="str">
            <v>SERVYRE</v>
          </cell>
          <cell r="B11087" t="str">
            <v>531-26005-004-0013</v>
          </cell>
          <cell r="J11087">
            <v>3981.48</v>
          </cell>
        </row>
        <row r="11088">
          <cell r="A11088" t="str">
            <v>SERVYRE</v>
          </cell>
          <cell r="B11088" t="str">
            <v>531-26005-004-0014</v>
          </cell>
          <cell r="J11088">
            <v>188.79</v>
          </cell>
        </row>
        <row r="11089">
          <cell r="A11089" t="str">
            <v>SERVYRE</v>
          </cell>
          <cell r="B11089" t="str">
            <v>531-26005-007-0000</v>
          </cell>
          <cell r="J11089">
            <v>780111.6</v>
          </cell>
        </row>
        <row r="11090">
          <cell r="A11090" t="str">
            <v>SERVYRE</v>
          </cell>
          <cell r="B11090" t="str">
            <v>531-26005-007-0010</v>
          </cell>
          <cell r="J11090">
            <v>490.62</v>
          </cell>
        </row>
        <row r="11091">
          <cell r="A11091" t="str">
            <v>SERVYRE</v>
          </cell>
          <cell r="B11091" t="str">
            <v>531-26005-007-0020</v>
          </cell>
          <cell r="J11091">
            <v>522992.02</v>
          </cell>
        </row>
        <row r="11092">
          <cell r="A11092" t="str">
            <v>SERVYRE</v>
          </cell>
          <cell r="B11092" t="str">
            <v>531-26005-007-0060</v>
          </cell>
          <cell r="J11092">
            <v>256628.96</v>
          </cell>
        </row>
        <row r="11093">
          <cell r="A11093" t="str">
            <v>SERVYRE</v>
          </cell>
          <cell r="B11093" t="str">
            <v>531-26005-031-0000</v>
          </cell>
          <cell r="J11093">
            <v>5287.15</v>
          </cell>
        </row>
        <row r="11094">
          <cell r="A11094" t="str">
            <v>SERVYRE</v>
          </cell>
          <cell r="B11094" t="str">
            <v>531-26005-031-0002</v>
          </cell>
          <cell r="J11094">
            <v>4018.23</v>
          </cell>
        </row>
        <row r="11095">
          <cell r="A11095" t="str">
            <v>SERVYRE</v>
          </cell>
          <cell r="B11095" t="str">
            <v>531-26005-031-0005</v>
          </cell>
          <cell r="J11095">
            <v>1268.92</v>
          </cell>
        </row>
        <row r="11096">
          <cell r="A11096" t="str">
            <v>SERVYRE</v>
          </cell>
          <cell r="B11096" t="str">
            <v>531-26006-000-0000</v>
          </cell>
          <cell r="J11096">
            <v>509816.77</v>
          </cell>
        </row>
        <row r="11097">
          <cell r="A11097" t="str">
            <v>SERVYRE</v>
          </cell>
          <cell r="B11097" t="str">
            <v>531-26006-004-0000</v>
          </cell>
          <cell r="J11097">
            <v>158967.07999999999</v>
          </cell>
        </row>
        <row r="11098">
          <cell r="A11098" t="str">
            <v>SERVYRE</v>
          </cell>
          <cell r="B11098" t="str">
            <v>531-26006-004-0001</v>
          </cell>
          <cell r="J11098">
            <v>25910.95</v>
          </cell>
        </row>
        <row r="11099">
          <cell r="A11099" t="str">
            <v>SERVYRE</v>
          </cell>
          <cell r="B11099" t="str">
            <v>531-26006-004-0002</v>
          </cell>
          <cell r="J11099">
            <v>32301.439999999999</v>
          </cell>
        </row>
        <row r="11100">
          <cell r="A11100" t="str">
            <v>SERVYRE</v>
          </cell>
          <cell r="B11100" t="str">
            <v>531-26006-004-0003</v>
          </cell>
          <cell r="J11100">
            <v>42580.4</v>
          </cell>
        </row>
        <row r="11101">
          <cell r="A11101" t="str">
            <v>SERVYRE</v>
          </cell>
          <cell r="B11101" t="str">
            <v>531-26006-004-0005</v>
          </cell>
          <cell r="J11101">
            <v>54986.47</v>
          </cell>
        </row>
        <row r="11102">
          <cell r="A11102" t="str">
            <v>SERVYRE</v>
          </cell>
          <cell r="B11102" t="str">
            <v>531-26006-004-0006</v>
          </cell>
          <cell r="J11102">
            <v>189.66</v>
          </cell>
        </row>
        <row r="11103">
          <cell r="A11103" t="str">
            <v>SERVYRE</v>
          </cell>
          <cell r="B11103" t="str">
            <v>531-26006-004-0011</v>
          </cell>
          <cell r="J11103">
            <v>103.29</v>
          </cell>
        </row>
        <row r="11104">
          <cell r="A11104" t="str">
            <v>SERVYRE</v>
          </cell>
          <cell r="B11104" t="str">
            <v>531-26006-004-0013</v>
          </cell>
          <cell r="J11104">
            <v>2723.31</v>
          </cell>
        </row>
        <row r="11105">
          <cell r="A11105" t="str">
            <v>SERVYRE</v>
          </cell>
          <cell r="B11105" t="str">
            <v>531-26006-004-0014</v>
          </cell>
          <cell r="J11105">
            <v>171.56</v>
          </cell>
        </row>
        <row r="11106">
          <cell r="A11106" t="str">
            <v>SERVYRE</v>
          </cell>
          <cell r="B11106" t="str">
            <v>531-26006-007-0000</v>
          </cell>
          <cell r="J11106">
            <v>347188.57</v>
          </cell>
        </row>
        <row r="11107">
          <cell r="A11107" t="str">
            <v>SERVYRE</v>
          </cell>
          <cell r="B11107" t="str">
            <v>531-26006-007-0010</v>
          </cell>
          <cell r="J11107">
            <v>327.08</v>
          </cell>
        </row>
        <row r="11108">
          <cell r="A11108" t="str">
            <v>SERVYRE</v>
          </cell>
          <cell r="B11108" t="str">
            <v>531-26006-007-0020</v>
          </cell>
          <cell r="J11108">
            <v>234960.48</v>
          </cell>
        </row>
        <row r="11109">
          <cell r="A11109" t="str">
            <v>SERVYRE</v>
          </cell>
          <cell r="B11109" t="str">
            <v>531-26006-007-0060</v>
          </cell>
          <cell r="J11109">
            <v>111901.01</v>
          </cell>
        </row>
        <row r="11110">
          <cell r="A11110" t="str">
            <v>SERVYRE</v>
          </cell>
          <cell r="B11110" t="str">
            <v>531-26006-031-0000</v>
          </cell>
          <cell r="J11110">
            <v>3661.12</v>
          </cell>
        </row>
        <row r="11111">
          <cell r="A11111" t="str">
            <v>SERVYRE</v>
          </cell>
          <cell r="B11111" t="str">
            <v>531-26006-031-0002</v>
          </cell>
          <cell r="J11111">
            <v>2782.45</v>
          </cell>
        </row>
        <row r="11112">
          <cell r="A11112" t="str">
            <v>SERVYRE</v>
          </cell>
          <cell r="B11112" t="str">
            <v>531-26006-031-0005</v>
          </cell>
          <cell r="J11112">
            <v>878.67</v>
          </cell>
        </row>
        <row r="11113">
          <cell r="A11113" t="str">
            <v>SERVYRE</v>
          </cell>
          <cell r="B11113" t="str">
            <v>531-26007-000-0000</v>
          </cell>
          <cell r="J11113">
            <v>478002.73</v>
          </cell>
        </row>
        <row r="11114">
          <cell r="A11114" t="str">
            <v>SERVYRE</v>
          </cell>
          <cell r="B11114" t="str">
            <v>531-26007-004-0000</v>
          </cell>
          <cell r="J11114">
            <v>80811.61</v>
          </cell>
        </row>
        <row r="11115">
          <cell r="A11115" t="str">
            <v>SERVYRE</v>
          </cell>
          <cell r="B11115" t="str">
            <v>531-26007-004-0001</v>
          </cell>
          <cell r="J11115">
            <v>14395.6</v>
          </cell>
        </row>
        <row r="11116">
          <cell r="A11116" t="str">
            <v>SERVYRE</v>
          </cell>
          <cell r="B11116" t="str">
            <v>531-26007-004-0002</v>
          </cell>
          <cell r="J11116">
            <v>23004.43</v>
          </cell>
        </row>
        <row r="11117">
          <cell r="A11117" t="str">
            <v>SERVYRE</v>
          </cell>
          <cell r="B11117" t="str">
            <v>531-26007-004-0003</v>
          </cell>
          <cell r="J11117">
            <v>18887.939999999999</v>
          </cell>
        </row>
        <row r="11118">
          <cell r="A11118" t="str">
            <v>SERVYRE</v>
          </cell>
          <cell r="B11118" t="str">
            <v>531-26007-004-0005</v>
          </cell>
          <cell r="J11118">
            <v>19319.939999999999</v>
          </cell>
        </row>
        <row r="11119">
          <cell r="A11119" t="str">
            <v>SERVYRE</v>
          </cell>
          <cell r="B11119" t="str">
            <v>531-26007-004-0013</v>
          </cell>
          <cell r="J11119">
            <v>5203.7</v>
          </cell>
        </row>
        <row r="11120">
          <cell r="A11120" t="str">
            <v>SERVYRE</v>
          </cell>
          <cell r="B11120" t="str">
            <v>531-26007-007-0000</v>
          </cell>
          <cell r="J11120">
            <v>393535.92</v>
          </cell>
        </row>
        <row r="11121">
          <cell r="A11121" t="str">
            <v>SERVYRE</v>
          </cell>
          <cell r="B11121" t="str">
            <v>531-26007-007-0010</v>
          </cell>
          <cell r="J11121">
            <v>490.62</v>
          </cell>
        </row>
        <row r="11122">
          <cell r="A11122" t="str">
            <v>SERVYRE</v>
          </cell>
          <cell r="B11122" t="str">
            <v>531-26007-007-0020</v>
          </cell>
          <cell r="J11122">
            <v>264067.11</v>
          </cell>
        </row>
        <row r="11123">
          <cell r="A11123" t="str">
            <v>SERVYRE</v>
          </cell>
          <cell r="B11123" t="str">
            <v>531-26007-007-0060</v>
          </cell>
          <cell r="J11123">
            <v>128978.19</v>
          </cell>
        </row>
        <row r="11124">
          <cell r="A11124" t="str">
            <v>SERVYRE</v>
          </cell>
          <cell r="B11124" t="str">
            <v>531-26007-031-0000</v>
          </cell>
          <cell r="J11124">
            <v>3655.2</v>
          </cell>
        </row>
        <row r="11125">
          <cell r="A11125" t="str">
            <v>SERVYRE</v>
          </cell>
          <cell r="B11125" t="str">
            <v>531-26007-031-0002</v>
          </cell>
          <cell r="J11125">
            <v>2777.95</v>
          </cell>
        </row>
        <row r="11126">
          <cell r="A11126" t="str">
            <v>SERVYRE</v>
          </cell>
          <cell r="B11126" t="str">
            <v>531-26007-031-0005</v>
          </cell>
          <cell r="J11126">
            <v>877.25</v>
          </cell>
        </row>
        <row r="11127">
          <cell r="A11127" t="str">
            <v>SERVYRE</v>
          </cell>
          <cell r="B11127" t="str">
            <v>531-26008-000-0000</v>
          </cell>
          <cell r="J11127">
            <v>2024364.57</v>
          </cell>
        </row>
        <row r="11128">
          <cell r="A11128" t="str">
            <v>SERVYRE</v>
          </cell>
          <cell r="B11128" t="str">
            <v>531-26008-004-0000</v>
          </cell>
          <cell r="J11128">
            <v>81852.350000000006</v>
          </cell>
        </row>
        <row r="11129">
          <cell r="A11129" t="str">
            <v>SERVYRE</v>
          </cell>
          <cell r="B11129" t="str">
            <v>531-26008-004-0001</v>
          </cell>
          <cell r="J11129">
            <v>5674.07</v>
          </cell>
        </row>
        <row r="11130">
          <cell r="A11130" t="str">
            <v>SERVYRE</v>
          </cell>
          <cell r="B11130" t="str">
            <v>531-26008-004-0002</v>
          </cell>
          <cell r="J11130">
            <v>23609.22</v>
          </cell>
        </row>
        <row r="11131">
          <cell r="A11131" t="str">
            <v>SERVYRE</v>
          </cell>
          <cell r="B11131" t="str">
            <v>531-26008-004-0003</v>
          </cell>
          <cell r="J11131">
            <v>6451.73</v>
          </cell>
        </row>
        <row r="11132">
          <cell r="A11132" t="str">
            <v>SERVYRE</v>
          </cell>
          <cell r="B11132" t="str">
            <v>531-26008-004-0005</v>
          </cell>
          <cell r="J11132">
            <v>23318.959999999999</v>
          </cell>
        </row>
        <row r="11133">
          <cell r="A11133" t="str">
            <v>SERVYRE</v>
          </cell>
          <cell r="B11133" t="str">
            <v>531-26008-004-0011</v>
          </cell>
          <cell r="J11133">
            <v>1411.38</v>
          </cell>
        </row>
        <row r="11134">
          <cell r="A11134" t="str">
            <v>SERVYRE</v>
          </cell>
          <cell r="B11134" t="str">
            <v>531-26008-004-0013</v>
          </cell>
          <cell r="J11134">
            <v>20431.650000000001</v>
          </cell>
        </row>
        <row r="11135">
          <cell r="A11135" t="str">
            <v>SERVYRE</v>
          </cell>
          <cell r="B11135" t="str">
            <v>531-26008-004-0014</v>
          </cell>
          <cell r="J11135">
            <v>955.34</v>
          </cell>
        </row>
        <row r="11136">
          <cell r="A11136" t="str">
            <v>SERVYRE</v>
          </cell>
          <cell r="B11136" t="str">
            <v>531-26008-007-0000</v>
          </cell>
          <cell r="J11136">
            <v>1743442.09</v>
          </cell>
        </row>
        <row r="11137">
          <cell r="A11137" t="str">
            <v>SERVYRE</v>
          </cell>
          <cell r="B11137" t="str">
            <v>531-26008-007-0010</v>
          </cell>
          <cell r="J11137">
            <v>981.24</v>
          </cell>
        </row>
        <row r="11138">
          <cell r="A11138" t="str">
            <v>SERVYRE</v>
          </cell>
          <cell r="B11138" t="str">
            <v>531-26008-007-0020</v>
          </cell>
          <cell r="J11138">
            <v>1113262.3400000001</v>
          </cell>
        </row>
        <row r="11139">
          <cell r="A11139" t="str">
            <v>SERVYRE</v>
          </cell>
          <cell r="B11139" t="str">
            <v>531-26008-007-0060</v>
          </cell>
          <cell r="J11139">
            <v>543579.42000000004</v>
          </cell>
        </row>
        <row r="11140">
          <cell r="A11140" t="str">
            <v>SERVYRE</v>
          </cell>
          <cell r="B11140" t="str">
            <v>531-26008-007-0070</v>
          </cell>
          <cell r="J11140">
            <v>85619.09</v>
          </cell>
        </row>
        <row r="11141">
          <cell r="A11141" t="str">
            <v>SERVYRE</v>
          </cell>
          <cell r="B11141" t="str">
            <v>531-26008-009-0000</v>
          </cell>
          <cell r="J11141">
            <v>183456</v>
          </cell>
        </row>
        <row r="11142">
          <cell r="A11142" t="str">
            <v>SERVYRE</v>
          </cell>
          <cell r="B11142" t="str">
            <v>531-26008-031-0000</v>
          </cell>
          <cell r="J11142">
            <v>15614.13</v>
          </cell>
        </row>
        <row r="11143">
          <cell r="A11143" t="str">
            <v>SERVYRE</v>
          </cell>
          <cell r="B11143" t="str">
            <v>531-26008-031-0002</v>
          </cell>
          <cell r="J11143">
            <v>11866.74</v>
          </cell>
        </row>
        <row r="11144">
          <cell r="A11144" t="str">
            <v>SERVYRE</v>
          </cell>
          <cell r="B11144" t="str">
            <v>531-26008-031-0005</v>
          </cell>
          <cell r="J11144">
            <v>3747.39</v>
          </cell>
        </row>
        <row r="11145">
          <cell r="A11145" t="str">
            <v>SERVYRE</v>
          </cell>
          <cell r="B11145" t="str">
            <v>531-26009-000-0000</v>
          </cell>
          <cell r="J11145">
            <v>745507.85</v>
          </cell>
        </row>
        <row r="11146">
          <cell r="A11146" t="str">
            <v>SERVYRE</v>
          </cell>
          <cell r="B11146" t="str">
            <v>531-26009-004-0000</v>
          </cell>
          <cell r="J11146">
            <v>60860.33</v>
          </cell>
        </row>
        <row r="11147">
          <cell r="A11147" t="str">
            <v>SERVYRE</v>
          </cell>
          <cell r="B11147" t="str">
            <v>531-26009-004-0001</v>
          </cell>
          <cell r="J11147">
            <v>7355.86</v>
          </cell>
        </row>
        <row r="11148">
          <cell r="A11148" t="str">
            <v>SERVYRE</v>
          </cell>
          <cell r="B11148" t="str">
            <v>531-26009-004-0002</v>
          </cell>
          <cell r="J11148">
            <v>12755.23</v>
          </cell>
        </row>
        <row r="11149">
          <cell r="A11149" t="str">
            <v>SERVYRE</v>
          </cell>
          <cell r="B11149" t="str">
            <v>531-26009-004-0003</v>
          </cell>
          <cell r="J11149">
            <v>12652.07</v>
          </cell>
        </row>
        <row r="11150">
          <cell r="A11150" t="str">
            <v>SERVYRE</v>
          </cell>
          <cell r="B11150" t="str">
            <v>531-26009-004-0005</v>
          </cell>
          <cell r="J11150">
            <v>20848.400000000001</v>
          </cell>
        </row>
        <row r="11151">
          <cell r="A11151" t="str">
            <v>SERVYRE</v>
          </cell>
          <cell r="B11151" t="str">
            <v>531-26009-004-0013</v>
          </cell>
          <cell r="J11151">
            <v>7043.89</v>
          </cell>
        </row>
        <row r="11152">
          <cell r="A11152" t="str">
            <v>SERVYRE</v>
          </cell>
          <cell r="B11152" t="str">
            <v>531-26009-004-0014</v>
          </cell>
          <cell r="J11152">
            <v>204.88</v>
          </cell>
        </row>
        <row r="11153">
          <cell r="A11153" t="str">
            <v>SERVYRE</v>
          </cell>
          <cell r="B11153" t="str">
            <v>531-26009-007-0000</v>
          </cell>
          <cell r="J11153">
            <v>677776.91</v>
          </cell>
        </row>
        <row r="11154">
          <cell r="A11154" t="str">
            <v>SERVYRE</v>
          </cell>
          <cell r="B11154" t="str">
            <v>531-26009-007-0010</v>
          </cell>
          <cell r="J11154">
            <v>490.62</v>
          </cell>
        </row>
        <row r="11155">
          <cell r="A11155" t="str">
            <v>SERVYRE</v>
          </cell>
          <cell r="B11155" t="str">
            <v>531-26009-007-0020</v>
          </cell>
          <cell r="J11155">
            <v>456630.24</v>
          </cell>
        </row>
        <row r="11156">
          <cell r="A11156" t="str">
            <v>SERVYRE</v>
          </cell>
          <cell r="B11156" t="str">
            <v>531-26009-007-0060</v>
          </cell>
          <cell r="J11156">
            <v>220656.05</v>
          </cell>
        </row>
        <row r="11157">
          <cell r="A11157" t="str">
            <v>SERVYRE</v>
          </cell>
          <cell r="B11157" t="str">
            <v>531-26009-031-0000</v>
          </cell>
          <cell r="J11157">
            <v>6870.61</v>
          </cell>
        </row>
        <row r="11158">
          <cell r="A11158" t="str">
            <v>SERVYRE</v>
          </cell>
          <cell r="B11158" t="str">
            <v>531-26009-031-0002</v>
          </cell>
          <cell r="J11158">
            <v>5221.66</v>
          </cell>
        </row>
        <row r="11159">
          <cell r="A11159" t="str">
            <v>SERVYRE</v>
          </cell>
          <cell r="B11159" t="str">
            <v>531-26009-031-0005</v>
          </cell>
          <cell r="J11159">
            <v>1648.95</v>
          </cell>
        </row>
        <row r="11160">
          <cell r="A11160" t="str">
            <v>SERVYRE</v>
          </cell>
          <cell r="B11160" t="str">
            <v>531-26010-000-0000</v>
          </cell>
          <cell r="J11160">
            <v>732669.62</v>
          </cell>
        </row>
        <row r="11161">
          <cell r="A11161" t="str">
            <v>SERVYRE</v>
          </cell>
          <cell r="B11161" t="str">
            <v>531-26010-004-0000</v>
          </cell>
          <cell r="J11161">
            <v>102372.59</v>
          </cell>
        </row>
        <row r="11162">
          <cell r="A11162" t="str">
            <v>SERVYRE</v>
          </cell>
          <cell r="B11162" t="str">
            <v>531-26010-004-0001</v>
          </cell>
          <cell r="J11162">
            <v>14127.19</v>
          </cell>
        </row>
        <row r="11163">
          <cell r="A11163" t="str">
            <v>SERVYRE</v>
          </cell>
          <cell r="B11163" t="str">
            <v>531-26010-004-0002</v>
          </cell>
          <cell r="J11163">
            <v>19119.07</v>
          </cell>
        </row>
        <row r="11164">
          <cell r="A11164" t="str">
            <v>SERVYRE</v>
          </cell>
          <cell r="B11164" t="str">
            <v>531-26010-004-0003</v>
          </cell>
          <cell r="J11164">
            <v>14937.93</v>
          </cell>
        </row>
        <row r="11165">
          <cell r="A11165" t="str">
            <v>SERVYRE</v>
          </cell>
          <cell r="B11165" t="str">
            <v>531-26010-004-0005</v>
          </cell>
          <cell r="J11165">
            <v>42167.57</v>
          </cell>
        </row>
        <row r="11166">
          <cell r="A11166" t="str">
            <v>SERVYRE</v>
          </cell>
          <cell r="B11166" t="str">
            <v>531-26010-004-0009</v>
          </cell>
          <cell r="J11166">
            <v>359.49</v>
          </cell>
        </row>
        <row r="11167">
          <cell r="A11167" t="str">
            <v>SERVYRE</v>
          </cell>
          <cell r="B11167" t="str">
            <v>531-26010-004-0011</v>
          </cell>
          <cell r="J11167">
            <v>525.86</v>
          </cell>
        </row>
        <row r="11168">
          <cell r="A11168" t="str">
            <v>SERVYRE</v>
          </cell>
          <cell r="B11168" t="str">
            <v>531-26010-004-0013</v>
          </cell>
          <cell r="J11168">
            <v>11135.48</v>
          </cell>
        </row>
        <row r="11169">
          <cell r="A11169" t="str">
            <v>SERVYRE</v>
          </cell>
          <cell r="B11169" t="str">
            <v>531-26010-007-0000</v>
          </cell>
          <cell r="J11169">
            <v>626635.91</v>
          </cell>
        </row>
        <row r="11170">
          <cell r="A11170" t="str">
            <v>SERVYRE</v>
          </cell>
          <cell r="B11170" t="str">
            <v>531-26010-007-0010</v>
          </cell>
          <cell r="J11170">
            <v>359.79</v>
          </cell>
        </row>
        <row r="11171">
          <cell r="A11171" t="str">
            <v>SERVYRE</v>
          </cell>
          <cell r="B11171" t="str">
            <v>531-26010-007-0020</v>
          </cell>
          <cell r="J11171">
            <v>405836.73</v>
          </cell>
        </row>
        <row r="11172">
          <cell r="A11172" t="str">
            <v>SERVYRE</v>
          </cell>
          <cell r="B11172" t="str">
            <v>531-26010-007-0060</v>
          </cell>
          <cell r="J11172">
            <v>164530.59</v>
          </cell>
        </row>
        <row r="11173">
          <cell r="A11173" t="str">
            <v>SERVYRE</v>
          </cell>
          <cell r="B11173" t="str">
            <v>531-26010-007-0070</v>
          </cell>
          <cell r="J11173">
            <v>55908.800000000003</v>
          </cell>
        </row>
        <row r="11174">
          <cell r="A11174" t="str">
            <v>SERVYRE</v>
          </cell>
          <cell r="B11174" t="str">
            <v>531-26010-031-0000</v>
          </cell>
          <cell r="J11174">
            <v>3661.12</v>
          </cell>
        </row>
        <row r="11175">
          <cell r="A11175" t="str">
            <v>SERVYRE</v>
          </cell>
          <cell r="B11175" t="str">
            <v>531-26010-031-0002</v>
          </cell>
          <cell r="J11175">
            <v>2782.45</v>
          </cell>
        </row>
        <row r="11176">
          <cell r="A11176" t="str">
            <v>SERVYRE</v>
          </cell>
          <cell r="B11176" t="str">
            <v>531-26010-031-0005</v>
          </cell>
          <cell r="J11176">
            <v>878.67</v>
          </cell>
        </row>
        <row r="11177">
          <cell r="A11177" t="str">
            <v>SERVYRE</v>
          </cell>
          <cell r="B11177" t="str">
            <v>531-26011-000-0000</v>
          </cell>
          <cell r="J11177">
            <v>1952423.22</v>
          </cell>
        </row>
        <row r="11178">
          <cell r="A11178" t="str">
            <v>SERVYRE</v>
          </cell>
          <cell r="B11178" t="str">
            <v>531-26011-004-0000</v>
          </cell>
          <cell r="J11178">
            <v>30275.34</v>
          </cell>
        </row>
        <row r="11179">
          <cell r="A11179" t="str">
            <v>SERVYRE</v>
          </cell>
          <cell r="B11179" t="str">
            <v>531-26011-004-0001</v>
          </cell>
          <cell r="J11179">
            <v>2190.29</v>
          </cell>
        </row>
        <row r="11180">
          <cell r="A11180" t="str">
            <v>SERVYRE</v>
          </cell>
          <cell r="B11180" t="str">
            <v>531-26011-004-0002</v>
          </cell>
          <cell r="J11180">
            <v>6348.28</v>
          </cell>
        </row>
        <row r="11181">
          <cell r="A11181" t="str">
            <v>SERVYRE</v>
          </cell>
          <cell r="B11181" t="str">
            <v>531-26011-004-0003</v>
          </cell>
          <cell r="J11181">
            <v>9079.85</v>
          </cell>
        </row>
        <row r="11182">
          <cell r="A11182" t="str">
            <v>SERVYRE</v>
          </cell>
          <cell r="B11182" t="str">
            <v>531-26011-004-0005</v>
          </cell>
          <cell r="J11182">
            <v>7319.83</v>
          </cell>
        </row>
        <row r="11183">
          <cell r="A11183" t="str">
            <v>SERVYRE</v>
          </cell>
          <cell r="B11183" t="str">
            <v>531-26011-004-0011</v>
          </cell>
          <cell r="J11183">
            <v>706.9</v>
          </cell>
        </row>
        <row r="11184">
          <cell r="A11184" t="str">
            <v>SERVYRE</v>
          </cell>
          <cell r="B11184" t="str">
            <v>531-26011-004-0013</v>
          </cell>
          <cell r="J11184">
            <v>4471.8599999999997</v>
          </cell>
        </row>
        <row r="11185">
          <cell r="A11185" t="str">
            <v>SERVYRE</v>
          </cell>
          <cell r="B11185" t="str">
            <v>531-26011-004-0014</v>
          </cell>
          <cell r="J11185">
            <v>158.33000000000001</v>
          </cell>
        </row>
        <row r="11186">
          <cell r="A11186" t="str">
            <v>SERVYRE</v>
          </cell>
          <cell r="B11186" t="str">
            <v>531-26011-007-0000</v>
          </cell>
          <cell r="J11186">
            <v>1743911.32</v>
          </cell>
        </row>
        <row r="11187">
          <cell r="A11187" t="str">
            <v>SERVYRE</v>
          </cell>
          <cell r="B11187" t="str">
            <v>531-26011-007-0010</v>
          </cell>
          <cell r="J11187">
            <v>981.24</v>
          </cell>
        </row>
        <row r="11188">
          <cell r="A11188" t="str">
            <v>SERVYRE</v>
          </cell>
          <cell r="B11188" t="str">
            <v>531-26011-007-0020</v>
          </cell>
          <cell r="J11188">
            <v>1174724.08</v>
          </cell>
        </row>
        <row r="11189">
          <cell r="A11189" t="str">
            <v>SERVYRE</v>
          </cell>
          <cell r="B11189" t="str">
            <v>531-26011-007-0060</v>
          </cell>
          <cell r="J11189">
            <v>568206</v>
          </cell>
        </row>
        <row r="11190">
          <cell r="A11190" t="str">
            <v>SERVYRE</v>
          </cell>
          <cell r="B11190" t="str">
            <v>531-26011-009-0000</v>
          </cell>
          <cell r="J11190">
            <v>157348.79999999999</v>
          </cell>
        </row>
        <row r="11191">
          <cell r="A11191" t="str">
            <v>SERVYRE</v>
          </cell>
          <cell r="B11191" t="str">
            <v>531-26011-031-0000</v>
          </cell>
          <cell r="J11191">
            <v>20887.759999999998</v>
          </cell>
        </row>
        <row r="11192">
          <cell r="A11192" t="str">
            <v>SERVYRE</v>
          </cell>
          <cell r="B11192" t="str">
            <v>531-26011-031-0002</v>
          </cell>
          <cell r="J11192">
            <v>15874.7</v>
          </cell>
        </row>
        <row r="11193">
          <cell r="A11193" t="str">
            <v>SERVYRE</v>
          </cell>
          <cell r="B11193" t="str">
            <v>531-26011-031-0005</v>
          </cell>
          <cell r="J11193">
            <v>5013.0600000000004</v>
          </cell>
        </row>
        <row r="11194">
          <cell r="A11194" t="str">
            <v>SERVYRE</v>
          </cell>
          <cell r="B11194" t="str">
            <v>531-26012-000-0000</v>
          </cell>
          <cell r="J11194">
            <v>742655.01</v>
          </cell>
        </row>
        <row r="11195">
          <cell r="A11195" t="str">
            <v>SERVYRE</v>
          </cell>
          <cell r="B11195" t="str">
            <v>531-26012-004-0000</v>
          </cell>
          <cell r="J11195">
            <v>46206.59</v>
          </cell>
        </row>
        <row r="11196">
          <cell r="A11196" t="str">
            <v>SERVYRE</v>
          </cell>
          <cell r="B11196" t="str">
            <v>531-26012-004-0001</v>
          </cell>
          <cell r="J11196">
            <v>1564.5</v>
          </cell>
        </row>
        <row r="11197">
          <cell r="A11197" t="str">
            <v>SERVYRE</v>
          </cell>
          <cell r="B11197" t="str">
            <v>531-26012-004-0002</v>
          </cell>
          <cell r="J11197">
            <v>26886.92</v>
          </cell>
        </row>
        <row r="11198">
          <cell r="A11198" t="str">
            <v>SERVYRE</v>
          </cell>
          <cell r="B11198" t="str">
            <v>531-26012-004-0003</v>
          </cell>
          <cell r="J11198">
            <v>4329.3100000000004</v>
          </cell>
        </row>
        <row r="11199">
          <cell r="A11199" t="str">
            <v>SERVYRE</v>
          </cell>
          <cell r="B11199" t="str">
            <v>531-26012-004-0005</v>
          </cell>
          <cell r="J11199">
            <v>13019.82</v>
          </cell>
        </row>
        <row r="11200">
          <cell r="A11200" t="str">
            <v>SERVYRE</v>
          </cell>
          <cell r="B11200" t="str">
            <v>531-26012-004-0013</v>
          </cell>
          <cell r="J11200">
            <v>174.14</v>
          </cell>
        </row>
        <row r="11201">
          <cell r="A11201" t="str">
            <v>SERVYRE</v>
          </cell>
          <cell r="B11201" t="str">
            <v>531-26012-004-0014</v>
          </cell>
          <cell r="J11201">
            <v>231.9</v>
          </cell>
        </row>
        <row r="11202">
          <cell r="A11202" t="str">
            <v>SERVYRE</v>
          </cell>
          <cell r="B11202" t="str">
            <v>531-26012-007-0000</v>
          </cell>
          <cell r="J11202">
            <v>675559.86</v>
          </cell>
        </row>
        <row r="11203">
          <cell r="A11203" t="str">
            <v>SERVYRE</v>
          </cell>
          <cell r="B11203" t="str">
            <v>531-26012-007-0010</v>
          </cell>
          <cell r="J11203">
            <v>490.62</v>
          </cell>
        </row>
        <row r="11204">
          <cell r="A11204" t="str">
            <v>SERVYRE</v>
          </cell>
          <cell r="B11204" t="str">
            <v>531-26012-007-0020</v>
          </cell>
          <cell r="J11204">
            <v>457237.27</v>
          </cell>
        </row>
        <row r="11205">
          <cell r="A11205" t="str">
            <v>SERVYRE</v>
          </cell>
          <cell r="B11205" t="str">
            <v>531-26012-007-0060</v>
          </cell>
          <cell r="J11205">
            <v>217831.97</v>
          </cell>
        </row>
        <row r="11206">
          <cell r="A11206" t="str">
            <v>SERVYRE</v>
          </cell>
          <cell r="B11206" t="str">
            <v>531-26012-031-0000</v>
          </cell>
          <cell r="J11206">
            <v>20888.560000000001</v>
          </cell>
        </row>
        <row r="11207">
          <cell r="A11207" t="str">
            <v>SERVYRE</v>
          </cell>
          <cell r="B11207" t="str">
            <v>531-26012-031-0002</v>
          </cell>
          <cell r="J11207">
            <v>15874.7</v>
          </cell>
        </row>
        <row r="11208">
          <cell r="A11208" t="str">
            <v>SERVYRE</v>
          </cell>
          <cell r="B11208" t="str">
            <v>531-26012-031-0005</v>
          </cell>
          <cell r="J11208">
            <v>5013.8599999999997</v>
          </cell>
        </row>
        <row r="11209">
          <cell r="A11209" t="str">
            <v>SERVYRE</v>
          </cell>
          <cell r="B11209" t="str">
            <v>531-26013-000-0000</v>
          </cell>
          <cell r="J11209">
            <v>123498.1</v>
          </cell>
        </row>
        <row r="11210">
          <cell r="A11210" t="str">
            <v>SERVYRE</v>
          </cell>
          <cell r="B11210" t="str">
            <v>531-26013-004-0000</v>
          </cell>
          <cell r="J11210">
            <v>67961.13</v>
          </cell>
        </row>
        <row r="11211">
          <cell r="A11211" t="str">
            <v>SERVYRE</v>
          </cell>
          <cell r="B11211" t="str">
            <v>531-26013-004-0001</v>
          </cell>
          <cell r="J11211">
            <v>8587.14</v>
          </cell>
        </row>
        <row r="11212">
          <cell r="A11212" t="str">
            <v>SERVYRE</v>
          </cell>
          <cell r="B11212" t="str">
            <v>531-26013-004-0002</v>
          </cell>
          <cell r="J11212">
            <v>23088.09</v>
          </cell>
        </row>
        <row r="11213">
          <cell r="A11213" t="str">
            <v>SERVYRE</v>
          </cell>
          <cell r="B11213" t="str">
            <v>531-26013-004-0003</v>
          </cell>
          <cell r="J11213">
            <v>9377.01</v>
          </cell>
        </row>
        <row r="11214">
          <cell r="A11214" t="str">
            <v>SERVYRE</v>
          </cell>
          <cell r="B11214" t="str">
            <v>531-26013-004-0005</v>
          </cell>
          <cell r="J11214">
            <v>6176.07</v>
          </cell>
        </row>
        <row r="11215">
          <cell r="A11215" t="str">
            <v>SERVYRE</v>
          </cell>
          <cell r="B11215" t="str">
            <v>531-26013-004-0009</v>
          </cell>
          <cell r="J11215">
            <v>189.66</v>
          </cell>
        </row>
        <row r="11216">
          <cell r="A11216" t="str">
            <v>SERVYRE</v>
          </cell>
          <cell r="B11216" t="str">
            <v>531-26013-004-0013</v>
          </cell>
          <cell r="J11216">
            <v>19444.439999999999</v>
          </cell>
        </row>
        <row r="11217">
          <cell r="A11217" t="str">
            <v>SERVYRE</v>
          </cell>
          <cell r="B11217" t="str">
            <v>531-26013-004-0014</v>
          </cell>
          <cell r="J11217">
            <v>1098.72</v>
          </cell>
        </row>
        <row r="11218">
          <cell r="A11218" t="str">
            <v>SERVYRE</v>
          </cell>
          <cell r="B11218" t="str">
            <v>531-26013-007-0000</v>
          </cell>
          <cell r="J11218">
            <v>52836.46</v>
          </cell>
        </row>
        <row r="11219">
          <cell r="A11219" t="str">
            <v>SERVYRE</v>
          </cell>
          <cell r="B11219" t="str">
            <v>531-26013-007-0010</v>
          </cell>
          <cell r="J11219">
            <v>4788.4399999999996</v>
          </cell>
        </row>
        <row r="11220">
          <cell r="A11220" t="str">
            <v>SERVYRE</v>
          </cell>
          <cell r="B11220" t="str">
            <v>531-26013-007-0030</v>
          </cell>
          <cell r="J11220">
            <v>7932.16</v>
          </cell>
        </row>
        <row r="11221">
          <cell r="A11221" t="str">
            <v>SERVYRE</v>
          </cell>
          <cell r="B11221" t="str">
            <v>531-26013-007-0060</v>
          </cell>
          <cell r="J11221">
            <v>32.229999999999997</v>
          </cell>
        </row>
        <row r="11222">
          <cell r="A11222" t="str">
            <v>SERVYRE</v>
          </cell>
          <cell r="B11222" t="str">
            <v>531-26013-007-0070</v>
          </cell>
          <cell r="J11222">
            <v>40083.629999999997</v>
          </cell>
        </row>
        <row r="11223">
          <cell r="A11223" t="str">
            <v>SERVYRE</v>
          </cell>
          <cell r="B11223" t="str">
            <v>531-26013-031-0000</v>
          </cell>
          <cell r="J11223">
            <v>2700.51</v>
          </cell>
        </row>
        <row r="11224">
          <cell r="A11224" t="str">
            <v>SERVYRE</v>
          </cell>
          <cell r="B11224" t="str">
            <v>531-26013-031-0002</v>
          </cell>
          <cell r="J11224">
            <v>2052.39</v>
          </cell>
        </row>
        <row r="11225">
          <cell r="A11225" t="str">
            <v>SERVYRE</v>
          </cell>
          <cell r="B11225" t="str">
            <v>531-26013-031-0005</v>
          </cell>
          <cell r="J11225">
            <v>648.12</v>
          </cell>
        </row>
        <row r="11226">
          <cell r="A11226" t="str">
            <v>SERVYRE</v>
          </cell>
          <cell r="B11226" t="str">
            <v>531-26014-000-0000</v>
          </cell>
          <cell r="J11226">
            <v>973469.27</v>
          </cell>
        </row>
        <row r="11227">
          <cell r="A11227" t="str">
            <v>SERVYRE</v>
          </cell>
          <cell r="B11227" t="str">
            <v>531-26014-004-0000</v>
          </cell>
          <cell r="J11227">
            <v>29400.13</v>
          </cell>
        </row>
        <row r="11228">
          <cell r="A11228" t="str">
            <v>SERVYRE</v>
          </cell>
          <cell r="B11228" t="str">
            <v>531-26014-004-0001</v>
          </cell>
          <cell r="J11228">
            <v>2818.71</v>
          </cell>
        </row>
        <row r="11229">
          <cell r="A11229" t="str">
            <v>SERVYRE</v>
          </cell>
          <cell r="B11229" t="str">
            <v>531-26014-004-0002</v>
          </cell>
          <cell r="J11229">
            <v>6898.98</v>
          </cell>
        </row>
        <row r="11230">
          <cell r="A11230" t="str">
            <v>SERVYRE</v>
          </cell>
          <cell r="B11230" t="str">
            <v>531-26014-004-0003</v>
          </cell>
          <cell r="J11230">
            <v>4051.72</v>
          </cell>
        </row>
        <row r="11231">
          <cell r="A11231" t="str">
            <v>SERVYRE</v>
          </cell>
          <cell r="B11231" t="str">
            <v>531-26014-004-0005</v>
          </cell>
          <cell r="J11231">
            <v>9836.75</v>
          </cell>
        </row>
        <row r="11232">
          <cell r="A11232" t="str">
            <v>SERVYRE</v>
          </cell>
          <cell r="B11232" t="str">
            <v>531-26014-004-0009</v>
          </cell>
          <cell r="J11232">
            <v>93.97</v>
          </cell>
        </row>
        <row r="11233">
          <cell r="A11233" t="str">
            <v>SERVYRE</v>
          </cell>
          <cell r="B11233" t="str">
            <v>531-26014-004-0013</v>
          </cell>
          <cell r="J11233">
            <v>5700</v>
          </cell>
        </row>
        <row r="11234">
          <cell r="A11234" t="str">
            <v>SERVYRE</v>
          </cell>
          <cell r="B11234" t="str">
            <v>531-26014-007-0000</v>
          </cell>
          <cell r="J11234">
            <v>935446.89</v>
          </cell>
        </row>
        <row r="11235">
          <cell r="A11235" t="str">
            <v>SERVYRE</v>
          </cell>
          <cell r="B11235" t="str">
            <v>531-26014-007-0010</v>
          </cell>
          <cell r="J11235">
            <v>817.7</v>
          </cell>
        </row>
        <row r="11236">
          <cell r="A11236" t="str">
            <v>SERVYRE</v>
          </cell>
          <cell r="B11236" t="str">
            <v>531-26014-007-0020</v>
          </cell>
          <cell r="J11236">
            <v>619335.07999999996</v>
          </cell>
        </row>
        <row r="11237">
          <cell r="A11237" t="str">
            <v>SERVYRE</v>
          </cell>
          <cell r="B11237" t="str">
            <v>531-26014-007-0060</v>
          </cell>
          <cell r="J11237">
            <v>315294.11</v>
          </cell>
        </row>
        <row r="11238">
          <cell r="A11238" t="str">
            <v>SERVYRE</v>
          </cell>
          <cell r="B11238" t="str">
            <v>531-26014-031-0000</v>
          </cell>
          <cell r="J11238">
            <v>8622.25</v>
          </cell>
        </row>
        <row r="11239">
          <cell r="A11239" t="str">
            <v>SERVYRE</v>
          </cell>
          <cell r="B11239" t="str">
            <v>531-26014-031-0002</v>
          </cell>
          <cell r="J11239">
            <v>6552.91</v>
          </cell>
        </row>
        <row r="11240">
          <cell r="A11240" t="str">
            <v>SERVYRE</v>
          </cell>
          <cell r="B11240" t="str">
            <v>531-26014-031-0005</v>
          </cell>
          <cell r="J11240">
            <v>2069.34</v>
          </cell>
        </row>
        <row r="11241">
          <cell r="A11241" t="str">
            <v>SERVYRE</v>
          </cell>
          <cell r="B11241" t="str">
            <v>531-26015-000-0000</v>
          </cell>
          <cell r="J11241">
            <v>977457.44</v>
          </cell>
        </row>
        <row r="11242">
          <cell r="A11242" t="str">
            <v>SERVYRE</v>
          </cell>
          <cell r="B11242" t="str">
            <v>531-26015-004-0000</v>
          </cell>
          <cell r="J11242">
            <v>82897.2</v>
          </cell>
        </row>
        <row r="11243">
          <cell r="A11243" t="str">
            <v>SERVYRE</v>
          </cell>
          <cell r="B11243" t="str">
            <v>531-26015-004-0001</v>
          </cell>
          <cell r="J11243">
            <v>5945.09</v>
          </cell>
        </row>
        <row r="11244">
          <cell r="A11244" t="str">
            <v>SERVYRE</v>
          </cell>
          <cell r="B11244" t="str">
            <v>531-26015-004-0002</v>
          </cell>
          <cell r="J11244">
            <v>8958.31</v>
          </cell>
        </row>
        <row r="11245">
          <cell r="A11245" t="str">
            <v>SERVYRE</v>
          </cell>
          <cell r="B11245" t="str">
            <v>531-26015-004-0003</v>
          </cell>
          <cell r="J11245">
            <v>13275.87</v>
          </cell>
        </row>
        <row r="11246">
          <cell r="A11246" t="str">
            <v>SERVYRE</v>
          </cell>
          <cell r="B11246" t="str">
            <v>531-26015-004-0004</v>
          </cell>
          <cell r="J11246">
            <v>387.94</v>
          </cell>
        </row>
        <row r="11247">
          <cell r="A11247" t="str">
            <v>SERVYRE</v>
          </cell>
          <cell r="B11247" t="str">
            <v>531-26015-004-0005</v>
          </cell>
          <cell r="J11247">
            <v>47530.91</v>
          </cell>
        </row>
        <row r="11248">
          <cell r="A11248" t="str">
            <v>SERVYRE</v>
          </cell>
          <cell r="B11248" t="str">
            <v>531-26015-004-0013</v>
          </cell>
          <cell r="J11248">
            <v>6645.37</v>
          </cell>
        </row>
        <row r="11249">
          <cell r="A11249" t="str">
            <v>SERVYRE</v>
          </cell>
          <cell r="B11249" t="str">
            <v>531-26015-004-0014</v>
          </cell>
          <cell r="J11249">
            <v>153.71</v>
          </cell>
        </row>
        <row r="11250">
          <cell r="A11250" t="str">
            <v>SERVYRE</v>
          </cell>
          <cell r="B11250" t="str">
            <v>531-26015-007-0000</v>
          </cell>
          <cell r="J11250">
            <v>889523.12</v>
          </cell>
        </row>
        <row r="11251">
          <cell r="A11251" t="str">
            <v>SERVYRE</v>
          </cell>
          <cell r="B11251" t="str">
            <v>531-26015-007-0010</v>
          </cell>
          <cell r="J11251">
            <v>981.24</v>
          </cell>
        </row>
        <row r="11252">
          <cell r="A11252" t="str">
            <v>SERVYRE</v>
          </cell>
          <cell r="B11252" t="str">
            <v>531-26015-007-0020</v>
          </cell>
          <cell r="J11252">
            <v>682445.49</v>
          </cell>
        </row>
        <row r="11253">
          <cell r="A11253" t="str">
            <v>SERVYRE</v>
          </cell>
          <cell r="B11253" t="str">
            <v>531-26015-007-0060</v>
          </cell>
          <cell r="J11253">
            <v>206096.39</v>
          </cell>
        </row>
        <row r="11254">
          <cell r="A11254" t="str">
            <v>SERVYRE</v>
          </cell>
          <cell r="B11254" t="str">
            <v>531-26015-031-0000</v>
          </cell>
          <cell r="J11254">
            <v>5037.12</v>
          </cell>
        </row>
        <row r="11255">
          <cell r="A11255" t="str">
            <v>SERVYRE</v>
          </cell>
          <cell r="B11255" t="str">
            <v>531-26015-031-0002</v>
          </cell>
          <cell r="J11255">
            <v>3828.21</v>
          </cell>
        </row>
        <row r="11256">
          <cell r="A11256" t="str">
            <v>SERVYRE</v>
          </cell>
          <cell r="B11256" t="str">
            <v>531-26015-031-0005</v>
          </cell>
          <cell r="J11256">
            <v>1208.9100000000001</v>
          </cell>
        </row>
        <row r="11257">
          <cell r="A11257" t="str">
            <v>SERVYRE</v>
          </cell>
          <cell r="B11257" t="str">
            <v>531-26016-000-0000</v>
          </cell>
          <cell r="J11257">
            <v>14846.43</v>
          </cell>
        </row>
        <row r="11258">
          <cell r="A11258" t="str">
            <v>SERVYRE</v>
          </cell>
          <cell r="B11258" t="str">
            <v>531-26016-004-0000</v>
          </cell>
          <cell r="J11258">
            <v>1510.76</v>
          </cell>
        </row>
        <row r="11259">
          <cell r="A11259" t="str">
            <v>SERVYRE</v>
          </cell>
          <cell r="B11259" t="str">
            <v>531-26016-004-0001</v>
          </cell>
          <cell r="J11259">
            <v>234.04</v>
          </cell>
        </row>
        <row r="11260">
          <cell r="A11260" t="str">
            <v>SERVYRE</v>
          </cell>
          <cell r="B11260" t="str">
            <v>531-26016-004-0005</v>
          </cell>
          <cell r="J11260">
            <v>1276.72</v>
          </cell>
        </row>
        <row r="11261">
          <cell r="A11261" t="str">
            <v>SERVYRE</v>
          </cell>
          <cell r="B11261" t="str">
            <v>531-26016-007-0000</v>
          </cell>
          <cell r="J11261">
            <v>13335.67</v>
          </cell>
        </row>
        <row r="11262">
          <cell r="A11262" t="str">
            <v>SERVYRE</v>
          </cell>
          <cell r="B11262" t="str">
            <v>531-26016-007-0010</v>
          </cell>
          <cell r="J11262">
            <v>327.08</v>
          </cell>
        </row>
        <row r="11263">
          <cell r="A11263" t="str">
            <v>SERVYRE</v>
          </cell>
          <cell r="B11263" t="str">
            <v>531-26016-007-0020</v>
          </cell>
          <cell r="J11263">
            <v>8528.5499999999993</v>
          </cell>
        </row>
        <row r="11264">
          <cell r="A11264" t="str">
            <v>SERVYRE</v>
          </cell>
          <cell r="B11264" t="str">
            <v>531-26016-007-0060</v>
          </cell>
          <cell r="J11264">
            <v>4480.04</v>
          </cell>
        </row>
        <row r="11265">
          <cell r="A11265" t="str">
            <v>SERVYRE</v>
          </cell>
          <cell r="B11265" t="str">
            <v>531-26017-000-0000</v>
          </cell>
          <cell r="J11265">
            <v>2646679.87</v>
          </cell>
        </row>
        <row r="11266">
          <cell r="A11266" t="str">
            <v>SERVYRE</v>
          </cell>
          <cell r="B11266" t="str">
            <v>531-26017-004-0000</v>
          </cell>
          <cell r="J11266">
            <v>104231.65</v>
          </cell>
        </row>
        <row r="11267">
          <cell r="A11267" t="str">
            <v>SERVYRE</v>
          </cell>
          <cell r="B11267" t="str">
            <v>531-26017-004-0001</v>
          </cell>
          <cell r="J11267">
            <v>16578.22</v>
          </cell>
        </row>
        <row r="11268">
          <cell r="A11268" t="str">
            <v>SERVYRE</v>
          </cell>
          <cell r="B11268" t="str">
            <v>531-26017-004-0002</v>
          </cell>
          <cell r="J11268">
            <v>37370.06</v>
          </cell>
        </row>
        <row r="11269">
          <cell r="A11269" t="str">
            <v>SERVYRE</v>
          </cell>
          <cell r="B11269" t="str">
            <v>531-26017-004-0003</v>
          </cell>
          <cell r="J11269">
            <v>20954.29</v>
          </cell>
        </row>
        <row r="11270">
          <cell r="A11270" t="str">
            <v>SERVYRE</v>
          </cell>
          <cell r="B11270" t="str">
            <v>531-26017-004-0004</v>
          </cell>
          <cell r="J11270">
            <v>2695.25</v>
          </cell>
        </row>
        <row r="11271">
          <cell r="A11271" t="str">
            <v>SERVYRE</v>
          </cell>
          <cell r="B11271" t="str">
            <v>531-26017-004-0005</v>
          </cell>
          <cell r="J11271">
            <v>5796.91</v>
          </cell>
        </row>
        <row r="11272">
          <cell r="A11272" t="str">
            <v>SERVYRE</v>
          </cell>
          <cell r="B11272" t="str">
            <v>531-26017-004-0009</v>
          </cell>
          <cell r="J11272">
            <v>498.53</v>
          </cell>
        </row>
        <row r="11273">
          <cell r="A11273" t="str">
            <v>SERVYRE</v>
          </cell>
          <cell r="B11273" t="str">
            <v>531-26017-004-0011</v>
          </cell>
          <cell r="J11273">
            <v>1224</v>
          </cell>
        </row>
        <row r="11274">
          <cell r="A11274" t="str">
            <v>SERVYRE</v>
          </cell>
          <cell r="B11274" t="str">
            <v>531-26017-004-0013</v>
          </cell>
          <cell r="J11274">
            <v>18099.57</v>
          </cell>
        </row>
        <row r="11275">
          <cell r="A11275" t="str">
            <v>SERVYRE</v>
          </cell>
          <cell r="B11275" t="str">
            <v>531-26017-004-0014</v>
          </cell>
          <cell r="J11275">
            <v>1014.82</v>
          </cell>
        </row>
        <row r="11276">
          <cell r="A11276" t="str">
            <v>SERVYRE</v>
          </cell>
          <cell r="B11276" t="str">
            <v>531-26017-007-0000</v>
          </cell>
          <cell r="J11276">
            <v>2330149.83</v>
          </cell>
        </row>
        <row r="11277">
          <cell r="A11277" t="str">
            <v>SERVYRE</v>
          </cell>
          <cell r="B11277" t="str">
            <v>531-26017-007-0010</v>
          </cell>
          <cell r="J11277">
            <v>327.08</v>
          </cell>
        </row>
        <row r="11278">
          <cell r="A11278" t="str">
            <v>SERVYRE</v>
          </cell>
          <cell r="B11278" t="str">
            <v>531-26017-007-0020</v>
          </cell>
          <cell r="J11278">
            <v>1480820.02</v>
          </cell>
        </row>
        <row r="11279">
          <cell r="A11279" t="str">
            <v>SERVYRE</v>
          </cell>
          <cell r="B11279" t="str">
            <v>531-26017-007-0050</v>
          </cell>
          <cell r="J11279">
            <v>132390.12</v>
          </cell>
        </row>
        <row r="11280">
          <cell r="A11280" t="str">
            <v>SERVYRE</v>
          </cell>
          <cell r="B11280" t="str">
            <v>531-26017-007-0060</v>
          </cell>
          <cell r="J11280">
            <v>716612.61</v>
          </cell>
        </row>
        <row r="11281">
          <cell r="A11281" t="str">
            <v>SERVYRE</v>
          </cell>
          <cell r="B11281" t="str">
            <v>531-26017-009-0000</v>
          </cell>
          <cell r="J11281">
            <v>160125.68</v>
          </cell>
        </row>
        <row r="11282">
          <cell r="A11282" t="str">
            <v>SERVYRE</v>
          </cell>
          <cell r="B11282" t="str">
            <v>531-26017-031-0000</v>
          </cell>
          <cell r="J11282">
            <v>52172.71</v>
          </cell>
        </row>
        <row r="11283">
          <cell r="A11283" t="str">
            <v>SERVYRE</v>
          </cell>
          <cell r="B11283" t="str">
            <v>531-26017-031-0002</v>
          </cell>
          <cell r="J11283">
            <v>39651.26</v>
          </cell>
        </row>
        <row r="11284">
          <cell r="A11284" t="str">
            <v>SERVYRE</v>
          </cell>
          <cell r="B11284" t="str">
            <v>531-26017-031-0005</v>
          </cell>
          <cell r="J11284">
            <v>12521.45</v>
          </cell>
        </row>
        <row r="11285">
          <cell r="A11285" t="str">
            <v>SERVYRE</v>
          </cell>
          <cell r="B11285" t="str">
            <v>531-26017-054-0000</v>
          </cell>
          <cell r="J11285">
            <v>0</v>
          </cell>
        </row>
        <row r="11286">
          <cell r="A11286" t="str">
            <v>SERVYRE</v>
          </cell>
          <cell r="B11286" t="str">
            <v>531-26017-054-0006</v>
          </cell>
          <cell r="J11286">
            <v>0</v>
          </cell>
        </row>
        <row r="11287">
          <cell r="A11287" t="str">
            <v>SERVYRE</v>
          </cell>
          <cell r="B11287" t="str">
            <v>531-26020-004-0000</v>
          </cell>
          <cell r="J11287">
            <v>76897.429999999993</v>
          </cell>
        </row>
        <row r="11288">
          <cell r="A11288" t="str">
            <v>SERVYRE</v>
          </cell>
          <cell r="B11288" t="str">
            <v>531-26020-004-0001</v>
          </cell>
          <cell r="J11288">
            <v>10047.58</v>
          </cell>
        </row>
        <row r="11289">
          <cell r="A11289" t="str">
            <v>SERVYRE</v>
          </cell>
          <cell r="B11289" t="str">
            <v>531-26020-004-0002</v>
          </cell>
          <cell r="J11289">
            <v>26443.95</v>
          </cell>
        </row>
        <row r="11290">
          <cell r="A11290" t="str">
            <v>SERVYRE</v>
          </cell>
          <cell r="B11290" t="str">
            <v>531-26020-004-0003</v>
          </cell>
          <cell r="J11290">
            <v>11715.78</v>
          </cell>
        </row>
        <row r="11291">
          <cell r="A11291" t="str">
            <v>SERVYRE</v>
          </cell>
          <cell r="B11291" t="str">
            <v>531-26020-004-0005</v>
          </cell>
          <cell r="J11291">
            <v>22329.59</v>
          </cell>
        </row>
        <row r="11292">
          <cell r="A11292" t="str">
            <v>SERVYRE</v>
          </cell>
          <cell r="B11292" t="str">
            <v>531-26020-004-0009</v>
          </cell>
          <cell r="J11292">
            <v>646.54999999999995</v>
          </cell>
        </row>
        <row r="11293">
          <cell r="A11293" t="str">
            <v>SERVYRE</v>
          </cell>
          <cell r="B11293" t="str">
            <v>531-26020-004-0011</v>
          </cell>
          <cell r="J11293">
            <v>1171.56</v>
          </cell>
        </row>
        <row r="11294">
          <cell r="A11294" t="str">
            <v>SERVYRE</v>
          </cell>
          <cell r="B11294" t="str">
            <v>531-26020-004-0013</v>
          </cell>
          <cell r="J11294">
            <v>4193.28</v>
          </cell>
        </row>
        <row r="11295">
          <cell r="A11295" t="str">
            <v>SERVYRE</v>
          </cell>
          <cell r="B11295" t="str">
            <v>531-26020-004-0014</v>
          </cell>
          <cell r="J11295">
            <v>349.14</v>
          </cell>
        </row>
        <row r="11296">
          <cell r="A11296" t="str">
            <v>SERVYRE</v>
          </cell>
          <cell r="B11296" t="str">
            <v>531-26020-007-0000</v>
          </cell>
          <cell r="J11296">
            <v>39936.67</v>
          </cell>
        </row>
        <row r="11297">
          <cell r="A11297" t="str">
            <v>SERVYRE</v>
          </cell>
          <cell r="B11297" t="str">
            <v>531-26020-007-0010</v>
          </cell>
          <cell r="J11297">
            <v>16134.7</v>
          </cell>
        </row>
        <row r="11298">
          <cell r="A11298" t="str">
            <v>SERVYRE</v>
          </cell>
          <cell r="B11298" t="str">
            <v>531-26020-007-0030</v>
          </cell>
          <cell r="J11298">
            <v>8232.4</v>
          </cell>
        </row>
        <row r="11299">
          <cell r="A11299" t="str">
            <v>SERVYRE</v>
          </cell>
          <cell r="B11299" t="str">
            <v>531-26020-007-0060</v>
          </cell>
          <cell r="J11299">
            <v>4630.54</v>
          </cell>
        </row>
        <row r="11300">
          <cell r="A11300" t="str">
            <v>SERVYRE</v>
          </cell>
          <cell r="B11300" t="str">
            <v>531-26020-007-0070</v>
          </cell>
          <cell r="J11300">
            <v>10939.03</v>
          </cell>
        </row>
        <row r="11301">
          <cell r="A11301" t="str">
            <v>SERVYRE</v>
          </cell>
          <cell r="B11301" t="str">
            <v>531-26020-031-0000</v>
          </cell>
          <cell r="J11301">
            <v>8536.48</v>
          </cell>
        </row>
        <row r="11302">
          <cell r="A11302" t="str">
            <v>SERVYRE</v>
          </cell>
          <cell r="B11302" t="str">
            <v>531-26020-031-0002</v>
          </cell>
          <cell r="J11302">
            <v>6487.72</v>
          </cell>
        </row>
        <row r="11303">
          <cell r="A11303" t="str">
            <v>SERVYRE</v>
          </cell>
          <cell r="B11303" t="str">
            <v>531-26020-031-0005</v>
          </cell>
          <cell r="J11303">
            <v>2048.7600000000002</v>
          </cell>
        </row>
        <row r="11304">
          <cell r="A11304" t="str">
            <v>SERVYRE</v>
          </cell>
          <cell r="B11304" t="str">
            <v>531-26020-054-0000</v>
          </cell>
          <cell r="J11304">
            <v>-125370.58</v>
          </cell>
        </row>
        <row r="11305">
          <cell r="A11305" t="str">
            <v>SERVYRE</v>
          </cell>
          <cell r="B11305" t="str">
            <v>531-26020-054-0006</v>
          </cell>
          <cell r="J11305">
            <v>-125370.58</v>
          </cell>
        </row>
        <row r="11306">
          <cell r="A11306" t="str">
            <v>SERVYRE</v>
          </cell>
          <cell r="B11306" t="str">
            <v>531-26021-004-0000</v>
          </cell>
          <cell r="J11306">
            <v>35201.51</v>
          </cell>
        </row>
        <row r="11307">
          <cell r="A11307" t="str">
            <v>SERVYRE</v>
          </cell>
          <cell r="B11307" t="str">
            <v>531-26021-004-0001</v>
          </cell>
          <cell r="J11307">
            <v>8306.8700000000008</v>
          </cell>
        </row>
        <row r="11308">
          <cell r="A11308" t="str">
            <v>SERVYRE</v>
          </cell>
          <cell r="B11308" t="str">
            <v>531-26021-004-0002</v>
          </cell>
          <cell r="J11308">
            <v>6770.45</v>
          </cell>
        </row>
        <row r="11309">
          <cell r="A11309" t="str">
            <v>SERVYRE</v>
          </cell>
          <cell r="B11309" t="str">
            <v>531-26021-004-0003</v>
          </cell>
          <cell r="J11309">
            <v>8528.3700000000008</v>
          </cell>
        </row>
        <row r="11310">
          <cell r="A11310" t="str">
            <v>SERVYRE</v>
          </cell>
          <cell r="B11310" t="str">
            <v>531-26021-004-0004</v>
          </cell>
          <cell r="J11310">
            <v>387.93</v>
          </cell>
        </row>
        <row r="11311">
          <cell r="A11311" t="str">
            <v>SERVYRE</v>
          </cell>
          <cell r="B11311" t="str">
            <v>531-26021-004-0005</v>
          </cell>
          <cell r="J11311">
            <v>8076.43</v>
          </cell>
        </row>
        <row r="11312">
          <cell r="A11312" t="str">
            <v>SERVYRE</v>
          </cell>
          <cell r="B11312" t="str">
            <v>531-26021-004-0009</v>
          </cell>
          <cell r="J11312">
            <v>882.93</v>
          </cell>
        </row>
        <row r="11313">
          <cell r="A11313" t="str">
            <v>SERVYRE</v>
          </cell>
          <cell r="B11313" t="str">
            <v>531-26021-004-0011</v>
          </cell>
          <cell r="J11313">
            <v>637.92999999999995</v>
          </cell>
        </row>
        <row r="11314">
          <cell r="A11314" t="str">
            <v>SERVYRE</v>
          </cell>
          <cell r="B11314" t="str">
            <v>531-26021-004-0013</v>
          </cell>
          <cell r="J11314">
            <v>1610.6</v>
          </cell>
        </row>
        <row r="11315">
          <cell r="A11315" t="str">
            <v>SERVYRE</v>
          </cell>
          <cell r="B11315" t="str">
            <v>531-26021-007-0000</v>
          </cell>
          <cell r="J11315">
            <v>7368.32</v>
          </cell>
        </row>
        <row r="11316">
          <cell r="A11316" t="str">
            <v>SERVYRE</v>
          </cell>
          <cell r="B11316" t="str">
            <v>531-26021-007-0010</v>
          </cell>
          <cell r="J11316">
            <v>4392.42</v>
          </cell>
        </row>
        <row r="11317">
          <cell r="A11317" t="str">
            <v>SERVYRE</v>
          </cell>
          <cell r="B11317" t="str">
            <v>531-26021-007-0030</v>
          </cell>
          <cell r="J11317">
            <v>1232.18</v>
          </cell>
        </row>
        <row r="11318">
          <cell r="A11318" t="str">
            <v>SERVYRE</v>
          </cell>
          <cell r="B11318" t="str">
            <v>531-26021-007-0070</v>
          </cell>
          <cell r="J11318">
            <v>1743.72</v>
          </cell>
        </row>
        <row r="11319">
          <cell r="A11319" t="str">
            <v>SERVYRE</v>
          </cell>
          <cell r="B11319" t="str">
            <v>531-26021-054-0000</v>
          </cell>
          <cell r="J11319">
            <v>-42569.83</v>
          </cell>
        </row>
        <row r="11320">
          <cell r="A11320" t="str">
            <v>SERVYRE</v>
          </cell>
          <cell r="B11320" t="str">
            <v>531-26021-054-0006</v>
          </cell>
          <cell r="J11320">
            <v>-42569.83</v>
          </cell>
        </row>
        <row r="11321">
          <cell r="A11321" t="str">
            <v>SERVYRE</v>
          </cell>
          <cell r="B11321" t="str">
            <v>531-26022-000-0000</v>
          </cell>
          <cell r="J11321">
            <v>35568.49</v>
          </cell>
        </row>
        <row r="11322">
          <cell r="A11322" t="str">
            <v>SERVYRE</v>
          </cell>
          <cell r="B11322" t="str">
            <v>531-26022-004-0000</v>
          </cell>
          <cell r="J11322">
            <v>31177.96</v>
          </cell>
        </row>
        <row r="11323">
          <cell r="A11323" t="str">
            <v>SERVYRE</v>
          </cell>
          <cell r="B11323" t="str">
            <v>531-26022-004-0001</v>
          </cell>
          <cell r="J11323">
            <v>13190.29</v>
          </cell>
        </row>
        <row r="11324">
          <cell r="A11324" t="str">
            <v>SERVYRE</v>
          </cell>
          <cell r="B11324" t="str">
            <v>531-26022-004-0002</v>
          </cell>
          <cell r="J11324">
            <v>5628.3</v>
          </cell>
        </row>
        <row r="11325">
          <cell r="A11325" t="str">
            <v>SERVYRE</v>
          </cell>
          <cell r="B11325" t="str">
            <v>531-26022-004-0003</v>
          </cell>
          <cell r="J11325">
            <v>732.76</v>
          </cell>
        </row>
        <row r="11326">
          <cell r="A11326" t="str">
            <v>SERVYRE</v>
          </cell>
          <cell r="B11326" t="str">
            <v>531-26022-004-0005</v>
          </cell>
          <cell r="J11326">
            <v>1659.87</v>
          </cell>
        </row>
        <row r="11327">
          <cell r="A11327" t="str">
            <v>SERVYRE</v>
          </cell>
          <cell r="B11327" t="str">
            <v>531-26022-004-0009</v>
          </cell>
          <cell r="J11327">
            <v>1608.88</v>
          </cell>
        </row>
        <row r="11328">
          <cell r="A11328" t="str">
            <v>SERVYRE</v>
          </cell>
          <cell r="B11328" t="str">
            <v>531-26022-004-0011</v>
          </cell>
          <cell r="J11328">
            <v>318.97000000000003</v>
          </cell>
        </row>
        <row r="11329">
          <cell r="A11329" t="str">
            <v>SERVYRE</v>
          </cell>
          <cell r="B11329" t="str">
            <v>531-26022-004-0013</v>
          </cell>
          <cell r="J11329">
            <v>8038.89</v>
          </cell>
        </row>
        <row r="11330">
          <cell r="A11330" t="str">
            <v>SERVYRE</v>
          </cell>
          <cell r="B11330" t="str">
            <v>531-26022-031-0000</v>
          </cell>
          <cell r="J11330">
            <v>4390.53</v>
          </cell>
        </row>
        <row r="11331">
          <cell r="A11331" t="str">
            <v>SERVYRE</v>
          </cell>
          <cell r="B11331" t="str">
            <v>531-26022-031-0002</v>
          </cell>
          <cell r="J11331">
            <v>3336.8</v>
          </cell>
        </row>
        <row r="11332">
          <cell r="A11332" t="str">
            <v>SERVYRE</v>
          </cell>
          <cell r="B11332" t="str">
            <v>531-26022-031-0005</v>
          </cell>
          <cell r="J11332">
            <v>1053.73</v>
          </cell>
        </row>
        <row r="11333">
          <cell r="A11333" t="str">
            <v>SERVYRE</v>
          </cell>
          <cell r="B11333" t="str">
            <v>531-26023-000-0000</v>
          </cell>
          <cell r="J11333">
            <v>2896.08</v>
          </cell>
        </row>
        <row r="11334">
          <cell r="A11334" t="str">
            <v>SERVYRE</v>
          </cell>
          <cell r="B11334" t="str">
            <v>531-26023-004-0000</v>
          </cell>
          <cell r="J11334">
            <v>2896.08</v>
          </cell>
        </row>
        <row r="11335">
          <cell r="A11335" t="str">
            <v>SERVYRE</v>
          </cell>
          <cell r="B11335" t="str">
            <v>531-26023-004-0001</v>
          </cell>
          <cell r="J11335">
            <v>782.25</v>
          </cell>
        </row>
        <row r="11336">
          <cell r="A11336" t="str">
            <v>SERVYRE</v>
          </cell>
          <cell r="B11336" t="str">
            <v>531-26023-004-0003</v>
          </cell>
          <cell r="J11336">
            <v>2113.83</v>
          </cell>
        </row>
        <row r="11337">
          <cell r="A11337" t="str">
            <v>SERVYRE</v>
          </cell>
          <cell r="B11337" t="str">
            <v>531-26025-000-0000</v>
          </cell>
          <cell r="J11337">
            <v>56667</v>
          </cell>
        </row>
        <row r="11338">
          <cell r="A11338" t="str">
            <v>SERVYRE</v>
          </cell>
          <cell r="B11338" t="str">
            <v>531-26025-004-0000</v>
          </cell>
          <cell r="J11338">
            <v>35953.57</v>
          </cell>
        </row>
        <row r="11339">
          <cell r="A11339" t="str">
            <v>SERVYRE</v>
          </cell>
          <cell r="B11339" t="str">
            <v>531-26025-004-0001</v>
          </cell>
          <cell r="J11339">
            <v>3581.77</v>
          </cell>
        </row>
        <row r="11340">
          <cell r="A11340" t="str">
            <v>SERVYRE</v>
          </cell>
          <cell r="B11340" t="str">
            <v>531-26025-004-0002</v>
          </cell>
          <cell r="J11340">
            <v>22162.720000000001</v>
          </cell>
        </row>
        <row r="11341">
          <cell r="A11341" t="str">
            <v>SERVYRE</v>
          </cell>
          <cell r="B11341" t="str">
            <v>531-26025-004-0003</v>
          </cell>
          <cell r="J11341">
            <v>3153.3</v>
          </cell>
        </row>
        <row r="11342">
          <cell r="A11342" t="str">
            <v>SERVYRE</v>
          </cell>
          <cell r="B11342" t="str">
            <v>531-26025-004-0004</v>
          </cell>
          <cell r="J11342">
            <v>690.43</v>
          </cell>
        </row>
        <row r="11343">
          <cell r="A11343" t="str">
            <v>SERVYRE</v>
          </cell>
          <cell r="B11343" t="str">
            <v>531-26025-004-0005</v>
          </cell>
          <cell r="J11343">
            <v>1604.31</v>
          </cell>
        </row>
        <row r="11344">
          <cell r="A11344" t="str">
            <v>SERVYRE</v>
          </cell>
          <cell r="B11344" t="str">
            <v>531-26025-004-0006</v>
          </cell>
          <cell r="J11344">
            <v>1050.8599999999999</v>
          </cell>
        </row>
        <row r="11345">
          <cell r="A11345" t="str">
            <v>SERVYRE</v>
          </cell>
          <cell r="B11345" t="str">
            <v>531-26025-004-0009</v>
          </cell>
          <cell r="J11345">
            <v>1273.6300000000001</v>
          </cell>
        </row>
        <row r="11346">
          <cell r="A11346" t="str">
            <v>SERVYRE</v>
          </cell>
          <cell r="B11346" t="str">
            <v>531-26025-004-0013</v>
          </cell>
          <cell r="J11346">
            <v>2414.33</v>
          </cell>
        </row>
        <row r="11347">
          <cell r="A11347" t="str">
            <v>SERVYRE</v>
          </cell>
          <cell r="B11347" t="str">
            <v>531-26025-004-0014</v>
          </cell>
          <cell r="J11347">
            <v>22.22</v>
          </cell>
        </row>
        <row r="11348">
          <cell r="A11348" t="str">
            <v>SERVYRE</v>
          </cell>
          <cell r="B11348" t="str">
            <v>531-26025-007-0000</v>
          </cell>
          <cell r="J11348">
            <v>5104.5200000000004</v>
          </cell>
        </row>
        <row r="11349">
          <cell r="A11349" t="str">
            <v>SERVYRE</v>
          </cell>
          <cell r="B11349" t="str">
            <v>531-26025-007-0010</v>
          </cell>
          <cell r="J11349">
            <v>3606.82</v>
          </cell>
        </row>
        <row r="11350">
          <cell r="A11350" t="str">
            <v>SERVYRE</v>
          </cell>
          <cell r="B11350" t="str">
            <v>531-26025-007-0060</v>
          </cell>
          <cell r="J11350">
            <v>1477.57</v>
          </cell>
        </row>
        <row r="11351">
          <cell r="A11351" t="str">
            <v>SERVYRE</v>
          </cell>
          <cell r="B11351" t="str">
            <v>531-26025-007-0070</v>
          </cell>
          <cell r="J11351">
            <v>20.13</v>
          </cell>
        </row>
        <row r="11352">
          <cell r="A11352" t="str">
            <v>SERVYRE</v>
          </cell>
          <cell r="B11352" t="str">
            <v>531-26025-031-0000</v>
          </cell>
          <cell r="J11352">
            <v>15608.91</v>
          </cell>
        </row>
        <row r="11353">
          <cell r="A11353" t="str">
            <v>SERVYRE</v>
          </cell>
          <cell r="B11353" t="str">
            <v>531-26025-031-0002</v>
          </cell>
          <cell r="J11353">
            <v>11862.77</v>
          </cell>
        </row>
        <row r="11354">
          <cell r="A11354" t="str">
            <v>SERVYRE</v>
          </cell>
          <cell r="B11354" t="str">
            <v>531-26025-031-0005</v>
          </cell>
          <cell r="J11354">
            <v>3746.14</v>
          </cell>
        </row>
        <row r="11355">
          <cell r="A11355" t="str">
            <v>SERVYRE</v>
          </cell>
          <cell r="B11355" t="str">
            <v>531-26027-000-0000</v>
          </cell>
          <cell r="J11355">
            <v>2112280.9300000002</v>
          </cell>
        </row>
        <row r="11356">
          <cell r="A11356" t="str">
            <v>SERVYRE</v>
          </cell>
          <cell r="B11356" t="str">
            <v>531-26027-004-0000</v>
          </cell>
          <cell r="J11356">
            <v>72678.81</v>
          </cell>
        </row>
        <row r="11357">
          <cell r="A11357" t="str">
            <v>SERVYRE</v>
          </cell>
          <cell r="B11357" t="str">
            <v>531-26027-004-0001</v>
          </cell>
          <cell r="J11357">
            <v>9109.19</v>
          </cell>
        </row>
        <row r="11358">
          <cell r="A11358" t="str">
            <v>SERVYRE</v>
          </cell>
          <cell r="B11358" t="str">
            <v>531-26027-004-0002</v>
          </cell>
          <cell r="J11358">
            <v>14072.63</v>
          </cell>
        </row>
        <row r="11359">
          <cell r="A11359" t="str">
            <v>SERVYRE</v>
          </cell>
          <cell r="B11359" t="str">
            <v>531-26027-004-0003</v>
          </cell>
          <cell r="J11359">
            <v>28164.959999999999</v>
          </cell>
        </row>
        <row r="11360">
          <cell r="A11360" t="str">
            <v>SERVYRE</v>
          </cell>
          <cell r="B11360" t="str">
            <v>531-26027-004-0005</v>
          </cell>
          <cell r="J11360">
            <v>7451.21</v>
          </cell>
        </row>
        <row r="11361">
          <cell r="A11361" t="str">
            <v>SERVYRE</v>
          </cell>
          <cell r="B11361" t="str">
            <v>531-26027-004-0006</v>
          </cell>
          <cell r="J11361">
            <v>1487.07</v>
          </cell>
        </row>
        <row r="11362">
          <cell r="A11362" t="str">
            <v>SERVYRE</v>
          </cell>
          <cell r="B11362" t="str">
            <v>531-26027-004-0009</v>
          </cell>
          <cell r="J11362">
            <v>683.62</v>
          </cell>
        </row>
        <row r="11363">
          <cell r="A11363" t="str">
            <v>SERVYRE</v>
          </cell>
          <cell r="B11363" t="str">
            <v>531-26027-004-0011</v>
          </cell>
          <cell r="J11363">
            <v>2827.6</v>
          </cell>
        </row>
        <row r="11364">
          <cell r="A11364" t="str">
            <v>SERVYRE</v>
          </cell>
          <cell r="B11364" t="str">
            <v>531-26027-004-0013</v>
          </cell>
          <cell r="J11364">
            <v>8557.5300000000007</v>
          </cell>
        </row>
        <row r="11365">
          <cell r="A11365" t="str">
            <v>SERVYRE</v>
          </cell>
          <cell r="B11365" t="str">
            <v>531-26027-004-0014</v>
          </cell>
          <cell r="J11365">
            <v>325</v>
          </cell>
        </row>
        <row r="11366">
          <cell r="A11366" t="str">
            <v>SERVYRE</v>
          </cell>
          <cell r="B11366" t="str">
            <v>531-26027-007-0000</v>
          </cell>
          <cell r="J11366">
            <v>1846128.84</v>
          </cell>
        </row>
        <row r="11367">
          <cell r="A11367" t="str">
            <v>SERVYRE</v>
          </cell>
          <cell r="B11367" t="str">
            <v>531-26027-007-0010</v>
          </cell>
          <cell r="J11367">
            <v>1171350.8899999999</v>
          </cell>
        </row>
        <row r="11368">
          <cell r="A11368" t="str">
            <v>SERVYRE</v>
          </cell>
          <cell r="B11368" t="str">
            <v>531-26027-007-0020</v>
          </cell>
          <cell r="J11368">
            <v>11.19</v>
          </cell>
        </row>
        <row r="11369">
          <cell r="A11369" t="str">
            <v>SERVYRE</v>
          </cell>
          <cell r="B11369" t="str">
            <v>531-26027-007-0030</v>
          </cell>
          <cell r="J11369">
            <v>24469.32</v>
          </cell>
        </row>
        <row r="11370">
          <cell r="A11370" t="str">
            <v>SERVYRE</v>
          </cell>
          <cell r="B11370" t="str">
            <v>531-26027-007-0050</v>
          </cell>
          <cell r="J11370">
            <v>106267.94</v>
          </cell>
        </row>
        <row r="11371">
          <cell r="A11371" t="str">
            <v>SERVYRE</v>
          </cell>
          <cell r="B11371" t="str">
            <v>531-26027-007-0060</v>
          </cell>
          <cell r="J11371">
            <v>523217.23</v>
          </cell>
        </row>
        <row r="11372">
          <cell r="A11372" t="str">
            <v>SERVYRE</v>
          </cell>
          <cell r="B11372" t="str">
            <v>531-26027-007-0070</v>
          </cell>
          <cell r="J11372">
            <v>20812.27</v>
          </cell>
        </row>
        <row r="11373">
          <cell r="A11373" t="str">
            <v>SERVYRE</v>
          </cell>
          <cell r="B11373" t="str">
            <v>531-26027-009-0000</v>
          </cell>
          <cell r="J11373">
            <v>193473.28</v>
          </cell>
        </row>
        <row r="11374">
          <cell r="A11374" t="str">
            <v>SERVYRE</v>
          </cell>
          <cell r="B11374" t="str">
            <v>531-26032-000-0000</v>
          </cell>
          <cell r="J11374">
            <v>226959.82</v>
          </cell>
        </row>
        <row r="11375">
          <cell r="A11375" t="str">
            <v>SERVYRE</v>
          </cell>
          <cell r="B11375" t="str">
            <v>531-26032-004-0000</v>
          </cell>
          <cell r="J11375">
            <v>52118.1</v>
          </cell>
        </row>
        <row r="11376">
          <cell r="A11376" t="str">
            <v>SERVYRE</v>
          </cell>
          <cell r="B11376" t="str">
            <v>531-26032-004-0001</v>
          </cell>
          <cell r="J11376">
            <v>4386.1400000000003</v>
          </cell>
        </row>
        <row r="11377">
          <cell r="A11377" t="str">
            <v>SERVYRE</v>
          </cell>
          <cell r="B11377" t="str">
            <v>531-26032-004-0002</v>
          </cell>
          <cell r="J11377">
            <v>14197.5</v>
          </cell>
        </row>
        <row r="11378">
          <cell r="A11378" t="str">
            <v>SERVYRE</v>
          </cell>
          <cell r="B11378" t="str">
            <v>531-26032-004-0003</v>
          </cell>
          <cell r="J11378">
            <v>16379.3</v>
          </cell>
        </row>
        <row r="11379">
          <cell r="A11379" t="str">
            <v>SERVYRE</v>
          </cell>
          <cell r="B11379" t="str">
            <v>531-26032-004-0005</v>
          </cell>
          <cell r="J11379">
            <v>13193.55</v>
          </cell>
        </row>
        <row r="11380">
          <cell r="A11380" t="str">
            <v>SERVYRE</v>
          </cell>
          <cell r="B11380" t="str">
            <v>531-26032-004-0009</v>
          </cell>
          <cell r="J11380">
            <v>710</v>
          </cell>
        </row>
        <row r="11381">
          <cell r="A11381" t="str">
            <v>SERVYRE</v>
          </cell>
          <cell r="B11381" t="str">
            <v>531-26032-004-0011</v>
          </cell>
          <cell r="J11381">
            <v>1737.07</v>
          </cell>
        </row>
        <row r="11382">
          <cell r="A11382" t="str">
            <v>SERVYRE</v>
          </cell>
          <cell r="B11382" t="str">
            <v>531-26032-004-0013</v>
          </cell>
          <cell r="J11382">
            <v>1514.54</v>
          </cell>
        </row>
        <row r="11383">
          <cell r="A11383" t="str">
            <v>SERVYRE</v>
          </cell>
          <cell r="B11383" t="str">
            <v>531-26032-007-0000</v>
          </cell>
          <cell r="J11383">
            <v>1574220.74</v>
          </cell>
        </row>
        <row r="11384">
          <cell r="A11384" t="str">
            <v>SERVYRE</v>
          </cell>
          <cell r="B11384" t="str">
            <v>531-26032-007-0010</v>
          </cell>
          <cell r="J11384">
            <v>798528.93</v>
          </cell>
        </row>
        <row r="11385">
          <cell r="A11385" t="str">
            <v>SERVYRE</v>
          </cell>
          <cell r="B11385" t="str">
            <v>531-26032-007-0020</v>
          </cell>
          <cell r="J11385">
            <v>6.83</v>
          </cell>
        </row>
        <row r="11386">
          <cell r="A11386" t="str">
            <v>SERVYRE</v>
          </cell>
          <cell r="B11386" t="str">
            <v>531-26032-007-0030</v>
          </cell>
          <cell r="J11386">
            <v>16511.54</v>
          </cell>
        </row>
        <row r="11387">
          <cell r="A11387" t="str">
            <v>SERVYRE</v>
          </cell>
          <cell r="B11387" t="str">
            <v>531-26032-007-0050</v>
          </cell>
          <cell r="J11387">
            <v>422911.99</v>
          </cell>
        </row>
        <row r="11388">
          <cell r="A11388" t="str">
            <v>SERVYRE</v>
          </cell>
          <cell r="B11388" t="str">
            <v>531-26032-007-0060</v>
          </cell>
          <cell r="J11388">
            <v>335318.96000000002</v>
          </cell>
        </row>
        <row r="11389">
          <cell r="A11389" t="str">
            <v>SERVYRE</v>
          </cell>
          <cell r="B11389" t="str">
            <v>531-26032-007-0070</v>
          </cell>
          <cell r="J11389">
            <v>942.49</v>
          </cell>
        </row>
        <row r="11390">
          <cell r="A11390" t="str">
            <v>SERVYRE</v>
          </cell>
          <cell r="B11390" t="str">
            <v>531-26032-009-0000</v>
          </cell>
          <cell r="J11390">
            <v>51001.5</v>
          </cell>
        </row>
        <row r="11391">
          <cell r="A11391" t="str">
            <v>SERVYRE</v>
          </cell>
          <cell r="B11391" t="str">
            <v>531-26032-054-0000</v>
          </cell>
          <cell r="J11391">
            <v>-1450380.52</v>
          </cell>
        </row>
        <row r="11392">
          <cell r="A11392" t="str">
            <v>SERVYRE</v>
          </cell>
          <cell r="B11392" t="str">
            <v>531-26032-054-0006</v>
          </cell>
          <cell r="J11392">
            <v>-1450380.52</v>
          </cell>
        </row>
        <row r="11393">
          <cell r="A11393" t="str">
            <v>SERVYRE</v>
          </cell>
          <cell r="B11393" t="str">
            <v>531-26034-000-0000</v>
          </cell>
          <cell r="J11393">
            <v>580835.6</v>
          </cell>
        </row>
        <row r="11394">
          <cell r="A11394" t="str">
            <v>SERVYRE</v>
          </cell>
          <cell r="B11394" t="str">
            <v>531-26034-004-0000</v>
          </cell>
          <cell r="J11394">
            <v>6056.8</v>
          </cell>
        </row>
        <row r="11395">
          <cell r="A11395" t="str">
            <v>SERVYRE</v>
          </cell>
          <cell r="B11395" t="str">
            <v>531-26034-004-0001</v>
          </cell>
          <cell r="J11395">
            <v>1095.1500000000001</v>
          </cell>
        </row>
        <row r="11396">
          <cell r="A11396" t="str">
            <v>SERVYRE</v>
          </cell>
          <cell r="B11396" t="str">
            <v>531-26034-004-0002</v>
          </cell>
          <cell r="J11396">
            <v>1679.3</v>
          </cell>
        </row>
        <row r="11397">
          <cell r="A11397" t="str">
            <v>SERVYRE</v>
          </cell>
          <cell r="B11397" t="str">
            <v>531-26034-004-0005</v>
          </cell>
          <cell r="J11397">
            <v>850.52</v>
          </cell>
        </row>
        <row r="11398">
          <cell r="A11398" t="str">
            <v>SERVYRE</v>
          </cell>
          <cell r="B11398" t="str">
            <v>531-26034-004-0013</v>
          </cell>
          <cell r="J11398">
            <v>2329.98</v>
          </cell>
        </row>
        <row r="11399">
          <cell r="A11399" t="str">
            <v>SERVYRE</v>
          </cell>
          <cell r="B11399" t="str">
            <v>531-26034-004-0014</v>
          </cell>
          <cell r="J11399">
            <v>101.85</v>
          </cell>
        </row>
        <row r="11400">
          <cell r="A11400" t="str">
            <v>SERVYRE</v>
          </cell>
          <cell r="B11400" t="str">
            <v>531-26034-007-0000</v>
          </cell>
          <cell r="J11400">
            <v>524513.19999999995</v>
          </cell>
        </row>
        <row r="11401">
          <cell r="A11401" t="str">
            <v>SERVYRE</v>
          </cell>
          <cell r="B11401" t="str">
            <v>531-26034-007-0020</v>
          </cell>
          <cell r="J11401">
            <v>340542.74</v>
          </cell>
        </row>
        <row r="11402">
          <cell r="A11402" t="str">
            <v>SERVYRE</v>
          </cell>
          <cell r="B11402" t="str">
            <v>531-26034-007-0060</v>
          </cell>
          <cell r="J11402">
            <v>183970.46</v>
          </cell>
        </row>
        <row r="11403">
          <cell r="A11403" t="str">
            <v>SERVYRE</v>
          </cell>
          <cell r="B11403" t="str">
            <v>531-26034-009-0000</v>
          </cell>
          <cell r="J11403">
            <v>50265.599999999999</v>
          </cell>
        </row>
        <row r="11404">
          <cell r="A11404" t="str">
            <v>SERVYRE</v>
          </cell>
          <cell r="B11404" t="str">
            <v>531-26035-000-0000</v>
          </cell>
          <cell r="J11404">
            <v>2580295.98</v>
          </cell>
        </row>
        <row r="11405">
          <cell r="A11405" t="str">
            <v>SERVYRE</v>
          </cell>
          <cell r="B11405" t="str">
            <v>531-26035-004-0000</v>
          </cell>
          <cell r="J11405">
            <v>47028.18</v>
          </cell>
        </row>
        <row r="11406">
          <cell r="A11406" t="str">
            <v>SERVYRE</v>
          </cell>
          <cell r="B11406" t="str">
            <v>531-26035-004-0001</v>
          </cell>
          <cell r="J11406">
            <v>11392.21</v>
          </cell>
        </row>
        <row r="11407">
          <cell r="A11407" t="str">
            <v>SERVYRE</v>
          </cell>
          <cell r="B11407" t="str">
            <v>531-26035-004-0002</v>
          </cell>
          <cell r="J11407">
            <v>10394.69</v>
          </cell>
        </row>
        <row r="11408">
          <cell r="A11408" t="str">
            <v>SERVYRE</v>
          </cell>
          <cell r="B11408" t="str">
            <v>531-26035-004-0003</v>
          </cell>
          <cell r="J11408">
            <v>12095.69</v>
          </cell>
        </row>
        <row r="11409">
          <cell r="A11409" t="str">
            <v>SERVYRE</v>
          </cell>
          <cell r="B11409" t="str">
            <v>531-26035-004-0004</v>
          </cell>
          <cell r="J11409">
            <v>2201.73</v>
          </cell>
        </row>
        <row r="11410">
          <cell r="A11410" t="str">
            <v>SERVYRE</v>
          </cell>
          <cell r="B11410" t="str">
            <v>531-26035-004-0005</v>
          </cell>
          <cell r="J11410">
            <v>6161.41</v>
          </cell>
        </row>
        <row r="11411">
          <cell r="A11411" t="str">
            <v>SERVYRE</v>
          </cell>
          <cell r="B11411" t="str">
            <v>531-26035-004-0006</v>
          </cell>
          <cell r="J11411">
            <v>75</v>
          </cell>
        </row>
        <row r="11412">
          <cell r="A11412" t="str">
            <v>SERVYRE</v>
          </cell>
          <cell r="B11412" t="str">
            <v>531-26035-004-0009</v>
          </cell>
          <cell r="J11412">
            <v>977.16</v>
          </cell>
        </row>
        <row r="11413">
          <cell r="A11413" t="str">
            <v>SERVYRE</v>
          </cell>
          <cell r="B11413" t="str">
            <v>531-26035-004-0011</v>
          </cell>
          <cell r="J11413">
            <v>158.62</v>
          </cell>
        </row>
        <row r="11414">
          <cell r="A11414" t="str">
            <v>SERVYRE</v>
          </cell>
          <cell r="B11414" t="str">
            <v>531-26035-004-0013</v>
          </cell>
          <cell r="J11414">
            <v>3571.67</v>
          </cell>
        </row>
        <row r="11415">
          <cell r="A11415" t="str">
            <v>SERVYRE</v>
          </cell>
          <cell r="B11415" t="str">
            <v>531-26035-007-0000</v>
          </cell>
          <cell r="J11415">
            <v>1152119.81</v>
          </cell>
        </row>
        <row r="11416">
          <cell r="A11416" t="str">
            <v>SERVYRE</v>
          </cell>
          <cell r="B11416" t="str">
            <v>531-26035-007-0010</v>
          </cell>
          <cell r="J11416">
            <v>16157.26</v>
          </cell>
        </row>
        <row r="11417">
          <cell r="A11417" t="str">
            <v>SERVYRE</v>
          </cell>
          <cell r="B11417" t="str">
            <v>531-26035-007-0020</v>
          </cell>
          <cell r="J11417">
            <v>681085.48</v>
          </cell>
        </row>
        <row r="11418">
          <cell r="A11418" t="str">
            <v>SERVYRE</v>
          </cell>
          <cell r="B11418" t="str">
            <v>531-26035-007-0050</v>
          </cell>
          <cell r="J11418">
            <v>87231.48</v>
          </cell>
        </row>
        <row r="11419">
          <cell r="A11419" t="str">
            <v>SERVYRE</v>
          </cell>
          <cell r="B11419" t="str">
            <v>531-26035-007-0060</v>
          </cell>
          <cell r="J11419">
            <v>367605.33</v>
          </cell>
        </row>
        <row r="11420">
          <cell r="A11420" t="str">
            <v>SERVYRE</v>
          </cell>
          <cell r="B11420" t="str">
            <v>531-26035-007-0070</v>
          </cell>
          <cell r="J11420">
            <v>40.26</v>
          </cell>
        </row>
        <row r="11421">
          <cell r="A11421" t="str">
            <v>SERVYRE</v>
          </cell>
          <cell r="B11421" t="str">
            <v>531-26035-009-0000</v>
          </cell>
          <cell r="J11421">
            <v>91000</v>
          </cell>
        </row>
        <row r="11422">
          <cell r="A11422" t="str">
            <v>SERVYRE</v>
          </cell>
          <cell r="B11422" t="str">
            <v>531-26035-054-0000</v>
          </cell>
          <cell r="J11422">
            <v>1290147.99</v>
          </cell>
        </row>
        <row r="11423">
          <cell r="A11423" t="str">
            <v>SERVYRE</v>
          </cell>
          <cell r="B11423" t="str">
            <v>531-26035-054-0006</v>
          </cell>
          <cell r="J11423">
            <v>1290147.99</v>
          </cell>
        </row>
        <row r="11424">
          <cell r="A11424" t="str">
            <v>SERVYRE</v>
          </cell>
          <cell r="B11424" t="str">
            <v>531-26036-004-0000</v>
          </cell>
          <cell r="J11424">
            <v>3658.29</v>
          </cell>
        </row>
        <row r="11425">
          <cell r="A11425" t="str">
            <v>SERVYRE</v>
          </cell>
          <cell r="B11425" t="str">
            <v>531-26036-004-0001</v>
          </cell>
          <cell r="J11425">
            <v>1133.1400000000001</v>
          </cell>
        </row>
        <row r="11426">
          <cell r="A11426" t="str">
            <v>SERVYRE</v>
          </cell>
          <cell r="B11426" t="str">
            <v>531-26036-004-0002</v>
          </cell>
          <cell r="J11426">
            <v>788.79</v>
          </cell>
        </row>
        <row r="11427">
          <cell r="A11427" t="str">
            <v>SERVYRE</v>
          </cell>
          <cell r="B11427" t="str">
            <v>531-26036-004-0005</v>
          </cell>
          <cell r="J11427">
            <v>1671.55</v>
          </cell>
        </row>
        <row r="11428">
          <cell r="A11428" t="str">
            <v>SERVYRE</v>
          </cell>
          <cell r="B11428" t="str">
            <v>531-26036-004-0013</v>
          </cell>
          <cell r="J11428">
            <v>64.81</v>
          </cell>
        </row>
        <row r="11429">
          <cell r="A11429" t="str">
            <v>SERVYRE</v>
          </cell>
          <cell r="B11429" t="str">
            <v>531-26036-054-0000</v>
          </cell>
          <cell r="J11429">
            <v>-3658.29</v>
          </cell>
        </row>
        <row r="11430">
          <cell r="A11430" t="str">
            <v>SERVYRE</v>
          </cell>
          <cell r="B11430" t="str">
            <v>531-26036-054-0006</v>
          </cell>
          <cell r="J11430">
            <v>-3658.29</v>
          </cell>
        </row>
        <row r="11431">
          <cell r="A11431" t="str">
            <v>SERVYRE</v>
          </cell>
          <cell r="B11431" t="str">
            <v>531-26402-007-0000</v>
          </cell>
          <cell r="J11431">
            <v>3423.51</v>
          </cell>
        </row>
        <row r="11432">
          <cell r="A11432" t="str">
            <v>SERVYRE</v>
          </cell>
          <cell r="B11432" t="str">
            <v>531-26402-007-0010</v>
          </cell>
          <cell r="J11432">
            <v>1032.7</v>
          </cell>
        </row>
        <row r="11433">
          <cell r="A11433" t="str">
            <v>SERVYRE</v>
          </cell>
          <cell r="B11433" t="str">
            <v>531-26402-007-0030</v>
          </cell>
          <cell r="J11433">
            <v>2369.33</v>
          </cell>
        </row>
        <row r="11434">
          <cell r="A11434" t="str">
            <v>SERVYRE</v>
          </cell>
          <cell r="B11434" t="str">
            <v>531-26402-007-0060</v>
          </cell>
          <cell r="J11434">
            <v>21.48</v>
          </cell>
        </row>
        <row r="11435">
          <cell r="A11435" t="str">
            <v>SERVYRE</v>
          </cell>
          <cell r="B11435" t="str">
            <v>531-26402-031-0000</v>
          </cell>
          <cell r="J11435">
            <v>3022.54</v>
          </cell>
        </row>
        <row r="11436">
          <cell r="A11436" t="str">
            <v>SERVYRE</v>
          </cell>
          <cell r="B11436" t="str">
            <v>531-26402-031-0002</v>
          </cell>
          <cell r="J11436">
            <v>2297.13</v>
          </cell>
        </row>
        <row r="11437">
          <cell r="A11437" t="str">
            <v>SERVYRE</v>
          </cell>
          <cell r="B11437" t="str">
            <v>531-26402-031-0005</v>
          </cell>
          <cell r="J11437">
            <v>725.41</v>
          </cell>
        </row>
        <row r="11438">
          <cell r="A11438" t="str">
            <v>SERVYRE</v>
          </cell>
          <cell r="B11438" t="str">
            <v>531-26402-054-0000</v>
          </cell>
          <cell r="J11438">
            <v>-6446.05</v>
          </cell>
        </row>
        <row r="11439">
          <cell r="A11439" t="str">
            <v>SERVYRE</v>
          </cell>
          <cell r="B11439" t="str">
            <v>531-26402-054-0006</v>
          </cell>
          <cell r="J11439">
            <v>-6446.05</v>
          </cell>
        </row>
        <row r="11440">
          <cell r="A11440" t="str">
            <v>SERVYRE</v>
          </cell>
          <cell r="B11440" t="str">
            <v>531-26437-007-0000</v>
          </cell>
          <cell r="J11440">
            <v>20501.150000000001</v>
          </cell>
        </row>
        <row r="11441">
          <cell r="A11441" t="str">
            <v>SERVYRE</v>
          </cell>
          <cell r="B11441" t="str">
            <v>531-26437-007-0010</v>
          </cell>
          <cell r="J11441">
            <v>10401.86</v>
          </cell>
        </row>
        <row r="11442">
          <cell r="A11442" t="str">
            <v>SERVYRE</v>
          </cell>
          <cell r="B11442" t="str">
            <v>531-26437-007-0030</v>
          </cell>
          <cell r="J11442">
            <v>7972.75</v>
          </cell>
        </row>
        <row r="11443">
          <cell r="A11443" t="str">
            <v>SERVYRE</v>
          </cell>
          <cell r="B11443" t="str">
            <v>531-26437-007-0060</v>
          </cell>
          <cell r="J11443">
            <v>2126.54</v>
          </cell>
        </row>
        <row r="11444">
          <cell r="A11444" t="str">
            <v>SERVYRE</v>
          </cell>
          <cell r="B11444" t="str">
            <v>531-26437-054-0000</v>
          </cell>
          <cell r="J11444">
            <v>-20501.150000000001</v>
          </cell>
        </row>
        <row r="11445">
          <cell r="A11445" t="str">
            <v>SERVYRE</v>
          </cell>
          <cell r="B11445" t="str">
            <v>531-26437-054-0006</v>
          </cell>
          <cell r="J11445">
            <v>-20501.150000000001</v>
          </cell>
        </row>
        <row r="11446">
          <cell r="A11446" t="str">
            <v>SERVYRE</v>
          </cell>
          <cell r="B11446" t="str">
            <v>560-00000-000-0000</v>
          </cell>
          <cell r="J11446">
            <v>7084121.6699999999</v>
          </cell>
        </row>
        <row r="11447">
          <cell r="A11447" t="str">
            <v>SERVYRE</v>
          </cell>
          <cell r="B11447" t="str">
            <v>560-99999-000-0000</v>
          </cell>
          <cell r="J11447">
            <v>7084121.6699999999</v>
          </cell>
        </row>
        <row r="11448">
          <cell r="A11448" t="str">
            <v>SERVYRE</v>
          </cell>
          <cell r="B11448" t="str">
            <v>560-99999-001-0000</v>
          </cell>
          <cell r="J11448">
            <v>13976.27</v>
          </cell>
        </row>
        <row r="11449">
          <cell r="A11449" t="str">
            <v>SERVYRE</v>
          </cell>
          <cell r="B11449" t="str">
            <v>560-99999-001-0001</v>
          </cell>
          <cell r="J11449">
            <v>-615274.71</v>
          </cell>
        </row>
        <row r="11450">
          <cell r="A11450" t="str">
            <v>SERVYRE</v>
          </cell>
          <cell r="B11450" t="str">
            <v>560-99999-001-0002</v>
          </cell>
          <cell r="J11450">
            <v>112520.42</v>
          </cell>
        </row>
        <row r="11451">
          <cell r="A11451" t="str">
            <v>SERVYRE</v>
          </cell>
          <cell r="B11451" t="str">
            <v>560-99999-001-0004</v>
          </cell>
          <cell r="J11451">
            <v>54996.92</v>
          </cell>
        </row>
        <row r="11452">
          <cell r="A11452" t="str">
            <v>SERVYRE</v>
          </cell>
          <cell r="B11452" t="str">
            <v>560-99999-001-0005</v>
          </cell>
          <cell r="J11452">
            <v>58407.51</v>
          </cell>
        </row>
        <row r="11453">
          <cell r="A11453" t="str">
            <v>SERVYRE</v>
          </cell>
          <cell r="B11453" t="str">
            <v>560-99999-001-0006</v>
          </cell>
          <cell r="J11453">
            <v>58407.51</v>
          </cell>
        </row>
        <row r="11454">
          <cell r="A11454" t="str">
            <v>SERVYRE</v>
          </cell>
          <cell r="B11454" t="str">
            <v>560-99999-001-0008</v>
          </cell>
          <cell r="J11454">
            <v>29466.9</v>
          </cell>
        </row>
        <row r="11455">
          <cell r="A11455" t="str">
            <v>SERVYRE</v>
          </cell>
          <cell r="B11455" t="str">
            <v>560-99999-001-0009</v>
          </cell>
          <cell r="J11455">
            <v>173265.78</v>
          </cell>
        </row>
        <row r="11456">
          <cell r="A11456" t="str">
            <v>SERVYRE</v>
          </cell>
          <cell r="B11456" t="str">
            <v>560-99999-001-0010</v>
          </cell>
          <cell r="J11456">
            <v>77391.520000000004</v>
          </cell>
        </row>
        <row r="11457">
          <cell r="A11457" t="str">
            <v>SERVYRE</v>
          </cell>
          <cell r="B11457" t="str">
            <v>560-99999-001-0011</v>
          </cell>
          <cell r="J11457">
            <v>64794.42</v>
          </cell>
        </row>
        <row r="11458">
          <cell r="A11458" t="str">
            <v>SERVYRE</v>
          </cell>
          <cell r="B11458" t="str">
            <v>560-99999-002-0000</v>
          </cell>
          <cell r="J11458">
            <v>630895.04</v>
          </cell>
        </row>
        <row r="11459">
          <cell r="A11459" t="str">
            <v>SERVYRE</v>
          </cell>
          <cell r="B11459" t="str">
            <v>560-99999-002-0001</v>
          </cell>
          <cell r="J11459">
            <v>259126.89</v>
          </cell>
        </row>
        <row r="11460">
          <cell r="A11460" t="str">
            <v>SERVYRE</v>
          </cell>
          <cell r="B11460" t="str">
            <v>560-99999-002-0002</v>
          </cell>
          <cell r="J11460">
            <v>203005.14</v>
          </cell>
        </row>
        <row r="11461">
          <cell r="A11461" t="str">
            <v>SERVYRE</v>
          </cell>
          <cell r="B11461" t="str">
            <v>560-99999-002-0003</v>
          </cell>
          <cell r="J11461">
            <v>104878.34</v>
          </cell>
        </row>
        <row r="11462">
          <cell r="A11462" t="str">
            <v>SERVYRE</v>
          </cell>
          <cell r="B11462" t="str">
            <v>560-99999-002-0004</v>
          </cell>
          <cell r="J11462">
            <v>63884.67</v>
          </cell>
        </row>
        <row r="11463">
          <cell r="A11463" t="str">
            <v>SERVYRE</v>
          </cell>
          <cell r="B11463" t="str">
            <v>560-99999-003-0000</v>
          </cell>
          <cell r="J11463">
            <v>2638532.91</v>
          </cell>
        </row>
        <row r="11464">
          <cell r="A11464" t="str">
            <v>SERVYRE</v>
          </cell>
          <cell r="B11464" t="str">
            <v>560-99999-006-0000</v>
          </cell>
          <cell r="J11464">
            <v>1746693.47</v>
          </cell>
        </row>
        <row r="11465">
          <cell r="A11465" t="str">
            <v>SERVYRE</v>
          </cell>
          <cell r="B11465" t="str">
            <v>560-99999-029-0000</v>
          </cell>
          <cell r="J11465">
            <v>2028196.34</v>
          </cell>
        </row>
        <row r="11466">
          <cell r="A11466" t="str">
            <v>SERVYRE</v>
          </cell>
          <cell r="B11466" t="str">
            <v>560-99999-061-0000</v>
          </cell>
          <cell r="J11466">
            <v>25827.64</v>
          </cell>
        </row>
        <row r="11467">
          <cell r="A11467" t="str">
            <v>SERVYRE</v>
          </cell>
          <cell r="B11467" t="str">
            <v>561-00000-000-0000</v>
          </cell>
          <cell r="J11467">
            <v>18515202.899999999</v>
          </cell>
        </row>
        <row r="11468">
          <cell r="A11468" t="str">
            <v>SERVYRE</v>
          </cell>
          <cell r="B11468" t="str">
            <v>561-99999-000-0000</v>
          </cell>
          <cell r="J11468">
            <v>18515202.899999999</v>
          </cell>
        </row>
        <row r="11469">
          <cell r="A11469" t="str">
            <v>SERVYRE</v>
          </cell>
          <cell r="B11469" t="str">
            <v>561-99999-021-0000</v>
          </cell>
          <cell r="J11469">
            <v>16618651.18</v>
          </cell>
        </row>
        <row r="11470">
          <cell r="A11470" t="str">
            <v>SERVYRE</v>
          </cell>
          <cell r="B11470" t="str">
            <v>561-99999-053-0000</v>
          </cell>
          <cell r="J11470">
            <v>1896551.72</v>
          </cell>
        </row>
        <row r="11471">
          <cell r="A11471" t="str">
            <v>SERVYRE</v>
          </cell>
          <cell r="B11471" t="str">
            <v>620-00000-000-0000</v>
          </cell>
          <cell r="J11471">
            <v>6608420.1299999999</v>
          </cell>
        </row>
        <row r="11472">
          <cell r="A11472" t="str">
            <v>SERVYRE</v>
          </cell>
          <cell r="B11472" t="str">
            <v>620-99999-000-0000</v>
          </cell>
          <cell r="J11472">
            <v>6608420.1299999999</v>
          </cell>
        </row>
        <row r="11473">
          <cell r="A11473" t="str">
            <v>SERVYRE</v>
          </cell>
          <cell r="B11473" t="str">
            <v>620-99999-001-0000</v>
          </cell>
          <cell r="J11473">
            <v>4557660.7300000004</v>
          </cell>
        </row>
        <row r="11474">
          <cell r="A11474" t="str">
            <v>SERVYRE</v>
          </cell>
          <cell r="B11474" t="str">
            <v>620-99999-001-0001</v>
          </cell>
          <cell r="J11474">
            <v>3424238.93</v>
          </cell>
        </row>
        <row r="11475">
          <cell r="A11475" t="str">
            <v>SERVYRE</v>
          </cell>
          <cell r="B11475" t="str">
            <v>620-99999-001-0002</v>
          </cell>
          <cell r="J11475">
            <v>154880.88</v>
          </cell>
        </row>
        <row r="11476">
          <cell r="A11476" t="str">
            <v>SERVYRE</v>
          </cell>
          <cell r="B11476" t="str">
            <v>620-99999-001-0004</v>
          </cell>
          <cell r="J11476">
            <v>17639.41</v>
          </cell>
        </row>
        <row r="11477">
          <cell r="A11477" t="str">
            <v>SERVYRE</v>
          </cell>
          <cell r="B11477" t="str">
            <v>620-99999-001-0005</v>
          </cell>
          <cell r="J11477">
            <v>258865.6</v>
          </cell>
        </row>
        <row r="11478">
          <cell r="A11478" t="str">
            <v>SERVYRE</v>
          </cell>
          <cell r="B11478" t="str">
            <v>620-99999-001-0006</v>
          </cell>
          <cell r="J11478">
            <v>258865.6</v>
          </cell>
        </row>
        <row r="11479">
          <cell r="A11479" t="str">
            <v>SERVYRE</v>
          </cell>
          <cell r="B11479" t="str">
            <v>620-99999-001-0008</v>
          </cell>
          <cell r="J11479">
            <v>7141.65</v>
          </cell>
        </row>
        <row r="11480">
          <cell r="A11480" t="str">
            <v>SERVYRE</v>
          </cell>
          <cell r="B11480" t="str">
            <v>620-99999-001-0009</v>
          </cell>
          <cell r="J11480">
            <v>186286.34</v>
          </cell>
        </row>
        <row r="11481">
          <cell r="A11481" t="str">
            <v>SERVYRE</v>
          </cell>
          <cell r="B11481" t="str">
            <v>620-99999-001-0010</v>
          </cell>
          <cell r="J11481">
            <v>87900.01</v>
          </cell>
        </row>
        <row r="11482">
          <cell r="A11482" t="str">
            <v>SERVYRE</v>
          </cell>
          <cell r="B11482" t="str">
            <v>620-99999-001-0011</v>
          </cell>
          <cell r="J11482">
            <v>161842.31</v>
          </cell>
        </row>
        <row r="11483">
          <cell r="A11483" t="str">
            <v>SERVYRE</v>
          </cell>
          <cell r="B11483" t="str">
            <v>620-99999-002-0000</v>
          </cell>
          <cell r="J11483">
            <v>800715.98</v>
          </cell>
        </row>
        <row r="11484">
          <cell r="A11484" t="str">
            <v>SERVYRE</v>
          </cell>
          <cell r="B11484" t="str">
            <v>620-99999-002-0001</v>
          </cell>
          <cell r="J11484">
            <v>243673.83</v>
          </cell>
        </row>
        <row r="11485">
          <cell r="A11485" t="str">
            <v>SERVYRE</v>
          </cell>
          <cell r="B11485" t="str">
            <v>620-99999-002-0002</v>
          </cell>
          <cell r="J11485">
            <v>247898.15</v>
          </cell>
        </row>
        <row r="11486">
          <cell r="A11486" t="str">
            <v>SERVYRE</v>
          </cell>
          <cell r="B11486" t="str">
            <v>620-99999-002-0003</v>
          </cell>
          <cell r="J11486">
            <v>134786.39000000001</v>
          </cell>
        </row>
        <row r="11487">
          <cell r="A11487" t="str">
            <v>SERVYRE</v>
          </cell>
          <cell r="B11487" t="str">
            <v>620-99999-002-0004</v>
          </cell>
          <cell r="J11487">
            <v>174357.61</v>
          </cell>
        </row>
        <row r="11488">
          <cell r="A11488" t="str">
            <v>SERVYRE</v>
          </cell>
          <cell r="B11488" t="str">
            <v>620-99999-003-0000</v>
          </cell>
          <cell r="J11488">
            <v>1284248.06</v>
          </cell>
        </row>
        <row r="11489">
          <cell r="A11489" t="str">
            <v>SERVYRE</v>
          </cell>
          <cell r="B11489" t="str">
            <v>620-99999-005-0000</v>
          </cell>
          <cell r="J11489">
            <v>16574.86</v>
          </cell>
        </row>
        <row r="11490">
          <cell r="A11490" t="str">
            <v>SERVYRE</v>
          </cell>
          <cell r="B11490" t="str">
            <v>620-99999-005-0001</v>
          </cell>
          <cell r="J11490">
            <v>14369.94</v>
          </cell>
        </row>
        <row r="11491">
          <cell r="A11491" t="str">
            <v>SERVYRE</v>
          </cell>
          <cell r="B11491" t="str">
            <v>620-99999-005-0013</v>
          </cell>
          <cell r="J11491">
            <v>2204.92</v>
          </cell>
        </row>
        <row r="11492">
          <cell r="A11492" t="str">
            <v>SERVYRE</v>
          </cell>
          <cell r="B11492" t="str">
            <v>620-99999-020-0000</v>
          </cell>
          <cell r="J11492">
            <v>1600</v>
          </cell>
        </row>
        <row r="11493">
          <cell r="A11493" t="str">
            <v>SERVYRE</v>
          </cell>
          <cell r="B11493" t="str">
            <v>620-99999-061-0000</v>
          </cell>
          <cell r="J11493">
            <v>-52379.5</v>
          </cell>
        </row>
        <row r="11494">
          <cell r="A11494" t="str">
            <v>SERVYRE</v>
          </cell>
          <cell r="B11494" t="str">
            <v>630-00000-000-0000</v>
          </cell>
          <cell r="J11494">
            <v>5127711.22</v>
          </cell>
        </row>
        <row r="11495">
          <cell r="A11495" t="str">
            <v>SERVYRE</v>
          </cell>
          <cell r="B11495" t="str">
            <v>630-99999-000-0000</v>
          </cell>
          <cell r="J11495">
            <v>5127711.22</v>
          </cell>
        </row>
        <row r="11496">
          <cell r="A11496" t="str">
            <v>SERVYRE</v>
          </cell>
          <cell r="B11496" t="str">
            <v>630-99999-001-0000</v>
          </cell>
          <cell r="J11496">
            <v>1745743.69</v>
          </cell>
        </row>
        <row r="11497">
          <cell r="A11497" t="str">
            <v>SERVYRE</v>
          </cell>
          <cell r="B11497" t="str">
            <v>630-99999-001-0001</v>
          </cell>
          <cell r="J11497">
            <v>1229582.6399999999</v>
          </cell>
        </row>
        <row r="11498">
          <cell r="A11498" t="str">
            <v>SERVYRE</v>
          </cell>
          <cell r="B11498" t="str">
            <v>630-99999-001-0002</v>
          </cell>
          <cell r="J11498">
            <v>116268.6</v>
          </cell>
        </row>
        <row r="11499">
          <cell r="A11499" t="str">
            <v>SERVYRE</v>
          </cell>
          <cell r="B11499" t="str">
            <v>630-99999-001-0004</v>
          </cell>
          <cell r="J11499">
            <v>5339.49</v>
          </cell>
        </row>
        <row r="11500">
          <cell r="A11500" t="str">
            <v>SERVYRE</v>
          </cell>
          <cell r="B11500" t="str">
            <v>630-99999-001-0005</v>
          </cell>
          <cell r="J11500">
            <v>124459.46</v>
          </cell>
        </row>
        <row r="11501">
          <cell r="A11501" t="str">
            <v>SERVYRE</v>
          </cell>
          <cell r="B11501" t="str">
            <v>630-99999-001-0006</v>
          </cell>
          <cell r="J11501">
            <v>124459.46</v>
          </cell>
        </row>
        <row r="11502">
          <cell r="A11502" t="str">
            <v>SERVYRE</v>
          </cell>
          <cell r="B11502" t="str">
            <v>630-99999-001-0009</v>
          </cell>
          <cell r="J11502">
            <v>71814.44</v>
          </cell>
        </row>
        <row r="11503">
          <cell r="A11503" t="str">
            <v>SERVYRE</v>
          </cell>
          <cell r="B11503" t="str">
            <v>630-99999-001-0010</v>
          </cell>
          <cell r="J11503">
            <v>21590.53</v>
          </cell>
        </row>
        <row r="11504">
          <cell r="A11504" t="str">
            <v>SERVYRE</v>
          </cell>
          <cell r="B11504" t="str">
            <v>630-99999-001-0011</v>
          </cell>
          <cell r="J11504">
            <v>52229.07</v>
          </cell>
        </row>
        <row r="11505">
          <cell r="A11505" t="str">
            <v>SERVYRE</v>
          </cell>
          <cell r="B11505" t="str">
            <v>630-99999-002-0000</v>
          </cell>
          <cell r="J11505">
            <v>405172.63</v>
          </cell>
        </row>
        <row r="11506">
          <cell r="A11506" t="str">
            <v>SERVYRE</v>
          </cell>
          <cell r="B11506" t="str">
            <v>630-99999-002-0001</v>
          </cell>
          <cell r="J11506">
            <v>146964.22</v>
          </cell>
        </row>
        <row r="11507">
          <cell r="A11507" t="str">
            <v>SERVYRE</v>
          </cell>
          <cell r="B11507" t="str">
            <v>630-99999-002-0002</v>
          </cell>
          <cell r="J11507">
            <v>124653.42</v>
          </cell>
        </row>
        <row r="11508">
          <cell r="A11508" t="str">
            <v>SERVYRE</v>
          </cell>
          <cell r="B11508" t="str">
            <v>630-99999-002-0003</v>
          </cell>
          <cell r="J11508">
            <v>68967.61</v>
          </cell>
        </row>
        <row r="11509">
          <cell r="A11509" t="str">
            <v>SERVYRE</v>
          </cell>
          <cell r="B11509" t="str">
            <v>630-99999-002-0004</v>
          </cell>
          <cell r="J11509">
            <v>64587.38</v>
          </cell>
        </row>
        <row r="11510">
          <cell r="A11510" t="str">
            <v>SERVYRE</v>
          </cell>
          <cell r="B11510" t="str">
            <v>630-99999-003-0000</v>
          </cell>
          <cell r="J11510">
            <v>2951454.14</v>
          </cell>
        </row>
        <row r="11511">
          <cell r="A11511" t="str">
            <v>SERVYRE</v>
          </cell>
          <cell r="B11511" t="str">
            <v>630-99999-005-0000</v>
          </cell>
          <cell r="J11511">
            <v>28143.34</v>
          </cell>
        </row>
        <row r="11512">
          <cell r="A11512" t="str">
            <v>SERVYRE</v>
          </cell>
          <cell r="B11512" t="str">
            <v>630-99999-005-0001</v>
          </cell>
          <cell r="J11512">
            <v>23709.48</v>
          </cell>
        </row>
        <row r="11513">
          <cell r="A11513" t="str">
            <v>SERVYRE</v>
          </cell>
          <cell r="B11513" t="str">
            <v>630-99999-005-0004</v>
          </cell>
          <cell r="J11513">
            <v>3978.28</v>
          </cell>
        </row>
        <row r="11514">
          <cell r="A11514" t="str">
            <v>SERVYRE</v>
          </cell>
          <cell r="B11514" t="str">
            <v>630-99999-005-0005</v>
          </cell>
          <cell r="J11514">
            <v>227.58</v>
          </cell>
        </row>
        <row r="11515">
          <cell r="A11515" t="str">
            <v>SERVYRE</v>
          </cell>
          <cell r="B11515" t="str">
            <v>630-99999-005-0013</v>
          </cell>
          <cell r="J11515">
            <v>228</v>
          </cell>
        </row>
        <row r="11516">
          <cell r="A11516" t="str">
            <v>SERVYRE</v>
          </cell>
          <cell r="B11516" t="str">
            <v>630-99999-030-0000</v>
          </cell>
          <cell r="J11516">
            <v>696.98</v>
          </cell>
        </row>
        <row r="11517">
          <cell r="A11517" t="str">
            <v>SERVYRE</v>
          </cell>
          <cell r="B11517" t="str">
            <v>630-99999-061-0000</v>
          </cell>
          <cell r="J11517">
            <v>-3499.56</v>
          </cell>
        </row>
        <row r="11518">
          <cell r="A11518" t="str">
            <v>SERVYRE</v>
          </cell>
          <cell r="B11518" t="str">
            <v>640-00000-000-0000</v>
          </cell>
          <cell r="J11518">
            <v>5048259.6100000003</v>
          </cell>
        </row>
        <row r="11519">
          <cell r="A11519" t="str">
            <v>SERVYRE</v>
          </cell>
          <cell r="B11519" t="str">
            <v>640-99999-000-0000</v>
          </cell>
          <cell r="J11519">
            <v>5048259.6100000003</v>
          </cell>
        </row>
        <row r="11520">
          <cell r="A11520" t="str">
            <v>SERVYRE</v>
          </cell>
          <cell r="B11520" t="str">
            <v>640-99999-001-0000</v>
          </cell>
          <cell r="J11520">
            <v>2760118.86</v>
          </cell>
        </row>
        <row r="11521">
          <cell r="A11521" t="str">
            <v>SERVYRE</v>
          </cell>
          <cell r="B11521" t="str">
            <v>640-99999-001-0001</v>
          </cell>
          <cell r="J11521">
            <v>1953635.26</v>
          </cell>
        </row>
        <row r="11522">
          <cell r="A11522" t="str">
            <v>SERVYRE</v>
          </cell>
          <cell r="B11522" t="str">
            <v>640-99999-001-0002</v>
          </cell>
          <cell r="J11522">
            <v>163917.6</v>
          </cell>
        </row>
        <row r="11523">
          <cell r="A11523" t="str">
            <v>SERVYRE</v>
          </cell>
          <cell r="B11523" t="str">
            <v>640-99999-001-0004</v>
          </cell>
          <cell r="J11523">
            <v>12455.82</v>
          </cell>
        </row>
        <row r="11524">
          <cell r="A11524" t="str">
            <v>SERVYRE</v>
          </cell>
          <cell r="B11524" t="str">
            <v>640-99999-001-0005</v>
          </cell>
          <cell r="J11524">
            <v>188147.55</v>
          </cell>
        </row>
        <row r="11525">
          <cell r="A11525" t="str">
            <v>SERVYRE</v>
          </cell>
          <cell r="B11525" t="str">
            <v>640-99999-001-0006</v>
          </cell>
          <cell r="J11525">
            <v>188147.55</v>
          </cell>
        </row>
        <row r="11526">
          <cell r="A11526" t="str">
            <v>SERVYRE</v>
          </cell>
          <cell r="B11526" t="str">
            <v>640-99999-001-0009</v>
          </cell>
          <cell r="J11526">
            <v>124452.35</v>
          </cell>
        </row>
        <row r="11527">
          <cell r="A11527" t="str">
            <v>SERVYRE</v>
          </cell>
          <cell r="B11527" t="str">
            <v>640-99999-001-0010</v>
          </cell>
          <cell r="J11527">
            <v>41084.19</v>
          </cell>
        </row>
        <row r="11528">
          <cell r="A11528" t="str">
            <v>SERVYRE</v>
          </cell>
          <cell r="B11528" t="str">
            <v>640-99999-001-0011</v>
          </cell>
          <cell r="J11528">
            <v>88278.54</v>
          </cell>
        </row>
        <row r="11529">
          <cell r="A11529" t="str">
            <v>SERVYRE</v>
          </cell>
          <cell r="B11529" t="str">
            <v>640-99999-002-0000</v>
          </cell>
          <cell r="J11529">
            <v>641589.38</v>
          </cell>
        </row>
        <row r="11530">
          <cell r="A11530" t="str">
            <v>SERVYRE</v>
          </cell>
          <cell r="B11530" t="str">
            <v>640-99999-002-0001</v>
          </cell>
          <cell r="J11530">
            <v>225323.94</v>
          </cell>
        </row>
        <row r="11531">
          <cell r="A11531" t="str">
            <v>SERVYRE</v>
          </cell>
          <cell r="B11531" t="str">
            <v>640-99999-002-0002</v>
          </cell>
          <cell r="J11531">
            <v>201052.02</v>
          </cell>
        </row>
        <row r="11532">
          <cell r="A11532" t="str">
            <v>SERVYRE</v>
          </cell>
          <cell r="B11532" t="str">
            <v>640-99999-002-0003</v>
          </cell>
          <cell r="J11532">
            <v>112325.82</v>
          </cell>
        </row>
        <row r="11533">
          <cell r="A11533" t="str">
            <v>SERVYRE</v>
          </cell>
          <cell r="B11533" t="str">
            <v>640-99999-002-0004</v>
          </cell>
          <cell r="J11533">
            <v>102887.6</v>
          </cell>
        </row>
        <row r="11534">
          <cell r="A11534" t="str">
            <v>SERVYRE</v>
          </cell>
          <cell r="B11534" t="str">
            <v>640-99999-003-0000</v>
          </cell>
          <cell r="J11534">
            <v>1642443.29</v>
          </cell>
        </row>
        <row r="11535">
          <cell r="A11535" t="str">
            <v>SERVYRE</v>
          </cell>
          <cell r="B11535" t="str">
            <v>640-99999-004-0000</v>
          </cell>
          <cell r="J11535">
            <v>34500.19</v>
          </cell>
        </row>
        <row r="11536">
          <cell r="A11536" t="str">
            <v>SERVYRE</v>
          </cell>
          <cell r="B11536" t="str">
            <v>640-99999-004-0001</v>
          </cell>
          <cell r="J11536">
            <v>4033.36</v>
          </cell>
        </row>
        <row r="11537">
          <cell r="A11537" t="str">
            <v>SERVYRE</v>
          </cell>
          <cell r="B11537" t="str">
            <v>640-99999-004-0002</v>
          </cell>
          <cell r="J11537">
            <v>21026.85</v>
          </cell>
        </row>
        <row r="11538">
          <cell r="A11538" t="str">
            <v>SERVYRE</v>
          </cell>
          <cell r="B11538" t="str">
            <v>640-99999-004-0011</v>
          </cell>
          <cell r="J11538">
            <v>8671.14</v>
          </cell>
        </row>
        <row r="11539">
          <cell r="A11539" t="str">
            <v>SERVYRE</v>
          </cell>
          <cell r="B11539" t="str">
            <v>640-99999-004-0013</v>
          </cell>
          <cell r="J11539">
            <v>768.84</v>
          </cell>
        </row>
        <row r="11540">
          <cell r="A11540" t="str">
            <v>SERVYRE</v>
          </cell>
          <cell r="B11540" t="str">
            <v>640-99999-020-0000</v>
          </cell>
          <cell r="J11540">
            <v>3600</v>
          </cell>
        </row>
        <row r="11541">
          <cell r="A11541" t="str">
            <v>SERVYRE</v>
          </cell>
          <cell r="B11541" t="str">
            <v>640-99999-061-0000</v>
          </cell>
          <cell r="J11541">
            <v>-33992.11</v>
          </cell>
        </row>
        <row r="11542">
          <cell r="A11542" t="str">
            <v>SERVYRE</v>
          </cell>
          <cell r="B11542" t="str">
            <v>650-00000-000-0000</v>
          </cell>
          <cell r="J11542">
            <v>11003021.02</v>
          </cell>
        </row>
        <row r="11543">
          <cell r="A11543" t="str">
            <v>SERVYRE</v>
          </cell>
          <cell r="B11543" t="str">
            <v>650-99999-000-0000</v>
          </cell>
          <cell r="J11543">
            <v>11003021.02</v>
          </cell>
        </row>
        <row r="11544">
          <cell r="A11544" t="str">
            <v>SERVYRE</v>
          </cell>
          <cell r="B11544" t="str">
            <v>650-99999-001-0000</v>
          </cell>
          <cell r="J11544">
            <v>791272.44</v>
          </cell>
        </row>
        <row r="11545">
          <cell r="A11545" t="str">
            <v>SERVYRE</v>
          </cell>
          <cell r="B11545" t="str">
            <v>650-99999-001-0001</v>
          </cell>
          <cell r="J11545">
            <v>723758.8</v>
          </cell>
        </row>
        <row r="11546">
          <cell r="A11546" t="str">
            <v>SERVYRE</v>
          </cell>
          <cell r="B11546" t="str">
            <v>650-99999-001-0002</v>
          </cell>
          <cell r="J11546">
            <v>6497.4</v>
          </cell>
        </row>
        <row r="11547">
          <cell r="A11547" t="str">
            <v>SERVYRE</v>
          </cell>
          <cell r="B11547" t="str">
            <v>650-99999-001-0009</v>
          </cell>
          <cell r="J11547">
            <v>632</v>
          </cell>
        </row>
        <row r="11548">
          <cell r="A11548" t="str">
            <v>SERVYRE</v>
          </cell>
          <cell r="B11548" t="str">
            <v>650-99999-001-0010</v>
          </cell>
          <cell r="J11548">
            <v>10854.04</v>
          </cell>
        </row>
        <row r="11549">
          <cell r="A11549" t="str">
            <v>SERVYRE</v>
          </cell>
          <cell r="B11549" t="str">
            <v>650-99999-001-0011</v>
          </cell>
          <cell r="J11549">
            <v>49530.2</v>
          </cell>
        </row>
        <row r="11550">
          <cell r="A11550" t="str">
            <v>SERVYRE</v>
          </cell>
          <cell r="B11550" t="str">
            <v>650-99999-002-0000</v>
          </cell>
          <cell r="J11550">
            <v>69668.25</v>
          </cell>
        </row>
        <row r="11551">
          <cell r="A11551" t="str">
            <v>SERVYRE</v>
          </cell>
          <cell r="B11551" t="str">
            <v>650-99999-002-0001</v>
          </cell>
          <cell r="J11551">
            <v>10198.950000000001</v>
          </cell>
        </row>
        <row r="11552">
          <cell r="A11552" t="str">
            <v>SERVYRE</v>
          </cell>
          <cell r="B11552" t="str">
            <v>650-99999-002-0002</v>
          </cell>
          <cell r="J11552">
            <v>6466.86</v>
          </cell>
        </row>
        <row r="11553">
          <cell r="A11553" t="str">
            <v>SERVYRE</v>
          </cell>
          <cell r="B11553" t="str">
            <v>650-99999-002-0003</v>
          </cell>
          <cell r="J11553">
            <v>4028.7</v>
          </cell>
        </row>
        <row r="11554">
          <cell r="A11554" t="str">
            <v>SERVYRE</v>
          </cell>
          <cell r="B11554" t="str">
            <v>650-99999-002-0004</v>
          </cell>
          <cell r="J11554">
            <v>48973.74</v>
          </cell>
        </row>
        <row r="11555">
          <cell r="A11555" t="str">
            <v>SERVYRE</v>
          </cell>
          <cell r="B11555" t="str">
            <v>650-99999-003-0000</v>
          </cell>
          <cell r="J11555">
            <v>1597945.23</v>
          </cell>
        </row>
        <row r="11556">
          <cell r="A11556" t="str">
            <v>SERVYRE</v>
          </cell>
          <cell r="B11556" t="str">
            <v>650-99999-004-0000</v>
          </cell>
          <cell r="J11556">
            <v>10773.34</v>
          </cell>
        </row>
        <row r="11557">
          <cell r="A11557" t="str">
            <v>SERVYRE</v>
          </cell>
          <cell r="B11557" t="str">
            <v>650-99999-004-0004</v>
          </cell>
          <cell r="J11557">
            <v>3763.41</v>
          </cell>
        </row>
        <row r="11558">
          <cell r="A11558" t="str">
            <v>SERVYRE</v>
          </cell>
          <cell r="B11558" t="str">
            <v>650-99999-004-0013</v>
          </cell>
          <cell r="J11558">
            <v>7009.93</v>
          </cell>
        </row>
        <row r="11559">
          <cell r="A11559" t="str">
            <v>SERVYRE</v>
          </cell>
          <cell r="B11559" t="str">
            <v>650-99999-005-0000</v>
          </cell>
          <cell r="J11559">
            <v>122769.01</v>
          </cell>
        </row>
        <row r="11560">
          <cell r="A11560" t="str">
            <v>SERVYRE</v>
          </cell>
          <cell r="B11560" t="str">
            <v>650-99999-005-0001</v>
          </cell>
          <cell r="J11560">
            <v>-5068.3</v>
          </cell>
        </row>
        <row r="11561">
          <cell r="A11561" t="str">
            <v>SERVYRE</v>
          </cell>
          <cell r="B11561" t="str">
            <v>650-99999-005-0002</v>
          </cell>
          <cell r="J11561">
            <v>2625</v>
          </cell>
        </row>
        <row r="11562">
          <cell r="A11562" t="str">
            <v>SERVYRE</v>
          </cell>
          <cell r="B11562" t="str">
            <v>650-99999-005-0004</v>
          </cell>
          <cell r="J11562">
            <v>124005.75</v>
          </cell>
        </row>
        <row r="11563">
          <cell r="A11563" t="str">
            <v>SERVYRE</v>
          </cell>
          <cell r="B11563" t="str">
            <v>650-99999-005-0005</v>
          </cell>
          <cell r="J11563">
            <v>37.07</v>
          </cell>
        </row>
        <row r="11564">
          <cell r="A11564" t="str">
            <v>SERVYRE</v>
          </cell>
          <cell r="B11564" t="str">
            <v>650-99999-005-0013</v>
          </cell>
          <cell r="J11564">
            <v>1169.49</v>
          </cell>
        </row>
        <row r="11565">
          <cell r="A11565" t="str">
            <v>SERVYRE</v>
          </cell>
          <cell r="B11565" t="str">
            <v>650-99999-008-0000</v>
          </cell>
          <cell r="J11565">
            <v>1123260.7</v>
          </cell>
        </row>
        <row r="11566">
          <cell r="A11566" t="str">
            <v>SERVYRE</v>
          </cell>
          <cell r="B11566" t="str">
            <v>650-99999-008-0001</v>
          </cell>
          <cell r="J11566">
            <v>1008454</v>
          </cell>
        </row>
        <row r="11567">
          <cell r="A11567" t="str">
            <v>SERVYRE</v>
          </cell>
          <cell r="B11567" t="str">
            <v>650-99999-008-0002</v>
          </cell>
          <cell r="J11567">
            <v>7068.81</v>
          </cell>
        </row>
        <row r="11568">
          <cell r="A11568" t="str">
            <v>SERVYRE</v>
          </cell>
          <cell r="B11568" t="str">
            <v>650-99999-008-0007</v>
          </cell>
          <cell r="J11568">
            <v>107737.89</v>
          </cell>
        </row>
        <row r="11569">
          <cell r="A11569" t="str">
            <v>SERVYRE</v>
          </cell>
          <cell r="B11569" t="str">
            <v>650-99999-010-0000</v>
          </cell>
          <cell r="J11569">
            <v>363633.01</v>
          </cell>
        </row>
        <row r="11570">
          <cell r="A11570" t="str">
            <v>SERVYRE</v>
          </cell>
          <cell r="B11570" t="str">
            <v>650-99999-010-0001</v>
          </cell>
          <cell r="J11570">
            <v>347.61</v>
          </cell>
        </row>
        <row r="11571">
          <cell r="A11571" t="str">
            <v>SERVYRE</v>
          </cell>
          <cell r="B11571" t="str">
            <v>650-99999-010-0004</v>
          </cell>
          <cell r="J11571">
            <v>363285.4</v>
          </cell>
        </row>
        <row r="11572">
          <cell r="A11572" t="str">
            <v>SERVYRE</v>
          </cell>
          <cell r="B11572" t="str">
            <v>650-99999-011-0000</v>
          </cell>
          <cell r="J11572">
            <v>1245603.51</v>
          </cell>
        </row>
        <row r="11573">
          <cell r="A11573" t="str">
            <v>SERVYRE</v>
          </cell>
          <cell r="B11573" t="str">
            <v>650-99999-012-0000</v>
          </cell>
          <cell r="J11573">
            <v>661228.61</v>
          </cell>
        </row>
        <row r="11574">
          <cell r="A11574" t="str">
            <v>SERVYRE</v>
          </cell>
          <cell r="B11574" t="str">
            <v>650-99999-012-0001</v>
          </cell>
          <cell r="J11574">
            <v>542086.73</v>
          </cell>
        </row>
        <row r="11575">
          <cell r="A11575" t="str">
            <v>SERVYRE</v>
          </cell>
          <cell r="B11575" t="str">
            <v>650-99999-012-0002</v>
          </cell>
          <cell r="J11575">
            <v>119529.31</v>
          </cell>
        </row>
        <row r="11576">
          <cell r="A11576" t="str">
            <v>SERVYRE</v>
          </cell>
          <cell r="B11576" t="str">
            <v>650-99999-012-0003</v>
          </cell>
          <cell r="J11576">
            <v>-5087.43</v>
          </cell>
        </row>
        <row r="11577">
          <cell r="A11577" t="str">
            <v>SERVYRE</v>
          </cell>
          <cell r="B11577" t="str">
            <v>650-99999-012-0005</v>
          </cell>
          <cell r="J11577">
            <v>4700</v>
          </cell>
        </row>
        <row r="11578">
          <cell r="A11578" t="str">
            <v>SERVYRE</v>
          </cell>
          <cell r="B11578" t="str">
            <v>650-99999-013-0000</v>
          </cell>
          <cell r="J11578">
            <v>2036729.57</v>
          </cell>
        </row>
        <row r="11579">
          <cell r="A11579" t="str">
            <v>SERVYRE</v>
          </cell>
          <cell r="B11579" t="str">
            <v>650-99999-013-0001</v>
          </cell>
          <cell r="J11579">
            <v>288006.56</v>
          </cell>
        </row>
        <row r="11580">
          <cell r="A11580" t="str">
            <v>SERVYRE</v>
          </cell>
          <cell r="B11580" t="str">
            <v>650-99999-013-0002</v>
          </cell>
          <cell r="J11580">
            <v>1748723.01</v>
          </cell>
        </row>
        <row r="11581">
          <cell r="A11581" t="str">
            <v>SERVYRE</v>
          </cell>
          <cell r="B11581" t="str">
            <v>650-99999-016-0000</v>
          </cell>
          <cell r="J11581">
            <v>52436.84</v>
          </cell>
        </row>
        <row r="11582">
          <cell r="A11582" t="str">
            <v>SERVYRE</v>
          </cell>
          <cell r="B11582" t="str">
            <v>650-99999-020-0000</v>
          </cell>
          <cell r="J11582">
            <v>44161.9</v>
          </cell>
        </row>
        <row r="11583">
          <cell r="A11583" t="str">
            <v>SERVYRE</v>
          </cell>
          <cell r="B11583" t="str">
            <v>650-99999-022-0000</v>
          </cell>
          <cell r="J11583">
            <v>12257</v>
          </cell>
        </row>
        <row r="11584">
          <cell r="A11584" t="str">
            <v>SERVYRE</v>
          </cell>
          <cell r="B11584" t="str">
            <v>650-99999-022-0002</v>
          </cell>
          <cell r="J11584">
            <v>12257</v>
          </cell>
        </row>
        <row r="11585">
          <cell r="A11585" t="str">
            <v>SERVYRE</v>
          </cell>
          <cell r="B11585" t="str">
            <v>650-99999-023-0000</v>
          </cell>
          <cell r="J11585">
            <v>1398761</v>
          </cell>
        </row>
        <row r="11586">
          <cell r="A11586" t="str">
            <v>SERVYRE</v>
          </cell>
          <cell r="B11586" t="str">
            <v>650-99999-025-0000</v>
          </cell>
          <cell r="J11586">
            <v>108599.46</v>
          </cell>
        </row>
        <row r="11587">
          <cell r="A11587" t="str">
            <v>SERVYRE</v>
          </cell>
          <cell r="B11587" t="str">
            <v>650-99999-025-0001</v>
          </cell>
          <cell r="J11587">
            <v>105615.5</v>
          </cell>
        </row>
        <row r="11588">
          <cell r="A11588" t="str">
            <v>SERVYRE</v>
          </cell>
          <cell r="B11588" t="str">
            <v>650-99999-025-0002</v>
          </cell>
          <cell r="J11588">
            <v>1876.96</v>
          </cell>
        </row>
        <row r="11589">
          <cell r="A11589" t="str">
            <v>SERVYRE</v>
          </cell>
          <cell r="B11589" t="str">
            <v>650-99999-025-0003</v>
          </cell>
          <cell r="J11589">
            <v>1107</v>
          </cell>
        </row>
        <row r="11590">
          <cell r="A11590" t="str">
            <v>SERVYRE</v>
          </cell>
          <cell r="B11590" t="str">
            <v>650-99999-026-0000</v>
          </cell>
          <cell r="J11590">
            <v>153896.56</v>
          </cell>
        </row>
        <row r="11591">
          <cell r="A11591" t="str">
            <v>SERVYRE</v>
          </cell>
          <cell r="B11591" t="str">
            <v>650-99999-029-0000</v>
          </cell>
          <cell r="J11591">
            <v>194754.84</v>
          </cell>
        </row>
        <row r="11592">
          <cell r="A11592" t="str">
            <v>SERVYRE</v>
          </cell>
          <cell r="B11592" t="str">
            <v>650-99999-030-0000</v>
          </cell>
          <cell r="J11592">
            <v>20351.48</v>
          </cell>
        </row>
        <row r="11593">
          <cell r="A11593" t="str">
            <v>SERVYRE</v>
          </cell>
          <cell r="B11593" t="str">
            <v>650-99999-040-0000</v>
          </cell>
          <cell r="J11593">
            <v>20197.64</v>
          </cell>
        </row>
        <row r="11594">
          <cell r="A11594" t="str">
            <v>SERVYRE</v>
          </cell>
          <cell r="B11594" t="str">
            <v>650-99999-046-0000</v>
          </cell>
          <cell r="J11594">
            <v>18465.43</v>
          </cell>
        </row>
        <row r="11595">
          <cell r="A11595" t="str">
            <v>SERVYRE</v>
          </cell>
          <cell r="B11595" t="str">
            <v>650-99999-060-0000</v>
          </cell>
          <cell r="J11595">
            <v>956255.2</v>
          </cell>
        </row>
        <row r="11596">
          <cell r="A11596" t="str">
            <v>SERVYRE</v>
          </cell>
          <cell r="B11596" t="str">
            <v>660-00000-000-0000</v>
          </cell>
          <cell r="J11596">
            <v>2465175.9700000002</v>
          </cell>
        </row>
        <row r="11597">
          <cell r="A11597" t="str">
            <v>SERVYRE</v>
          </cell>
          <cell r="B11597" t="str">
            <v>660-99999-000-0000</v>
          </cell>
          <cell r="J11597">
            <v>2465175.9700000002</v>
          </cell>
        </row>
        <row r="11598">
          <cell r="A11598" t="str">
            <v>SERVYRE</v>
          </cell>
          <cell r="B11598" t="str">
            <v>660-99999-034-0000</v>
          </cell>
          <cell r="J11598">
            <v>1530732.88</v>
          </cell>
        </row>
        <row r="11599">
          <cell r="A11599" t="str">
            <v>SERVYRE</v>
          </cell>
          <cell r="B11599" t="str">
            <v>660-99999-034-0001</v>
          </cell>
          <cell r="J11599">
            <v>115627.16</v>
          </cell>
        </row>
        <row r="11600">
          <cell r="A11600" t="str">
            <v>SERVYRE</v>
          </cell>
          <cell r="B11600" t="str">
            <v>660-99999-034-0002</v>
          </cell>
          <cell r="J11600">
            <v>320244.96000000002</v>
          </cell>
        </row>
        <row r="11601">
          <cell r="A11601" t="str">
            <v>SERVYRE</v>
          </cell>
          <cell r="B11601" t="str">
            <v>660-99999-034-0003</v>
          </cell>
          <cell r="J11601">
            <v>1037737.19</v>
          </cell>
        </row>
        <row r="11602">
          <cell r="A11602" t="str">
            <v>SERVYRE</v>
          </cell>
          <cell r="B11602" t="str">
            <v>660-99999-034-0004</v>
          </cell>
          <cell r="J11602">
            <v>57123.57</v>
          </cell>
        </row>
        <row r="11603">
          <cell r="A11603" t="str">
            <v>SERVYRE</v>
          </cell>
          <cell r="B11603" t="str">
            <v>660-99999-035-0000</v>
          </cell>
          <cell r="J11603">
            <v>934443.09</v>
          </cell>
        </row>
        <row r="11604">
          <cell r="A11604" t="str">
            <v>SERVYRE</v>
          </cell>
          <cell r="B11604" t="str">
            <v>660-99999-035-0001</v>
          </cell>
          <cell r="J11604">
            <v>934443.09</v>
          </cell>
        </row>
        <row r="11605">
          <cell r="A11605" t="str">
            <v>SERVYRE</v>
          </cell>
          <cell r="B11605" t="str">
            <v>710-00000-000-0000</v>
          </cell>
          <cell r="J11605">
            <v>1685346.36</v>
          </cell>
        </row>
        <row r="11606">
          <cell r="A11606" t="str">
            <v>SERVYRE</v>
          </cell>
          <cell r="B11606" t="str">
            <v>710-99999-000-0000</v>
          </cell>
          <cell r="J11606">
            <v>1685346.36</v>
          </cell>
        </row>
        <row r="11607">
          <cell r="A11607" t="str">
            <v>SERVYRE</v>
          </cell>
          <cell r="B11607" t="str">
            <v>710-99999-001-0000</v>
          </cell>
          <cell r="J11607">
            <v>1281633.68</v>
          </cell>
        </row>
        <row r="11608">
          <cell r="A11608" t="str">
            <v>SERVYRE</v>
          </cell>
          <cell r="B11608" t="str">
            <v>710-99999-001-0001</v>
          </cell>
          <cell r="J11608">
            <v>1281633.68</v>
          </cell>
        </row>
        <row r="11609">
          <cell r="A11609" t="str">
            <v>SERVYRE</v>
          </cell>
          <cell r="B11609" t="str">
            <v>710-99999-002-0000</v>
          </cell>
          <cell r="J11609">
            <v>403712.68</v>
          </cell>
        </row>
        <row r="11610">
          <cell r="A11610" t="str">
            <v>SERVYRE</v>
          </cell>
          <cell r="B11610" t="str">
            <v>710-99999-002-0001</v>
          </cell>
          <cell r="J11610">
            <v>403712.68</v>
          </cell>
        </row>
        <row r="11611">
          <cell r="A11611" t="str">
            <v>SERVYRE</v>
          </cell>
          <cell r="B11611" t="str">
            <v>740-00000-000-0000</v>
          </cell>
          <cell r="J11611">
            <v>145311.53</v>
          </cell>
        </row>
        <row r="11612">
          <cell r="A11612" t="str">
            <v>SERVYRE</v>
          </cell>
          <cell r="B11612" t="str">
            <v>740-99999-000-0000</v>
          </cell>
          <cell r="J11612">
            <v>145311.53</v>
          </cell>
        </row>
        <row r="11613">
          <cell r="A11613" t="str">
            <v>SERVYRE</v>
          </cell>
          <cell r="B11613" t="str">
            <v>740-99999-001-0000</v>
          </cell>
          <cell r="J11613">
            <v>145311.53</v>
          </cell>
        </row>
        <row r="11614">
          <cell r="A11614" t="str">
            <v>SERVYRE</v>
          </cell>
          <cell r="J11614">
            <v>0</v>
          </cell>
        </row>
        <row r="11615">
          <cell r="A11615" t="str">
            <v>SERVYRE</v>
          </cell>
          <cell r="J11615">
            <v>0</v>
          </cell>
        </row>
        <row r="11616">
          <cell r="A11616" t="str">
            <v>SERVYRE</v>
          </cell>
          <cell r="J11616">
            <v>0</v>
          </cell>
        </row>
        <row r="11617">
          <cell r="A11617" t="str">
            <v>SERVYRE</v>
          </cell>
          <cell r="J11617">
            <v>0</v>
          </cell>
        </row>
        <row r="11618">
          <cell r="A11618" t="str">
            <v>SERVYRE</v>
          </cell>
          <cell r="J11618">
            <v>0</v>
          </cell>
        </row>
        <row r="11619">
          <cell r="A11619" t="str">
            <v>SERVYRE</v>
          </cell>
          <cell r="J11619">
            <v>0</v>
          </cell>
        </row>
        <row r="11620">
          <cell r="A11620" t="str">
            <v>SERVYRE</v>
          </cell>
          <cell r="J11620">
            <v>0</v>
          </cell>
        </row>
        <row r="11621">
          <cell r="A11621" t="str">
            <v>SERVYRE</v>
          </cell>
          <cell r="J11621">
            <v>0</v>
          </cell>
        </row>
        <row r="11622">
          <cell r="A11622" t="str">
            <v>SERVYRE</v>
          </cell>
          <cell r="J11622">
            <v>0</v>
          </cell>
        </row>
        <row r="11623">
          <cell r="A11623" t="str">
            <v>SERVYRE</v>
          </cell>
          <cell r="J11623">
            <v>0</v>
          </cell>
        </row>
        <row r="11624">
          <cell r="A11624" t="str">
            <v>SERVYRE</v>
          </cell>
          <cell r="J11624">
            <v>0</v>
          </cell>
        </row>
        <row r="11625">
          <cell r="A11625" t="str">
            <v>SERVYRE</v>
          </cell>
          <cell r="J11625">
            <v>0</v>
          </cell>
        </row>
        <row r="11626">
          <cell r="A11626" t="str">
            <v>SERVYRE</v>
          </cell>
          <cell r="J11626">
            <v>0</v>
          </cell>
        </row>
        <row r="11627">
          <cell r="A11627" t="str">
            <v>SERVYRE</v>
          </cell>
          <cell r="J11627">
            <v>0</v>
          </cell>
        </row>
        <row r="11628">
          <cell r="A11628" t="str">
            <v>SERVYRE</v>
          </cell>
          <cell r="J11628">
            <v>0</v>
          </cell>
        </row>
        <row r="11629">
          <cell r="A11629" t="str">
            <v>SERVYRE</v>
          </cell>
          <cell r="J11629">
            <v>0</v>
          </cell>
        </row>
        <row r="11630">
          <cell r="A11630" t="str">
            <v>SERVYRE</v>
          </cell>
          <cell r="J11630">
            <v>0</v>
          </cell>
        </row>
        <row r="11631">
          <cell r="A11631" t="str">
            <v>SERVYRE</v>
          </cell>
          <cell r="J11631">
            <v>0</v>
          </cell>
        </row>
        <row r="11632">
          <cell r="A11632" t="str">
            <v>SERVYRE</v>
          </cell>
          <cell r="J11632">
            <v>0</v>
          </cell>
        </row>
        <row r="11633">
          <cell r="A11633" t="str">
            <v>SERVYRE</v>
          </cell>
          <cell r="J11633">
            <v>0</v>
          </cell>
        </row>
        <row r="11634">
          <cell r="A11634" t="str">
            <v>SERVYRE</v>
          </cell>
          <cell r="J11634">
            <v>0</v>
          </cell>
        </row>
        <row r="11635">
          <cell r="A11635" t="str">
            <v>SERVYRE</v>
          </cell>
          <cell r="J11635">
            <v>0</v>
          </cell>
        </row>
        <row r="11636">
          <cell r="A11636" t="str">
            <v>SERVYRE</v>
          </cell>
          <cell r="J11636">
            <v>0</v>
          </cell>
        </row>
        <row r="11637">
          <cell r="A11637" t="str">
            <v>SERVYRE</v>
          </cell>
          <cell r="J11637">
            <v>0</v>
          </cell>
        </row>
        <row r="11638">
          <cell r="A11638" t="str">
            <v>SERVYRE</v>
          </cell>
          <cell r="J11638">
            <v>0</v>
          </cell>
        </row>
        <row r="11639">
          <cell r="A11639" t="str">
            <v>SERVYRE</v>
          </cell>
          <cell r="J11639">
            <v>0</v>
          </cell>
        </row>
        <row r="11640">
          <cell r="A11640" t="str">
            <v>SERVYRE</v>
          </cell>
          <cell r="J11640">
            <v>0</v>
          </cell>
        </row>
        <row r="11641">
          <cell r="A11641" t="str">
            <v>SERVYRE</v>
          </cell>
          <cell r="J11641">
            <v>0</v>
          </cell>
        </row>
        <row r="11642">
          <cell r="A11642" t="str">
            <v>SERVYRE</v>
          </cell>
          <cell r="J11642">
            <v>0</v>
          </cell>
        </row>
        <row r="11643">
          <cell r="A11643" t="str">
            <v>SERVYRE</v>
          </cell>
          <cell r="J11643">
            <v>0</v>
          </cell>
        </row>
        <row r="11644">
          <cell r="A11644" t="str">
            <v>SERVYRE</v>
          </cell>
          <cell r="J11644">
            <v>0</v>
          </cell>
        </row>
        <row r="11645">
          <cell r="A11645" t="str">
            <v>SERVYRE</v>
          </cell>
          <cell r="J11645">
            <v>0</v>
          </cell>
        </row>
        <row r="11646">
          <cell r="A11646" t="str">
            <v>SERVYRE</v>
          </cell>
          <cell r="J11646">
            <v>0</v>
          </cell>
        </row>
        <row r="11647">
          <cell r="A11647" t="str">
            <v>SERVYRE</v>
          </cell>
          <cell r="J11647">
            <v>0</v>
          </cell>
        </row>
        <row r="11648">
          <cell r="A11648" t="str">
            <v>SERVYRE</v>
          </cell>
          <cell r="J11648">
            <v>0</v>
          </cell>
        </row>
        <row r="11649">
          <cell r="A11649" t="str">
            <v>SERVYRE</v>
          </cell>
          <cell r="J11649">
            <v>0</v>
          </cell>
        </row>
        <row r="11650">
          <cell r="A11650" t="str">
            <v>SERVYRE</v>
          </cell>
          <cell r="J11650">
            <v>0</v>
          </cell>
        </row>
        <row r="11651">
          <cell r="A11651" t="str">
            <v>SERVYRE</v>
          </cell>
          <cell r="J11651">
            <v>0</v>
          </cell>
        </row>
        <row r="11652">
          <cell r="A11652" t="str">
            <v>SERVYRE</v>
          </cell>
          <cell r="J11652">
            <v>0</v>
          </cell>
        </row>
        <row r="11653">
          <cell r="A11653" t="str">
            <v>SERVYRE</v>
          </cell>
          <cell r="J11653">
            <v>0</v>
          </cell>
        </row>
        <row r="11654">
          <cell r="A11654" t="str">
            <v>SERVYRE</v>
          </cell>
          <cell r="J11654">
            <v>0</v>
          </cell>
        </row>
        <row r="11655">
          <cell r="A11655" t="str">
            <v>SERVYRE</v>
          </cell>
          <cell r="J11655">
            <v>0</v>
          </cell>
        </row>
        <row r="11656">
          <cell r="A11656" t="str">
            <v>SERVYRE</v>
          </cell>
          <cell r="J11656">
            <v>0</v>
          </cell>
        </row>
        <row r="11657">
          <cell r="A11657" t="str">
            <v>SERVYRE</v>
          </cell>
          <cell r="J11657">
            <v>0</v>
          </cell>
        </row>
        <row r="11658">
          <cell r="A11658" t="str">
            <v>SERVYRE</v>
          </cell>
          <cell r="J11658">
            <v>0</v>
          </cell>
        </row>
        <row r="11659">
          <cell r="A11659" t="str">
            <v>SERVYRE</v>
          </cell>
          <cell r="J11659">
            <v>0</v>
          </cell>
        </row>
        <row r="11660">
          <cell r="A11660" t="str">
            <v>SERVYRE</v>
          </cell>
          <cell r="J11660">
            <v>0</v>
          </cell>
        </row>
        <row r="11661">
          <cell r="A11661" t="str">
            <v>SERVYRE</v>
          </cell>
          <cell r="J11661">
            <v>0</v>
          </cell>
        </row>
        <row r="11662">
          <cell r="A11662" t="str">
            <v>SERVYRE</v>
          </cell>
          <cell r="J11662">
            <v>0</v>
          </cell>
        </row>
        <row r="11663">
          <cell r="A11663" t="str">
            <v>SERVYRE</v>
          </cell>
          <cell r="J11663">
            <v>0</v>
          </cell>
        </row>
        <row r="11664">
          <cell r="A11664" t="str">
            <v>SERVYRE</v>
          </cell>
          <cell r="J11664">
            <v>0</v>
          </cell>
        </row>
        <row r="11665">
          <cell r="A11665" t="str">
            <v>SERVYRE</v>
          </cell>
          <cell r="J11665">
            <v>0</v>
          </cell>
        </row>
        <row r="11666">
          <cell r="A11666" t="str">
            <v>SERVYRE</v>
          </cell>
          <cell r="J11666">
            <v>0</v>
          </cell>
        </row>
        <row r="11667">
          <cell r="A11667" t="str">
            <v>SERVYRE</v>
          </cell>
          <cell r="J11667">
            <v>0</v>
          </cell>
        </row>
        <row r="11668">
          <cell r="A11668" t="str">
            <v>SERVYRE</v>
          </cell>
          <cell r="J11668">
            <v>0</v>
          </cell>
        </row>
        <row r="11669">
          <cell r="A11669" t="str">
            <v>SERVYRE</v>
          </cell>
          <cell r="J11669">
            <v>0</v>
          </cell>
        </row>
        <row r="11670">
          <cell r="A11670" t="str">
            <v>SERVYRE</v>
          </cell>
          <cell r="J11670">
            <v>0</v>
          </cell>
        </row>
        <row r="11671">
          <cell r="A11671" t="str">
            <v>SERVYRE</v>
          </cell>
          <cell r="J11671">
            <v>0</v>
          </cell>
        </row>
        <row r="11672">
          <cell r="A11672" t="str">
            <v>SERVYRE</v>
          </cell>
          <cell r="J11672">
            <v>0</v>
          </cell>
        </row>
        <row r="11673">
          <cell r="A11673" t="str">
            <v>SERVYRE</v>
          </cell>
          <cell r="J11673">
            <v>0</v>
          </cell>
        </row>
        <row r="11674">
          <cell r="A11674" t="str">
            <v>SERVYRE</v>
          </cell>
          <cell r="J11674">
            <v>0</v>
          </cell>
        </row>
        <row r="11675">
          <cell r="A11675" t="str">
            <v>SERVYRE</v>
          </cell>
          <cell r="J11675">
            <v>0</v>
          </cell>
        </row>
        <row r="11676">
          <cell r="A11676" t="str">
            <v>SERVYRE</v>
          </cell>
          <cell r="J11676">
            <v>0</v>
          </cell>
        </row>
        <row r="11677">
          <cell r="A11677" t="str">
            <v>SERVYRE</v>
          </cell>
          <cell r="J11677">
            <v>0</v>
          </cell>
        </row>
        <row r="11678">
          <cell r="A11678" t="str">
            <v>SERVYRE</v>
          </cell>
          <cell r="J11678">
            <v>0</v>
          </cell>
        </row>
        <row r="11679">
          <cell r="A11679" t="str">
            <v>SERVYRE</v>
          </cell>
          <cell r="J11679">
            <v>0</v>
          </cell>
        </row>
        <row r="11680">
          <cell r="A11680" t="str">
            <v>SERVYRE</v>
          </cell>
          <cell r="J11680">
            <v>0</v>
          </cell>
        </row>
        <row r="11681">
          <cell r="A11681" t="str">
            <v>SERVYRE</v>
          </cell>
          <cell r="J11681">
            <v>0</v>
          </cell>
        </row>
        <row r="11682">
          <cell r="A11682" t="str">
            <v>SERVYRE</v>
          </cell>
          <cell r="J11682">
            <v>0</v>
          </cell>
        </row>
        <row r="11683">
          <cell r="A11683" t="str">
            <v>SERVYRE</v>
          </cell>
          <cell r="J11683">
            <v>0</v>
          </cell>
        </row>
        <row r="11684">
          <cell r="A11684" t="str">
            <v>SERVYRE</v>
          </cell>
          <cell r="J11684">
            <v>0</v>
          </cell>
        </row>
        <row r="11685">
          <cell r="A11685" t="str">
            <v>SERVYRE</v>
          </cell>
          <cell r="J11685">
            <v>0</v>
          </cell>
        </row>
        <row r="11686">
          <cell r="A11686" t="str">
            <v>SERVYRE</v>
          </cell>
          <cell r="J11686">
            <v>0</v>
          </cell>
        </row>
        <row r="11687">
          <cell r="A11687" t="str">
            <v>SERVYRE</v>
          </cell>
          <cell r="J11687">
            <v>0</v>
          </cell>
        </row>
        <row r="11688">
          <cell r="A11688" t="str">
            <v>SERVYRE</v>
          </cell>
          <cell r="J11688">
            <v>0</v>
          </cell>
        </row>
        <row r="11689">
          <cell r="A11689" t="str">
            <v>SERVYRE</v>
          </cell>
          <cell r="J11689">
            <v>0</v>
          </cell>
        </row>
        <row r="11690">
          <cell r="A11690" t="str">
            <v>SERVYRE</v>
          </cell>
          <cell r="J11690">
            <v>0</v>
          </cell>
        </row>
        <row r="11691">
          <cell r="A11691" t="str">
            <v>SERVYRE</v>
          </cell>
          <cell r="J11691">
            <v>0</v>
          </cell>
        </row>
        <row r="11692">
          <cell r="A11692" t="str">
            <v>SERVYRE</v>
          </cell>
          <cell r="J11692">
            <v>0</v>
          </cell>
        </row>
        <row r="11693">
          <cell r="A11693" t="str">
            <v>SERVYRE</v>
          </cell>
          <cell r="J11693">
            <v>0</v>
          </cell>
        </row>
        <row r="11694">
          <cell r="A11694" t="str">
            <v>SERVYRE</v>
          </cell>
          <cell r="J11694">
            <v>0</v>
          </cell>
        </row>
        <row r="11695">
          <cell r="A11695" t="str">
            <v>SERVYRE</v>
          </cell>
          <cell r="J11695">
            <v>0</v>
          </cell>
        </row>
        <row r="11696">
          <cell r="A11696" t="str">
            <v>SERVYRE</v>
          </cell>
          <cell r="J11696">
            <v>0</v>
          </cell>
        </row>
        <row r="11697">
          <cell r="A11697" t="str">
            <v>SERVYRE</v>
          </cell>
          <cell r="J11697">
            <v>0</v>
          </cell>
        </row>
        <row r="11698">
          <cell r="A11698" t="str">
            <v>SERVYRE</v>
          </cell>
          <cell r="J11698">
            <v>0</v>
          </cell>
        </row>
        <row r="11699">
          <cell r="A11699" t="str">
            <v>SERVYRE</v>
          </cell>
          <cell r="J11699">
            <v>0</v>
          </cell>
        </row>
        <row r="11700">
          <cell r="A11700" t="str">
            <v>SERVYRE</v>
          </cell>
          <cell r="J11700">
            <v>0</v>
          </cell>
        </row>
        <row r="11701">
          <cell r="A11701" t="str">
            <v>SERVYRE</v>
          </cell>
          <cell r="J11701">
            <v>0</v>
          </cell>
        </row>
        <row r="11702">
          <cell r="A11702" t="str">
            <v>SERVYRE</v>
          </cell>
          <cell r="J11702">
            <v>0</v>
          </cell>
        </row>
        <row r="11703">
          <cell r="A11703" t="str">
            <v>SERVYRE</v>
          </cell>
          <cell r="J11703">
            <v>0</v>
          </cell>
        </row>
        <row r="11704">
          <cell r="A11704" t="str">
            <v>SERVYRE</v>
          </cell>
          <cell r="J11704">
            <v>0</v>
          </cell>
        </row>
        <row r="11705">
          <cell r="A11705" t="str">
            <v>SERVYRE</v>
          </cell>
          <cell r="J11705">
            <v>0</v>
          </cell>
        </row>
        <row r="11706">
          <cell r="A11706" t="str">
            <v>SERVYRE</v>
          </cell>
          <cell r="J11706">
            <v>0</v>
          </cell>
        </row>
        <row r="11707">
          <cell r="A11707" t="str">
            <v>SERVYRE</v>
          </cell>
          <cell r="J11707">
            <v>0</v>
          </cell>
        </row>
        <row r="11708">
          <cell r="A11708" t="str">
            <v>SERVYRE</v>
          </cell>
          <cell r="J11708">
            <v>0</v>
          </cell>
        </row>
        <row r="11709">
          <cell r="A11709" t="str">
            <v>SERVYRE</v>
          </cell>
          <cell r="J11709">
            <v>0</v>
          </cell>
        </row>
        <row r="11710">
          <cell r="A11710" t="str">
            <v>SERVYRE</v>
          </cell>
          <cell r="J11710">
            <v>0</v>
          </cell>
        </row>
        <row r="11711">
          <cell r="A11711" t="str">
            <v>SERVYRE</v>
          </cell>
          <cell r="J11711">
            <v>0</v>
          </cell>
        </row>
        <row r="11712">
          <cell r="A11712" t="str">
            <v>SERVYRE</v>
          </cell>
          <cell r="J11712">
            <v>0</v>
          </cell>
        </row>
        <row r="11713">
          <cell r="A11713" t="str">
            <v>SERVYRE</v>
          </cell>
          <cell r="J11713">
            <v>0</v>
          </cell>
        </row>
        <row r="11714">
          <cell r="A11714" t="str">
            <v>SERVYRE</v>
          </cell>
          <cell r="J11714">
            <v>0</v>
          </cell>
        </row>
        <row r="11715">
          <cell r="A11715" t="str">
            <v>SERVYRE</v>
          </cell>
          <cell r="J11715">
            <v>0</v>
          </cell>
        </row>
        <row r="11716">
          <cell r="A11716" t="str">
            <v>SERVYRE</v>
          </cell>
          <cell r="J11716">
            <v>0</v>
          </cell>
        </row>
        <row r="11717">
          <cell r="A11717" t="str">
            <v>SERVYRE</v>
          </cell>
          <cell r="J11717">
            <v>0</v>
          </cell>
        </row>
        <row r="11718">
          <cell r="A11718" t="str">
            <v>SERVYRE</v>
          </cell>
          <cell r="J11718">
            <v>0</v>
          </cell>
        </row>
        <row r="11719">
          <cell r="A11719" t="str">
            <v>SERVYRE</v>
          </cell>
          <cell r="J11719">
            <v>0</v>
          </cell>
        </row>
        <row r="11720">
          <cell r="A11720" t="str">
            <v>SERVYRE</v>
          </cell>
          <cell r="J11720">
            <v>0</v>
          </cell>
        </row>
        <row r="11721">
          <cell r="A11721" t="str">
            <v>SERVYRE</v>
          </cell>
          <cell r="J11721">
            <v>0</v>
          </cell>
        </row>
        <row r="11722">
          <cell r="A11722" t="str">
            <v>SERVYRE</v>
          </cell>
          <cell r="J11722">
            <v>0</v>
          </cell>
        </row>
        <row r="11723">
          <cell r="A11723" t="str">
            <v>SERVYRE</v>
          </cell>
          <cell r="J11723">
            <v>0</v>
          </cell>
        </row>
        <row r="11724">
          <cell r="A11724" t="str">
            <v>SERVYRE</v>
          </cell>
          <cell r="J11724">
            <v>0</v>
          </cell>
        </row>
        <row r="11725">
          <cell r="A11725" t="str">
            <v>SERVYRE</v>
          </cell>
          <cell r="J11725">
            <v>0</v>
          </cell>
        </row>
        <row r="11726">
          <cell r="A11726" t="str">
            <v>SERVYRE</v>
          </cell>
          <cell r="J11726">
            <v>0</v>
          </cell>
        </row>
        <row r="11727">
          <cell r="A11727" t="str">
            <v>SERVYRE</v>
          </cell>
          <cell r="J11727">
            <v>0</v>
          </cell>
        </row>
        <row r="11728">
          <cell r="A11728" t="str">
            <v>SERVYRE</v>
          </cell>
          <cell r="J11728">
            <v>0</v>
          </cell>
        </row>
        <row r="11729">
          <cell r="A11729" t="str">
            <v>SERVYRE</v>
          </cell>
          <cell r="J11729">
            <v>0</v>
          </cell>
        </row>
        <row r="11730">
          <cell r="A11730" t="str">
            <v>SERVYRE</v>
          </cell>
          <cell r="J11730">
            <v>0</v>
          </cell>
        </row>
        <row r="11731">
          <cell r="A11731" t="str">
            <v>SERVYRE</v>
          </cell>
          <cell r="J11731">
            <v>0</v>
          </cell>
        </row>
        <row r="11732">
          <cell r="A11732" t="str">
            <v>SERVYRE</v>
          </cell>
          <cell r="J11732">
            <v>0</v>
          </cell>
        </row>
        <row r="11733">
          <cell r="A11733" t="str">
            <v>SERVYRE</v>
          </cell>
          <cell r="J11733">
            <v>0</v>
          </cell>
        </row>
        <row r="11734">
          <cell r="A11734" t="str">
            <v>SERVYRE</v>
          </cell>
          <cell r="J11734">
            <v>0</v>
          </cell>
        </row>
        <row r="11735">
          <cell r="A11735" t="str">
            <v>SERVYRE</v>
          </cell>
          <cell r="J11735">
            <v>0</v>
          </cell>
        </row>
        <row r="11736">
          <cell r="A11736" t="str">
            <v>SERVYRE</v>
          </cell>
          <cell r="J11736">
            <v>0</v>
          </cell>
        </row>
        <row r="11737">
          <cell r="A11737" t="str">
            <v>SERVYRE</v>
          </cell>
          <cell r="J11737">
            <v>0</v>
          </cell>
        </row>
        <row r="11738">
          <cell r="A11738" t="str">
            <v>SERVYRE</v>
          </cell>
          <cell r="J11738">
            <v>0</v>
          </cell>
        </row>
        <row r="11739">
          <cell r="A11739" t="str">
            <v>SERVYRE</v>
          </cell>
          <cell r="J11739">
            <v>0</v>
          </cell>
        </row>
        <row r="11740">
          <cell r="A11740" t="str">
            <v>SERVYRE</v>
          </cell>
          <cell r="J11740">
            <v>0</v>
          </cell>
        </row>
        <row r="11741">
          <cell r="A11741" t="str">
            <v>SERVYRE</v>
          </cell>
          <cell r="J11741">
            <v>0</v>
          </cell>
        </row>
        <row r="11742">
          <cell r="A11742" t="str">
            <v>SERVYRE</v>
          </cell>
          <cell r="J11742">
            <v>0</v>
          </cell>
        </row>
        <row r="11743">
          <cell r="A11743" t="str">
            <v>SERVYRE</v>
          </cell>
          <cell r="J11743">
            <v>0</v>
          </cell>
        </row>
        <row r="11744">
          <cell r="A11744" t="str">
            <v>SERVYRE</v>
          </cell>
          <cell r="J11744">
            <v>0</v>
          </cell>
        </row>
        <row r="11745">
          <cell r="A11745" t="str">
            <v>SERVYRE</v>
          </cell>
          <cell r="J11745">
            <v>0</v>
          </cell>
        </row>
        <row r="11746">
          <cell r="A11746" t="str">
            <v>SERVYRE</v>
          </cell>
          <cell r="J11746">
            <v>0</v>
          </cell>
        </row>
        <row r="11747">
          <cell r="A11747" t="str">
            <v>SERVYRE</v>
          </cell>
          <cell r="J11747">
            <v>0</v>
          </cell>
        </row>
        <row r="11748">
          <cell r="A11748" t="str">
            <v>SERVYRE</v>
          </cell>
          <cell r="J11748">
            <v>0</v>
          </cell>
        </row>
        <row r="11749">
          <cell r="A11749" t="str">
            <v>SERVYRE</v>
          </cell>
          <cell r="J11749">
            <v>0</v>
          </cell>
        </row>
        <row r="11750">
          <cell r="A11750" t="str">
            <v>SERVYRE</v>
          </cell>
          <cell r="J11750">
            <v>0</v>
          </cell>
        </row>
        <row r="11751">
          <cell r="A11751" t="str">
            <v>SERVYRE</v>
          </cell>
          <cell r="J11751">
            <v>0</v>
          </cell>
        </row>
        <row r="11752">
          <cell r="A11752" t="str">
            <v>SERVYRE</v>
          </cell>
          <cell r="J11752">
            <v>0</v>
          </cell>
        </row>
        <row r="11753">
          <cell r="A11753" t="str">
            <v>SERVYRE</v>
          </cell>
          <cell r="J11753">
            <v>0</v>
          </cell>
        </row>
        <row r="11754">
          <cell r="A11754" t="str">
            <v>SERVYRE</v>
          </cell>
          <cell r="J11754">
            <v>0</v>
          </cell>
        </row>
        <row r="11755">
          <cell r="A11755" t="str">
            <v>SERVYRE</v>
          </cell>
          <cell r="J11755">
            <v>0</v>
          </cell>
        </row>
        <row r="11756">
          <cell r="A11756" t="str">
            <v>SERVYRE</v>
          </cell>
          <cell r="J11756">
            <v>0</v>
          </cell>
        </row>
        <row r="11757">
          <cell r="A11757" t="str">
            <v>SERVYRE</v>
          </cell>
          <cell r="J11757">
            <v>0</v>
          </cell>
        </row>
        <row r="11758">
          <cell r="A11758" t="str">
            <v>SERVYRE</v>
          </cell>
          <cell r="J11758">
            <v>0</v>
          </cell>
        </row>
        <row r="11759">
          <cell r="A11759" t="str">
            <v>SERVYRE</v>
          </cell>
          <cell r="J11759">
            <v>0</v>
          </cell>
        </row>
        <row r="11760">
          <cell r="A11760" t="str">
            <v>SERVYRE</v>
          </cell>
          <cell r="J11760">
            <v>0</v>
          </cell>
        </row>
        <row r="11761">
          <cell r="A11761" t="str">
            <v>SERVYRE</v>
          </cell>
          <cell r="J11761">
            <v>0</v>
          </cell>
        </row>
        <row r="11762">
          <cell r="A11762" t="str">
            <v>SERVYRE</v>
          </cell>
          <cell r="J11762">
            <v>0</v>
          </cell>
        </row>
        <row r="11763">
          <cell r="A11763" t="str">
            <v>SERVYRE</v>
          </cell>
          <cell r="J11763">
            <v>0</v>
          </cell>
        </row>
        <row r="11764">
          <cell r="A11764" t="str">
            <v>SERVYRE</v>
          </cell>
          <cell r="J11764">
            <v>0</v>
          </cell>
        </row>
        <row r="11765">
          <cell r="A11765" t="str">
            <v>SERVYRE</v>
          </cell>
          <cell r="J11765">
            <v>0</v>
          </cell>
        </row>
        <row r="11766">
          <cell r="A11766" t="str">
            <v>SERVYRE</v>
          </cell>
          <cell r="J11766">
            <v>0</v>
          </cell>
        </row>
        <row r="11767">
          <cell r="A11767" t="str">
            <v>SERVYRE</v>
          </cell>
          <cell r="J11767">
            <v>0</v>
          </cell>
        </row>
        <row r="11768">
          <cell r="A11768" t="str">
            <v>SERVYRE</v>
          </cell>
          <cell r="J11768">
            <v>0</v>
          </cell>
        </row>
        <row r="11769">
          <cell r="A11769" t="str">
            <v>SERVYRE</v>
          </cell>
          <cell r="J11769">
            <v>0</v>
          </cell>
        </row>
        <row r="11770">
          <cell r="A11770" t="str">
            <v>SERVYRE</v>
          </cell>
          <cell r="J11770">
            <v>0</v>
          </cell>
        </row>
        <row r="11771">
          <cell r="A11771" t="str">
            <v>SERVYRE</v>
          </cell>
          <cell r="J11771">
            <v>0</v>
          </cell>
        </row>
        <row r="11772">
          <cell r="A11772" t="str">
            <v>SERVYRE</v>
          </cell>
          <cell r="J11772">
            <v>0</v>
          </cell>
        </row>
        <row r="11773">
          <cell r="A11773" t="str">
            <v>SERVYRE</v>
          </cell>
          <cell r="J11773">
            <v>0</v>
          </cell>
        </row>
        <row r="11774">
          <cell r="A11774" t="str">
            <v>SERVYRE</v>
          </cell>
          <cell r="J11774">
            <v>0</v>
          </cell>
        </row>
        <row r="11775">
          <cell r="A11775" t="str">
            <v>SERVYRE</v>
          </cell>
          <cell r="J11775">
            <v>0</v>
          </cell>
        </row>
        <row r="11776">
          <cell r="A11776" t="str">
            <v>SERVYRE</v>
          </cell>
          <cell r="J11776">
            <v>0</v>
          </cell>
        </row>
        <row r="11777">
          <cell r="A11777" t="str">
            <v>SERVYRE</v>
          </cell>
          <cell r="J11777">
            <v>0</v>
          </cell>
        </row>
        <row r="11778">
          <cell r="A11778" t="str">
            <v>SERVYRE</v>
          </cell>
          <cell r="J11778">
            <v>0</v>
          </cell>
        </row>
        <row r="11779">
          <cell r="A11779" t="str">
            <v>SERVYRE</v>
          </cell>
          <cell r="J11779">
            <v>0</v>
          </cell>
        </row>
        <row r="11780">
          <cell r="A11780" t="str">
            <v>SERVYRE</v>
          </cell>
          <cell r="J11780">
            <v>0</v>
          </cell>
        </row>
        <row r="11781">
          <cell r="A11781" t="str">
            <v>SERVYRE</v>
          </cell>
          <cell r="J11781">
            <v>0</v>
          </cell>
        </row>
        <row r="11782">
          <cell r="A11782" t="str">
            <v>SERVYRE</v>
          </cell>
          <cell r="J11782">
            <v>0</v>
          </cell>
        </row>
        <row r="11783">
          <cell r="A11783" t="str">
            <v>SERVYRE</v>
          </cell>
          <cell r="J11783">
            <v>0</v>
          </cell>
        </row>
        <row r="11784">
          <cell r="A11784" t="str">
            <v>SERVYRE</v>
          </cell>
          <cell r="J11784">
            <v>0</v>
          </cell>
        </row>
        <row r="11785">
          <cell r="A11785" t="str">
            <v>SERVYRE</v>
          </cell>
          <cell r="J11785">
            <v>0</v>
          </cell>
        </row>
        <row r="11786">
          <cell r="A11786" t="str">
            <v>SERVYRE</v>
          </cell>
          <cell r="J11786">
            <v>0</v>
          </cell>
        </row>
        <row r="11787">
          <cell r="A11787" t="str">
            <v>SERVYRE</v>
          </cell>
          <cell r="J11787">
            <v>0</v>
          </cell>
        </row>
        <row r="11788">
          <cell r="A11788" t="str">
            <v>SERVYRE</v>
          </cell>
          <cell r="J11788">
            <v>0</v>
          </cell>
        </row>
        <row r="11789">
          <cell r="A11789" t="str">
            <v>SERVYRE</v>
          </cell>
          <cell r="J11789">
            <v>0</v>
          </cell>
        </row>
        <row r="11790">
          <cell r="A11790" t="str">
            <v>SERVYRE</v>
          </cell>
          <cell r="J11790">
            <v>0</v>
          </cell>
        </row>
        <row r="11791">
          <cell r="A11791" t="str">
            <v>SERVYRE</v>
          </cell>
          <cell r="J11791">
            <v>0</v>
          </cell>
        </row>
        <row r="11792">
          <cell r="A11792" t="str">
            <v>SERVYRE</v>
          </cell>
          <cell r="J11792">
            <v>0</v>
          </cell>
        </row>
        <row r="11793">
          <cell r="A11793" t="str">
            <v>SERVYRE</v>
          </cell>
          <cell r="J11793">
            <v>0</v>
          </cell>
        </row>
        <row r="11794">
          <cell r="A11794" t="str">
            <v>SERVYRE</v>
          </cell>
          <cell r="J11794">
            <v>0</v>
          </cell>
        </row>
        <row r="11795">
          <cell r="A11795" t="str">
            <v>SERVYRE</v>
          </cell>
          <cell r="J11795">
            <v>0</v>
          </cell>
        </row>
        <row r="11796">
          <cell r="A11796" t="str">
            <v>SERVYRE</v>
          </cell>
          <cell r="J11796">
            <v>0</v>
          </cell>
        </row>
        <row r="11797">
          <cell r="A11797" t="str">
            <v>SERVYRE</v>
          </cell>
          <cell r="J11797">
            <v>0</v>
          </cell>
        </row>
        <row r="11798">
          <cell r="A11798" t="str">
            <v>SERVYRE</v>
          </cell>
          <cell r="J11798">
            <v>0</v>
          </cell>
        </row>
        <row r="11799">
          <cell r="A11799" t="str">
            <v>SERVYRE</v>
          </cell>
          <cell r="J11799">
            <v>0</v>
          </cell>
        </row>
        <row r="11800">
          <cell r="A11800" t="str">
            <v>SERVYRE</v>
          </cell>
          <cell r="J11800">
            <v>0</v>
          </cell>
        </row>
        <row r="11801">
          <cell r="A11801" t="str">
            <v>SERVYRE</v>
          </cell>
          <cell r="J11801">
            <v>0</v>
          </cell>
        </row>
        <row r="11802">
          <cell r="A11802" t="str">
            <v>SERVYRE</v>
          </cell>
          <cell r="J11802">
            <v>0</v>
          </cell>
        </row>
        <row r="11803">
          <cell r="A11803" t="str">
            <v>SERVYRE</v>
          </cell>
          <cell r="J11803">
            <v>0</v>
          </cell>
        </row>
        <row r="11804">
          <cell r="A11804" t="str">
            <v>SERVYRE</v>
          </cell>
          <cell r="J11804">
            <v>0</v>
          </cell>
        </row>
        <row r="11805">
          <cell r="A11805" t="str">
            <v>SERVYRE</v>
          </cell>
          <cell r="J11805">
            <v>0</v>
          </cell>
        </row>
        <row r="11806">
          <cell r="A11806" t="str">
            <v>SERVYRE</v>
          </cell>
          <cell r="J11806">
            <v>0</v>
          </cell>
        </row>
        <row r="11807">
          <cell r="A11807" t="str">
            <v>SERVYRE</v>
          </cell>
          <cell r="J11807">
            <v>0</v>
          </cell>
        </row>
        <row r="11808">
          <cell r="A11808" t="str">
            <v>SERVYRE</v>
          </cell>
          <cell r="J11808">
            <v>0</v>
          </cell>
        </row>
        <row r="11809">
          <cell r="A11809" t="str">
            <v>SERVYRE</v>
          </cell>
          <cell r="J11809">
            <v>0</v>
          </cell>
        </row>
        <row r="11810">
          <cell r="A11810" t="str">
            <v>SERVYRE</v>
          </cell>
          <cell r="J11810">
            <v>0</v>
          </cell>
        </row>
        <row r="11811">
          <cell r="A11811" t="str">
            <v>SERVYRE</v>
          </cell>
          <cell r="J11811">
            <v>0</v>
          </cell>
        </row>
        <row r="11812">
          <cell r="A11812" t="str">
            <v>SERVYRE</v>
          </cell>
          <cell r="J11812">
            <v>0</v>
          </cell>
        </row>
        <row r="11813">
          <cell r="A11813" t="str">
            <v>SERVYRE</v>
          </cell>
          <cell r="J11813">
            <v>0</v>
          </cell>
        </row>
        <row r="11814">
          <cell r="A11814" t="str">
            <v>SERVYRE</v>
          </cell>
          <cell r="J11814">
            <v>0</v>
          </cell>
        </row>
        <row r="11815">
          <cell r="A11815" t="str">
            <v>SERVYRE</v>
          </cell>
          <cell r="J11815">
            <v>0</v>
          </cell>
        </row>
        <row r="11816">
          <cell r="A11816" t="str">
            <v>SERVYRE</v>
          </cell>
          <cell r="J11816">
            <v>0</v>
          </cell>
        </row>
        <row r="11817">
          <cell r="A11817" t="str">
            <v>SERVYRE</v>
          </cell>
          <cell r="J11817">
            <v>0</v>
          </cell>
        </row>
        <row r="11818">
          <cell r="A11818" t="str">
            <v>SERVYRE</v>
          </cell>
          <cell r="J11818">
            <v>0</v>
          </cell>
        </row>
        <row r="11819">
          <cell r="A11819" t="str">
            <v>SERVYRE</v>
          </cell>
          <cell r="J11819">
            <v>0</v>
          </cell>
        </row>
        <row r="11820">
          <cell r="A11820" t="str">
            <v>SERVYRE</v>
          </cell>
          <cell r="J11820">
            <v>0</v>
          </cell>
        </row>
        <row r="11821">
          <cell r="A11821" t="str">
            <v>SERVYRE</v>
          </cell>
          <cell r="J11821">
            <v>0</v>
          </cell>
        </row>
        <row r="11822">
          <cell r="A11822" t="str">
            <v>SERVYRE</v>
          </cell>
          <cell r="J11822">
            <v>0</v>
          </cell>
        </row>
        <row r="11823">
          <cell r="A11823" t="str">
            <v>SERVYRE</v>
          </cell>
          <cell r="J11823">
            <v>0</v>
          </cell>
        </row>
        <row r="11824">
          <cell r="A11824" t="str">
            <v>SERVYRE</v>
          </cell>
          <cell r="J11824">
            <v>0</v>
          </cell>
        </row>
        <row r="11825">
          <cell r="A11825" t="str">
            <v>SERVYRE</v>
          </cell>
          <cell r="J11825">
            <v>0</v>
          </cell>
        </row>
        <row r="11826">
          <cell r="A11826" t="str">
            <v>SERVYRE</v>
          </cell>
          <cell r="J11826">
            <v>0</v>
          </cell>
        </row>
        <row r="11827">
          <cell r="A11827" t="str">
            <v>SERVYRE</v>
          </cell>
          <cell r="J11827">
            <v>0</v>
          </cell>
        </row>
        <row r="11828">
          <cell r="A11828" t="str">
            <v>SERVYRE</v>
          </cell>
          <cell r="J11828">
            <v>0</v>
          </cell>
        </row>
        <row r="11829">
          <cell r="A11829" t="str">
            <v>SERVYRE</v>
          </cell>
          <cell r="J11829">
            <v>0</v>
          </cell>
        </row>
        <row r="11830">
          <cell r="A11830" t="str">
            <v>SERVYRE</v>
          </cell>
          <cell r="J11830">
            <v>0</v>
          </cell>
        </row>
        <row r="11831">
          <cell r="A11831" t="str">
            <v>SERVYRE</v>
          </cell>
          <cell r="J11831">
            <v>0</v>
          </cell>
        </row>
        <row r="11832">
          <cell r="A11832" t="str">
            <v>SERVYRE</v>
          </cell>
          <cell r="J11832">
            <v>0</v>
          </cell>
        </row>
        <row r="11833">
          <cell r="A11833" t="str">
            <v>SERVYRE</v>
          </cell>
          <cell r="J11833">
            <v>0</v>
          </cell>
        </row>
        <row r="11834">
          <cell r="A11834" t="str">
            <v>SERVYRE</v>
          </cell>
          <cell r="J11834">
            <v>0</v>
          </cell>
        </row>
        <row r="11835">
          <cell r="A11835" t="str">
            <v>SERVYRE</v>
          </cell>
          <cell r="J11835">
            <v>0</v>
          </cell>
        </row>
        <row r="11836">
          <cell r="A11836" t="str">
            <v>SERVYRE</v>
          </cell>
          <cell r="J11836">
            <v>0</v>
          </cell>
        </row>
        <row r="11837">
          <cell r="A11837" t="str">
            <v>SERVYRE</v>
          </cell>
          <cell r="J11837">
            <v>0</v>
          </cell>
        </row>
        <row r="11838">
          <cell r="A11838" t="str">
            <v>SERVYRE</v>
          </cell>
          <cell r="J11838">
            <v>0</v>
          </cell>
        </row>
        <row r="11839">
          <cell r="A11839" t="str">
            <v>SERVYRE</v>
          </cell>
          <cell r="J11839">
            <v>0</v>
          </cell>
        </row>
        <row r="11840">
          <cell r="A11840" t="str">
            <v>SERVYRE</v>
          </cell>
          <cell r="J11840">
            <v>0</v>
          </cell>
        </row>
        <row r="11841">
          <cell r="A11841" t="str">
            <v>SERVYRE</v>
          </cell>
          <cell r="J11841">
            <v>0</v>
          </cell>
        </row>
        <row r="11842">
          <cell r="A11842" t="str">
            <v>SERVYRE</v>
          </cell>
          <cell r="J11842">
            <v>0</v>
          </cell>
        </row>
        <row r="11843">
          <cell r="A11843" t="str">
            <v>SERVYRE</v>
          </cell>
          <cell r="J11843">
            <v>0</v>
          </cell>
        </row>
        <row r="11844">
          <cell r="A11844" t="str">
            <v>SERVYRE</v>
          </cell>
          <cell r="J11844">
            <v>0</v>
          </cell>
        </row>
        <row r="11845">
          <cell r="A11845" t="str">
            <v>SERVYRE</v>
          </cell>
          <cell r="J11845">
            <v>0</v>
          </cell>
        </row>
        <row r="11846">
          <cell r="A11846" t="str">
            <v>SERVYRE</v>
          </cell>
          <cell r="J11846">
            <v>0</v>
          </cell>
        </row>
        <row r="11847">
          <cell r="A11847" t="str">
            <v>SERVYRE</v>
          </cell>
          <cell r="J11847">
            <v>0</v>
          </cell>
        </row>
        <row r="11848">
          <cell r="A11848" t="str">
            <v>SERVYRE</v>
          </cell>
          <cell r="J11848">
            <v>0</v>
          </cell>
        </row>
        <row r="11849">
          <cell r="A11849" t="str">
            <v>SERVYRE</v>
          </cell>
          <cell r="J11849">
            <v>0</v>
          </cell>
        </row>
        <row r="11850">
          <cell r="A11850" t="str">
            <v>SERVYRE</v>
          </cell>
          <cell r="J11850">
            <v>0</v>
          </cell>
        </row>
        <row r="11851">
          <cell r="A11851" t="str">
            <v>SERVYRE</v>
          </cell>
          <cell r="J11851">
            <v>0</v>
          </cell>
        </row>
        <row r="11852">
          <cell r="A11852" t="str">
            <v>SERVYRE</v>
          </cell>
          <cell r="J11852">
            <v>0</v>
          </cell>
        </row>
        <row r="11853">
          <cell r="A11853" t="str">
            <v>SERVYRE</v>
          </cell>
          <cell r="J11853">
            <v>0</v>
          </cell>
        </row>
        <row r="11854">
          <cell r="A11854" t="str">
            <v>SERVYRE</v>
          </cell>
          <cell r="J11854">
            <v>0</v>
          </cell>
        </row>
        <row r="11855">
          <cell r="A11855" t="str">
            <v>SERVYRE</v>
          </cell>
          <cell r="J11855">
            <v>0</v>
          </cell>
        </row>
        <row r="11856">
          <cell r="A11856" t="str">
            <v>SERVYRE</v>
          </cell>
          <cell r="J11856">
            <v>0</v>
          </cell>
        </row>
        <row r="11857">
          <cell r="A11857" t="str">
            <v>SERVYRE</v>
          </cell>
          <cell r="J11857">
            <v>0</v>
          </cell>
        </row>
        <row r="11858">
          <cell r="A11858" t="str">
            <v>SERVYRE</v>
          </cell>
          <cell r="J11858">
            <v>0</v>
          </cell>
        </row>
        <row r="11859">
          <cell r="A11859" t="str">
            <v>SERVYRE</v>
          </cell>
          <cell r="J11859">
            <v>0</v>
          </cell>
        </row>
        <row r="11860">
          <cell r="A11860" t="str">
            <v>SERVYRE</v>
          </cell>
          <cell r="J11860">
            <v>0</v>
          </cell>
        </row>
        <row r="11861">
          <cell r="A11861" t="str">
            <v>SERVYRE</v>
          </cell>
          <cell r="J11861">
            <v>0</v>
          </cell>
        </row>
        <row r="11862">
          <cell r="A11862" t="str">
            <v>SERVYRE</v>
          </cell>
          <cell r="J11862">
            <v>0</v>
          </cell>
        </row>
        <row r="11863">
          <cell r="A11863" t="str">
            <v>SERVYRE</v>
          </cell>
          <cell r="J11863">
            <v>0</v>
          </cell>
        </row>
        <row r="11864">
          <cell r="A11864" t="str">
            <v>SERVYRE</v>
          </cell>
          <cell r="J11864">
            <v>0</v>
          </cell>
        </row>
        <row r="11865">
          <cell r="A11865" t="str">
            <v>SERVYRE</v>
          </cell>
          <cell r="J11865">
            <v>0</v>
          </cell>
        </row>
        <row r="11866">
          <cell r="A11866" t="str">
            <v>SERVYRE</v>
          </cell>
          <cell r="J11866">
            <v>0</v>
          </cell>
        </row>
        <row r="11867">
          <cell r="A11867" t="str">
            <v>SERVYRE</v>
          </cell>
          <cell r="J11867">
            <v>0</v>
          </cell>
        </row>
        <row r="11868">
          <cell r="A11868" t="str">
            <v>SERVYRE</v>
          </cell>
          <cell r="J11868">
            <v>0</v>
          </cell>
        </row>
        <row r="11869">
          <cell r="A11869" t="str">
            <v>SERVYRE</v>
          </cell>
          <cell r="J11869">
            <v>0</v>
          </cell>
        </row>
        <row r="11870">
          <cell r="A11870" t="str">
            <v>SERVYRE</v>
          </cell>
          <cell r="J11870">
            <v>0</v>
          </cell>
        </row>
        <row r="11871">
          <cell r="A11871" t="str">
            <v>SERVYRE</v>
          </cell>
          <cell r="J11871">
            <v>0</v>
          </cell>
        </row>
        <row r="11872">
          <cell r="A11872" t="str">
            <v>SERVYRE</v>
          </cell>
          <cell r="J11872">
            <v>0</v>
          </cell>
        </row>
        <row r="11873">
          <cell r="A11873" t="str">
            <v>SERVYRE</v>
          </cell>
          <cell r="J11873">
            <v>0</v>
          </cell>
        </row>
        <row r="11874">
          <cell r="A11874" t="str">
            <v>SERVYRE</v>
          </cell>
          <cell r="J11874">
            <v>0</v>
          </cell>
        </row>
        <row r="11875">
          <cell r="A11875" t="str">
            <v>SERVYRE</v>
          </cell>
          <cell r="J11875">
            <v>0</v>
          </cell>
        </row>
        <row r="11876">
          <cell r="A11876" t="str">
            <v>SERVYRE</v>
          </cell>
          <cell r="J11876">
            <v>0</v>
          </cell>
        </row>
        <row r="11877">
          <cell r="A11877" t="str">
            <v>SERVYRE</v>
          </cell>
          <cell r="J11877">
            <v>0</v>
          </cell>
        </row>
        <row r="11878">
          <cell r="A11878" t="str">
            <v>SERVYRE</v>
          </cell>
          <cell r="J11878">
            <v>0</v>
          </cell>
        </row>
        <row r="11879">
          <cell r="A11879" t="str">
            <v>SERVYRE</v>
          </cell>
          <cell r="J11879">
            <v>0</v>
          </cell>
        </row>
        <row r="11880">
          <cell r="A11880" t="str">
            <v>SERVYRE</v>
          </cell>
          <cell r="J11880">
            <v>0</v>
          </cell>
        </row>
        <row r="11881">
          <cell r="A11881" t="str">
            <v>SERVYRE</v>
          </cell>
          <cell r="J11881">
            <v>0</v>
          </cell>
        </row>
        <row r="11882">
          <cell r="A11882" t="str">
            <v>SERVYRE</v>
          </cell>
          <cell r="J11882">
            <v>0</v>
          </cell>
        </row>
        <row r="11883">
          <cell r="A11883" t="str">
            <v>SERVYRE</v>
          </cell>
          <cell r="J11883">
            <v>0</v>
          </cell>
        </row>
        <row r="11884">
          <cell r="A11884" t="str">
            <v>SERVYRE</v>
          </cell>
          <cell r="J11884">
            <v>0</v>
          </cell>
        </row>
        <row r="11885">
          <cell r="A11885" t="str">
            <v>SERVYRE</v>
          </cell>
          <cell r="J11885">
            <v>0</v>
          </cell>
        </row>
        <row r="11886">
          <cell r="A11886" t="str">
            <v>SERVYRE</v>
          </cell>
          <cell r="J11886">
            <v>0</v>
          </cell>
        </row>
        <row r="11887">
          <cell r="A11887" t="str">
            <v>SERVYRE</v>
          </cell>
          <cell r="J11887">
            <v>0</v>
          </cell>
        </row>
        <row r="11888">
          <cell r="A11888" t="str">
            <v>SERVYRE</v>
          </cell>
          <cell r="J11888">
            <v>0</v>
          </cell>
        </row>
        <row r="11889">
          <cell r="A11889" t="str">
            <v>SERVYRE</v>
          </cell>
          <cell r="J11889">
            <v>0</v>
          </cell>
        </row>
        <row r="11890">
          <cell r="A11890" t="str">
            <v>SERVYRE</v>
          </cell>
          <cell r="J11890">
            <v>0</v>
          </cell>
        </row>
        <row r="11891">
          <cell r="A11891" t="str">
            <v>SERVYRE</v>
          </cell>
          <cell r="J11891">
            <v>0</v>
          </cell>
        </row>
        <row r="11892">
          <cell r="A11892" t="str">
            <v>SERVYRE</v>
          </cell>
          <cell r="J11892">
            <v>0</v>
          </cell>
        </row>
        <row r="11893">
          <cell r="A11893" t="str">
            <v>SERVYRE</v>
          </cell>
          <cell r="J11893">
            <v>0</v>
          </cell>
        </row>
        <row r="11894">
          <cell r="A11894" t="str">
            <v>SERVYRE</v>
          </cell>
          <cell r="J11894">
            <v>0</v>
          </cell>
        </row>
        <row r="11895">
          <cell r="A11895" t="str">
            <v>SERVYRE</v>
          </cell>
          <cell r="J11895">
            <v>0</v>
          </cell>
        </row>
        <row r="11896">
          <cell r="A11896" t="str">
            <v>SERVYRE</v>
          </cell>
          <cell r="J11896">
            <v>0</v>
          </cell>
        </row>
        <row r="11897">
          <cell r="A11897" t="str">
            <v>SERVYRE</v>
          </cell>
          <cell r="J11897">
            <v>0</v>
          </cell>
        </row>
        <row r="11898">
          <cell r="A11898" t="str">
            <v>SERVYRE</v>
          </cell>
          <cell r="J11898">
            <v>0</v>
          </cell>
        </row>
        <row r="11899">
          <cell r="A11899" t="str">
            <v>SERVYRE</v>
          </cell>
          <cell r="J11899">
            <v>0</v>
          </cell>
        </row>
        <row r="11900">
          <cell r="A11900" t="str">
            <v>SERVYRE</v>
          </cell>
          <cell r="J11900">
            <v>0</v>
          </cell>
        </row>
        <row r="11901">
          <cell r="A11901" t="str">
            <v>SERVYRE</v>
          </cell>
          <cell r="J11901">
            <v>0</v>
          </cell>
        </row>
        <row r="11902">
          <cell r="A11902" t="str">
            <v>SERVYRE</v>
          </cell>
          <cell r="J11902">
            <v>0</v>
          </cell>
        </row>
        <row r="11903">
          <cell r="A11903" t="str">
            <v>SERVYRE</v>
          </cell>
          <cell r="J11903">
            <v>0</v>
          </cell>
        </row>
        <row r="11904">
          <cell r="A11904" t="str">
            <v>SERVYRE</v>
          </cell>
          <cell r="J11904">
            <v>0</v>
          </cell>
        </row>
        <row r="11905">
          <cell r="A11905" t="str">
            <v>SERVYRE</v>
          </cell>
          <cell r="J11905">
            <v>0</v>
          </cell>
        </row>
        <row r="11906">
          <cell r="A11906" t="str">
            <v>SERVYRE</v>
          </cell>
          <cell r="J11906">
            <v>0</v>
          </cell>
        </row>
        <row r="11907">
          <cell r="A11907" t="str">
            <v>SERVYRE</v>
          </cell>
          <cell r="J11907">
            <v>0</v>
          </cell>
        </row>
        <row r="11908">
          <cell r="A11908" t="str">
            <v>SERVYRE</v>
          </cell>
          <cell r="J11908">
            <v>0</v>
          </cell>
        </row>
        <row r="11909">
          <cell r="A11909" t="str">
            <v>SERVYRE</v>
          </cell>
          <cell r="J11909">
            <v>0</v>
          </cell>
        </row>
        <row r="11910">
          <cell r="A11910" t="str">
            <v>SERVYRE</v>
          </cell>
          <cell r="J11910">
            <v>0</v>
          </cell>
        </row>
        <row r="11911">
          <cell r="A11911" t="str">
            <v>SERVYRE</v>
          </cell>
          <cell r="J11911">
            <v>0</v>
          </cell>
        </row>
        <row r="11912">
          <cell r="A11912" t="str">
            <v>SERVYRE</v>
          </cell>
          <cell r="J11912">
            <v>0</v>
          </cell>
        </row>
        <row r="11913">
          <cell r="A11913" t="str">
            <v>SERVYRE</v>
          </cell>
          <cell r="J11913">
            <v>0</v>
          </cell>
        </row>
        <row r="11914">
          <cell r="A11914" t="str">
            <v>SERVYRE</v>
          </cell>
          <cell r="J11914">
            <v>0</v>
          </cell>
        </row>
        <row r="11915">
          <cell r="A11915" t="str">
            <v>SERVYRE</v>
          </cell>
          <cell r="J11915">
            <v>0</v>
          </cell>
        </row>
        <row r="11916">
          <cell r="A11916" t="str">
            <v>SERVYRE</v>
          </cell>
          <cell r="J11916">
            <v>0</v>
          </cell>
        </row>
        <row r="11917">
          <cell r="A11917" t="str">
            <v>SERVYRE</v>
          </cell>
          <cell r="J11917">
            <v>0</v>
          </cell>
        </row>
        <row r="11918">
          <cell r="A11918" t="str">
            <v>SERVYRE</v>
          </cell>
          <cell r="J11918">
            <v>0</v>
          </cell>
        </row>
        <row r="11919">
          <cell r="A11919" t="str">
            <v>SERVYRE</v>
          </cell>
          <cell r="J11919">
            <v>0</v>
          </cell>
        </row>
        <row r="11920">
          <cell r="A11920" t="str">
            <v>SERVYRE</v>
          </cell>
          <cell r="J11920">
            <v>0</v>
          </cell>
        </row>
        <row r="11921">
          <cell r="A11921" t="str">
            <v>SERVYRE</v>
          </cell>
          <cell r="J11921">
            <v>0</v>
          </cell>
        </row>
        <row r="11922">
          <cell r="A11922" t="str">
            <v>SERVYRE</v>
          </cell>
          <cell r="J11922">
            <v>0</v>
          </cell>
        </row>
        <row r="11923">
          <cell r="A11923" t="str">
            <v>SERVYRE</v>
          </cell>
          <cell r="J11923">
            <v>0</v>
          </cell>
        </row>
        <row r="11924">
          <cell r="A11924" t="str">
            <v>SERVYRE</v>
          </cell>
          <cell r="J11924">
            <v>0</v>
          </cell>
        </row>
        <row r="11925">
          <cell r="A11925" t="str">
            <v>SERVYRE</v>
          </cell>
          <cell r="J11925">
            <v>0</v>
          </cell>
        </row>
        <row r="11926">
          <cell r="A11926" t="str">
            <v>SERVYRE</v>
          </cell>
          <cell r="J11926">
            <v>0</v>
          </cell>
        </row>
        <row r="11927">
          <cell r="A11927" t="str">
            <v>SERVYRE</v>
          </cell>
          <cell r="J11927">
            <v>0</v>
          </cell>
        </row>
        <row r="11928">
          <cell r="A11928" t="str">
            <v>SERVYRE</v>
          </cell>
          <cell r="J11928">
            <v>0</v>
          </cell>
        </row>
        <row r="11929">
          <cell r="A11929" t="str">
            <v>SERVYRE</v>
          </cell>
          <cell r="J11929">
            <v>0</v>
          </cell>
        </row>
        <row r="11930">
          <cell r="A11930" t="str">
            <v>SERVYRE</v>
          </cell>
          <cell r="J11930">
            <v>0</v>
          </cell>
        </row>
        <row r="11931">
          <cell r="A11931" t="str">
            <v>SERVYRE</v>
          </cell>
          <cell r="J11931">
            <v>0</v>
          </cell>
        </row>
        <row r="11932">
          <cell r="A11932" t="str">
            <v>SERVYRE</v>
          </cell>
          <cell r="J11932">
            <v>0</v>
          </cell>
        </row>
        <row r="11933">
          <cell r="A11933" t="str">
            <v>SERVYRE</v>
          </cell>
          <cell r="J11933">
            <v>0</v>
          </cell>
        </row>
        <row r="11934">
          <cell r="A11934" t="str">
            <v>SERVYRE</v>
          </cell>
          <cell r="J11934">
            <v>0</v>
          </cell>
        </row>
        <row r="11935">
          <cell r="A11935" t="str">
            <v>SERVYRE</v>
          </cell>
          <cell r="J11935">
            <v>0</v>
          </cell>
        </row>
        <row r="11936">
          <cell r="A11936" t="str">
            <v>SERVYRE</v>
          </cell>
          <cell r="J11936">
            <v>0</v>
          </cell>
        </row>
        <row r="11937">
          <cell r="A11937" t="str">
            <v>SERVYRE</v>
          </cell>
          <cell r="J11937">
            <v>0</v>
          </cell>
        </row>
        <row r="11938">
          <cell r="A11938" t="str">
            <v>SERVYRE</v>
          </cell>
          <cell r="J11938">
            <v>0</v>
          </cell>
        </row>
        <row r="11939">
          <cell r="A11939" t="str">
            <v>SERVYRE</v>
          </cell>
          <cell r="J11939">
            <v>0</v>
          </cell>
        </row>
        <row r="11940">
          <cell r="A11940" t="str">
            <v>SERVYRE</v>
          </cell>
          <cell r="J11940">
            <v>0</v>
          </cell>
        </row>
        <row r="11941">
          <cell r="A11941" t="str">
            <v>SERVYRE</v>
          </cell>
          <cell r="J11941">
            <v>0</v>
          </cell>
        </row>
        <row r="11942">
          <cell r="A11942" t="str">
            <v>SERVYRE</v>
          </cell>
          <cell r="J11942">
            <v>0</v>
          </cell>
        </row>
        <row r="11943">
          <cell r="A11943" t="str">
            <v>SERVYRE</v>
          </cell>
          <cell r="J11943">
            <v>0</v>
          </cell>
        </row>
        <row r="11944">
          <cell r="A11944" t="str">
            <v>SERVYRE</v>
          </cell>
          <cell r="J11944">
            <v>0</v>
          </cell>
        </row>
        <row r="11945">
          <cell r="A11945" t="str">
            <v>SERVYRE</v>
          </cell>
          <cell r="J11945">
            <v>0</v>
          </cell>
        </row>
        <row r="11946">
          <cell r="A11946" t="str">
            <v>SERVYRE</v>
          </cell>
          <cell r="J11946">
            <v>0</v>
          </cell>
        </row>
        <row r="11947">
          <cell r="A11947" t="str">
            <v>SERVYRE</v>
          </cell>
          <cell r="J11947">
            <v>0</v>
          </cell>
        </row>
        <row r="11948">
          <cell r="A11948" t="str">
            <v>SERVYRE</v>
          </cell>
          <cell r="J11948">
            <v>0</v>
          </cell>
        </row>
        <row r="11949">
          <cell r="A11949" t="str">
            <v>SERVYRE</v>
          </cell>
          <cell r="J11949">
            <v>0</v>
          </cell>
        </row>
        <row r="11950">
          <cell r="A11950" t="str">
            <v>SERVYRE</v>
          </cell>
          <cell r="J11950">
            <v>0</v>
          </cell>
        </row>
        <row r="11951">
          <cell r="A11951" t="str">
            <v>SERVYRE</v>
          </cell>
          <cell r="J11951">
            <v>0</v>
          </cell>
        </row>
        <row r="11952">
          <cell r="A11952" t="str">
            <v>SERVYRE</v>
          </cell>
          <cell r="J11952">
            <v>0</v>
          </cell>
        </row>
        <row r="11953">
          <cell r="A11953" t="str">
            <v>SERVYRE</v>
          </cell>
          <cell r="J11953">
            <v>0</v>
          </cell>
        </row>
        <row r="11954">
          <cell r="A11954" t="str">
            <v>SERVYRE</v>
          </cell>
          <cell r="J11954">
            <v>0</v>
          </cell>
        </row>
        <row r="11955">
          <cell r="A11955" t="str">
            <v>SERVYRE</v>
          </cell>
          <cell r="J11955">
            <v>0</v>
          </cell>
        </row>
        <row r="11956">
          <cell r="A11956" t="str">
            <v>SERVYRE</v>
          </cell>
          <cell r="J11956">
            <v>0</v>
          </cell>
        </row>
        <row r="11957">
          <cell r="A11957" t="str">
            <v>SERVYRE</v>
          </cell>
          <cell r="J11957">
            <v>0</v>
          </cell>
        </row>
        <row r="11958">
          <cell r="A11958" t="str">
            <v>SERVYRE</v>
          </cell>
          <cell r="J11958">
            <v>0</v>
          </cell>
        </row>
        <row r="11959">
          <cell r="A11959" t="str">
            <v>SERVYRE</v>
          </cell>
          <cell r="J11959">
            <v>0</v>
          </cell>
        </row>
        <row r="11960">
          <cell r="A11960" t="str">
            <v>SERVYRE</v>
          </cell>
          <cell r="J11960">
            <v>0</v>
          </cell>
        </row>
        <row r="11961">
          <cell r="A11961" t="str">
            <v>SERVYRE</v>
          </cell>
          <cell r="J11961">
            <v>0</v>
          </cell>
        </row>
        <row r="11962">
          <cell r="A11962" t="str">
            <v>SERVYRE</v>
          </cell>
          <cell r="J11962">
            <v>0</v>
          </cell>
        </row>
        <row r="11963">
          <cell r="A11963" t="str">
            <v>SERVYRE</v>
          </cell>
          <cell r="J11963">
            <v>0</v>
          </cell>
        </row>
        <row r="11964">
          <cell r="A11964" t="str">
            <v>SERVYRE</v>
          </cell>
          <cell r="J11964">
            <v>0</v>
          </cell>
        </row>
        <row r="11965">
          <cell r="A11965" t="str">
            <v>SERVYRE</v>
          </cell>
          <cell r="J11965">
            <v>0</v>
          </cell>
        </row>
        <row r="11966">
          <cell r="A11966" t="str">
            <v>SERVYRE</v>
          </cell>
          <cell r="J11966">
            <v>0</v>
          </cell>
        </row>
        <row r="11967">
          <cell r="A11967" t="str">
            <v>SERVYRE</v>
          </cell>
          <cell r="J11967">
            <v>0</v>
          </cell>
        </row>
        <row r="11968">
          <cell r="A11968" t="str">
            <v>SERVYRE</v>
          </cell>
          <cell r="J11968">
            <v>0</v>
          </cell>
        </row>
        <row r="11969">
          <cell r="A11969" t="str">
            <v>SERVYRE</v>
          </cell>
          <cell r="J11969">
            <v>0</v>
          </cell>
        </row>
        <row r="11970">
          <cell r="A11970" t="str">
            <v>SERVYRE</v>
          </cell>
          <cell r="J11970">
            <v>0</v>
          </cell>
        </row>
        <row r="11971">
          <cell r="A11971" t="str">
            <v>SERVYRE</v>
          </cell>
          <cell r="J11971">
            <v>0</v>
          </cell>
        </row>
        <row r="11972">
          <cell r="A11972" t="str">
            <v>SERVYRE</v>
          </cell>
          <cell r="J11972">
            <v>0</v>
          </cell>
        </row>
        <row r="11973">
          <cell r="A11973" t="str">
            <v>SERVYRE</v>
          </cell>
          <cell r="J11973">
            <v>0</v>
          </cell>
        </row>
        <row r="11974">
          <cell r="A11974" t="str">
            <v>SERVYRE</v>
          </cell>
          <cell r="J11974">
            <v>0</v>
          </cell>
        </row>
        <row r="11975">
          <cell r="A11975" t="str">
            <v>SERVYRE</v>
          </cell>
          <cell r="J11975">
            <v>0</v>
          </cell>
        </row>
        <row r="11976">
          <cell r="A11976" t="str">
            <v>SERVYRE</v>
          </cell>
          <cell r="J11976">
            <v>0</v>
          </cell>
        </row>
        <row r="11977">
          <cell r="A11977" t="str">
            <v>SERVYRE</v>
          </cell>
          <cell r="J11977">
            <v>0</v>
          </cell>
        </row>
        <row r="11978">
          <cell r="A11978" t="str">
            <v>SERVYRE</v>
          </cell>
          <cell r="J11978">
            <v>0</v>
          </cell>
        </row>
        <row r="11979">
          <cell r="A11979" t="str">
            <v>SERVYRE</v>
          </cell>
          <cell r="J11979">
            <v>0</v>
          </cell>
        </row>
        <row r="11980">
          <cell r="A11980" t="str">
            <v>SERVYRE</v>
          </cell>
          <cell r="J11980">
            <v>0</v>
          </cell>
        </row>
        <row r="11981">
          <cell r="A11981" t="str">
            <v>SERVYRE</v>
          </cell>
          <cell r="J11981">
            <v>0</v>
          </cell>
        </row>
        <row r="11982">
          <cell r="A11982" t="str">
            <v>SERVYRE</v>
          </cell>
          <cell r="J11982">
            <v>0</v>
          </cell>
        </row>
        <row r="11983">
          <cell r="A11983" t="str">
            <v>SERVYRE</v>
          </cell>
          <cell r="J11983">
            <v>0</v>
          </cell>
        </row>
        <row r="11984">
          <cell r="A11984" t="str">
            <v>SERVYRE</v>
          </cell>
          <cell r="J11984">
            <v>0</v>
          </cell>
        </row>
        <row r="11985">
          <cell r="A11985" t="str">
            <v>SERVYRE</v>
          </cell>
          <cell r="J11985">
            <v>0</v>
          </cell>
        </row>
        <row r="11986">
          <cell r="A11986" t="str">
            <v>SERVYRE</v>
          </cell>
          <cell r="J11986">
            <v>0</v>
          </cell>
        </row>
        <row r="11987">
          <cell r="A11987" t="str">
            <v>SERVYRE</v>
          </cell>
          <cell r="J11987">
            <v>0</v>
          </cell>
        </row>
        <row r="11988">
          <cell r="A11988" t="str">
            <v>SERVYRE</v>
          </cell>
          <cell r="J11988">
            <v>0</v>
          </cell>
        </row>
        <row r="11989">
          <cell r="A11989" t="str">
            <v>SERVYRE</v>
          </cell>
          <cell r="J11989">
            <v>0</v>
          </cell>
        </row>
        <row r="11990">
          <cell r="A11990" t="str">
            <v>SERVYRE</v>
          </cell>
          <cell r="J11990">
            <v>0</v>
          </cell>
        </row>
        <row r="11991">
          <cell r="A11991" t="str">
            <v>SERVYRE</v>
          </cell>
          <cell r="J11991">
            <v>0</v>
          </cell>
        </row>
        <row r="11992">
          <cell r="A11992" t="str">
            <v>SERVYRE</v>
          </cell>
          <cell r="J11992">
            <v>0</v>
          </cell>
        </row>
        <row r="11993">
          <cell r="A11993" t="str">
            <v>SERVYRE</v>
          </cell>
          <cell r="J11993">
            <v>0</v>
          </cell>
        </row>
        <row r="11994">
          <cell r="A11994" t="str">
            <v>SERVYRE</v>
          </cell>
          <cell r="J11994">
            <v>0</v>
          </cell>
        </row>
        <row r="11995">
          <cell r="A11995" t="str">
            <v>SERVYRE</v>
          </cell>
          <cell r="J11995">
            <v>0</v>
          </cell>
        </row>
        <row r="11996">
          <cell r="A11996" t="str">
            <v>SERVYRE</v>
          </cell>
          <cell r="J11996">
            <v>0</v>
          </cell>
        </row>
        <row r="11997">
          <cell r="A11997" t="str">
            <v>SERVYRE</v>
          </cell>
          <cell r="J11997">
            <v>0</v>
          </cell>
        </row>
        <row r="11998">
          <cell r="A11998" t="str">
            <v>SERVYRE</v>
          </cell>
          <cell r="J11998">
            <v>0</v>
          </cell>
        </row>
        <row r="11999">
          <cell r="A11999" t="str">
            <v>SERVYRE</v>
          </cell>
          <cell r="J11999">
            <v>0</v>
          </cell>
        </row>
        <row r="12000">
          <cell r="A12000" t="str">
            <v>SERVYRE</v>
          </cell>
          <cell r="J12000">
            <v>0</v>
          </cell>
        </row>
        <row r="12001">
          <cell r="A12001" t="str">
            <v>SERVYRE</v>
          </cell>
          <cell r="J12001">
            <v>0</v>
          </cell>
        </row>
        <row r="12002">
          <cell r="A12002" t="str">
            <v>SERVYRE</v>
          </cell>
          <cell r="J12002">
            <v>0</v>
          </cell>
        </row>
        <row r="12003">
          <cell r="A12003" t="str">
            <v>SERVYRE</v>
          </cell>
          <cell r="J12003">
            <v>0</v>
          </cell>
        </row>
        <row r="12004">
          <cell r="A12004" t="str">
            <v>SERVYRE</v>
          </cell>
          <cell r="J12004">
            <v>0</v>
          </cell>
        </row>
        <row r="12005">
          <cell r="A12005" t="str">
            <v>SERVYRE</v>
          </cell>
          <cell r="J12005">
            <v>0</v>
          </cell>
        </row>
        <row r="12006">
          <cell r="A12006" t="str">
            <v>SERVYRE</v>
          </cell>
          <cell r="J12006">
            <v>0</v>
          </cell>
        </row>
        <row r="12007">
          <cell r="A12007" t="str">
            <v>SERVYRE</v>
          </cell>
          <cell r="J12007">
            <v>0</v>
          </cell>
        </row>
        <row r="12008">
          <cell r="A12008" t="str">
            <v>SERVYRE</v>
          </cell>
          <cell r="J12008">
            <v>0</v>
          </cell>
        </row>
        <row r="12009">
          <cell r="A12009" t="str">
            <v>SERVYRE</v>
          </cell>
          <cell r="J12009">
            <v>0</v>
          </cell>
        </row>
        <row r="12010">
          <cell r="A12010" t="str">
            <v>SERVYRE</v>
          </cell>
          <cell r="J12010">
            <v>0</v>
          </cell>
        </row>
        <row r="12011">
          <cell r="A12011" t="str">
            <v>SERVYRE</v>
          </cell>
          <cell r="J12011">
            <v>0</v>
          </cell>
        </row>
        <row r="12012">
          <cell r="A12012" t="str">
            <v>SERVYRE</v>
          </cell>
          <cell r="J12012">
            <v>0</v>
          </cell>
        </row>
        <row r="12013">
          <cell r="A12013" t="str">
            <v>SERVYRE</v>
          </cell>
          <cell r="J12013">
            <v>0</v>
          </cell>
        </row>
        <row r="12014">
          <cell r="A12014" t="str">
            <v>SERVYRE</v>
          </cell>
          <cell r="J12014">
            <v>0</v>
          </cell>
        </row>
        <row r="12015">
          <cell r="A12015" t="str">
            <v>SERVYRE</v>
          </cell>
          <cell r="J12015">
            <v>0</v>
          </cell>
        </row>
        <row r="12016">
          <cell r="A12016" t="str">
            <v>SERVYRE</v>
          </cell>
          <cell r="J12016">
            <v>0</v>
          </cell>
        </row>
        <row r="12017">
          <cell r="A12017" t="str">
            <v>SERVYRE</v>
          </cell>
          <cell r="J12017">
            <v>0</v>
          </cell>
        </row>
        <row r="12018">
          <cell r="A12018" t="str">
            <v>SERVYRE</v>
          </cell>
          <cell r="J12018">
            <v>0</v>
          </cell>
        </row>
        <row r="12019">
          <cell r="A12019" t="str">
            <v>SERVYRE</v>
          </cell>
          <cell r="J12019">
            <v>0</v>
          </cell>
        </row>
        <row r="12020">
          <cell r="A12020" t="str">
            <v>SERVYRE</v>
          </cell>
          <cell r="J12020">
            <v>0</v>
          </cell>
        </row>
        <row r="12021">
          <cell r="A12021" t="str">
            <v>SERVYRE</v>
          </cell>
          <cell r="J12021">
            <v>0</v>
          </cell>
        </row>
        <row r="12022">
          <cell r="A12022" t="str">
            <v>SERVYRE</v>
          </cell>
          <cell r="J12022">
            <v>0</v>
          </cell>
        </row>
        <row r="12023">
          <cell r="A12023" t="str">
            <v>SERVYRE</v>
          </cell>
          <cell r="J12023">
            <v>0</v>
          </cell>
        </row>
        <row r="12024">
          <cell r="A12024" t="str">
            <v>SERVYRE</v>
          </cell>
          <cell r="J12024">
            <v>0</v>
          </cell>
        </row>
        <row r="12025">
          <cell r="A12025" t="str">
            <v>SERVYRE</v>
          </cell>
          <cell r="J12025">
            <v>0</v>
          </cell>
        </row>
        <row r="12026">
          <cell r="A12026" t="str">
            <v>SERVYRE</v>
          </cell>
          <cell r="J12026">
            <v>0</v>
          </cell>
        </row>
        <row r="12027">
          <cell r="A12027" t="str">
            <v>SERVYRE</v>
          </cell>
          <cell r="J12027">
            <v>0</v>
          </cell>
        </row>
        <row r="12028">
          <cell r="A12028" t="str">
            <v>SERVYRE</v>
          </cell>
          <cell r="J12028">
            <v>0</v>
          </cell>
        </row>
        <row r="12029">
          <cell r="A12029" t="str">
            <v>SERVYRE</v>
          </cell>
          <cell r="J12029">
            <v>0</v>
          </cell>
        </row>
        <row r="12030">
          <cell r="A12030" t="str">
            <v>SERVYRE</v>
          </cell>
          <cell r="J12030">
            <v>0</v>
          </cell>
        </row>
        <row r="12031">
          <cell r="A12031" t="str">
            <v>SERVYRE</v>
          </cell>
          <cell r="J12031">
            <v>0</v>
          </cell>
        </row>
        <row r="12032">
          <cell r="A12032" t="str">
            <v>SERVYRE</v>
          </cell>
          <cell r="J12032">
            <v>0</v>
          </cell>
        </row>
        <row r="12033">
          <cell r="A12033" t="str">
            <v>SERVYRE</v>
          </cell>
          <cell r="J12033">
            <v>0</v>
          </cell>
        </row>
        <row r="12034">
          <cell r="A12034" t="str">
            <v>SERVYRE</v>
          </cell>
          <cell r="J12034">
            <v>0</v>
          </cell>
        </row>
        <row r="12035">
          <cell r="A12035" t="str">
            <v>SERVYRE</v>
          </cell>
          <cell r="J12035">
            <v>0</v>
          </cell>
        </row>
        <row r="12036">
          <cell r="A12036" t="str">
            <v>SERVYRE</v>
          </cell>
          <cell r="J12036">
            <v>0</v>
          </cell>
        </row>
        <row r="12037">
          <cell r="A12037" t="str">
            <v>SERVYRE</v>
          </cell>
          <cell r="J12037">
            <v>0</v>
          </cell>
        </row>
        <row r="12038">
          <cell r="A12038" t="str">
            <v>SERVYRE</v>
          </cell>
          <cell r="J12038">
            <v>0</v>
          </cell>
        </row>
        <row r="12039">
          <cell r="A12039" t="str">
            <v>SERVYRE</v>
          </cell>
          <cell r="J12039">
            <v>0</v>
          </cell>
        </row>
        <row r="12040">
          <cell r="A12040" t="str">
            <v>SERVYRE</v>
          </cell>
          <cell r="J12040">
            <v>0</v>
          </cell>
        </row>
        <row r="12041">
          <cell r="A12041" t="str">
            <v>SERVYRE</v>
          </cell>
          <cell r="J12041">
            <v>0</v>
          </cell>
        </row>
        <row r="12042">
          <cell r="A12042" t="str">
            <v>SERVYRE</v>
          </cell>
          <cell r="J12042">
            <v>0</v>
          </cell>
        </row>
        <row r="12043">
          <cell r="A12043" t="str">
            <v>SERVYRE</v>
          </cell>
          <cell r="J12043">
            <v>0</v>
          </cell>
        </row>
        <row r="12044">
          <cell r="A12044" t="str">
            <v>SERVYRE</v>
          </cell>
          <cell r="J12044">
            <v>0</v>
          </cell>
        </row>
        <row r="12045">
          <cell r="A12045" t="str">
            <v>SERVYRE</v>
          </cell>
          <cell r="J12045">
            <v>0</v>
          </cell>
        </row>
        <row r="12046">
          <cell r="A12046" t="str">
            <v>SERVYRE</v>
          </cell>
          <cell r="J12046">
            <v>0</v>
          </cell>
        </row>
        <row r="12047">
          <cell r="A12047" t="str">
            <v>SERVYRE</v>
          </cell>
          <cell r="J12047">
            <v>0</v>
          </cell>
        </row>
        <row r="12048">
          <cell r="A12048" t="str">
            <v>SERVYRE</v>
          </cell>
          <cell r="J12048">
            <v>0</v>
          </cell>
        </row>
        <row r="12049">
          <cell r="A12049" t="str">
            <v>SERVYRE</v>
          </cell>
          <cell r="J12049">
            <v>0</v>
          </cell>
        </row>
        <row r="12050">
          <cell r="A12050" t="str">
            <v>SERVYRE</v>
          </cell>
          <cell r="J12050">
            <v>0</v>
          </cell>
        </row>
        <row r="12051">
          <cell r="A12051" t="str">
            <v>SERVYRE</v>
          </cell>
          <cell r="J12051">
            <v>0</v>
          </cell>
        </row>
        <row r="12052">
          <cell r="A12052" t="str">
            <v>SERVYRE</v>
          </cell>
          <cell r="J12052">
            <v>0</v>
          </cell>
        </row>
        <row r="12053">
          <cell r="A12053" t="str">
            <v>SERVYRE</v>
          </cell>
          <cell r="J12053">
            <v>0</v>
          </cell>
        </row>
        <row r="12054">
          <cell r="A12054" t="str">
            <v>SERVYRE</v>
          </cell>
          <cell r="J12054">
            <v>0</v>
          </cell>
        </row>
        <row r="12055">
          <cell r="A12055" t="str">
            <v>SERVYRE</v>
          </cell>
          <cell r="J12055">
            <v>0</v>
          </cell>
        </row>
        <row r="12056">
          <cell r="A12056" t="str">
            <v>SERVYRE</v>
          </cell>
          <cell r="J12056">
            <v>0</v>
          </cell>
        </row>
        <row r="12057">
          <cell r="A12057" t="str">
            <v>SERVYRE</v>
          </cell>
          <cell r="J12057">
            <v>0</v>
          </cell>
        </row>
        <row r="12058">
          <cell r="A12058" t="str">
            <v>SERVYRE</v>
          </cell>
          <cell r="J12058">
            <v>0</v>
          </cell>
        </row>
        <row r="12059">
          <cell r="A12059" t="str">
            <v>SERVYRE</v>
          </cell>
          <cell r="J12059">
            <v>0</v>
          </cell>
        </row>
        <row r="12060">
          <cell r="A12060" t="str">
            <v>SERVYRE</v>
          </cell>
          <cell r="J12060">
            <v>0</v>
          </cell>
        </row>
        <row r="12061">
          <cell r="A12061" t="str">
            <v>SERVYRE</v>
          </cell>
          <cell r="J12061">
            <v>0</v>
          </cell>
        </row>
        <row r="12062">
          <cell r="A12062" t="str">
            <v>SERVYRE</v>
          </cell>
          <cell r="J12062">
            <v>0</v>
          </cell>
        </row>
        <row r="12063">
          <cell r="A12063" t="str">
            <v>SERVYRE</v>
          </cell>
          <cell r="J12063">
            <v>0</v>
          </cell>
        </row>
        <row r="12064">
          <cell r="A12064" t="str">
            <v>SERVYRE</v>
          </cell>
          <cell r="J12064">
            <v>0</v>
          </cell>
        </row>
        <row r="12065">
          <cell r="A12065" t="str">
            <v>SERVYRE</v>
          </cell>
          <cell r="J12065">
            <v>0</v>
          </cell>
        </row>
        <row r="12066">
          <cell r="A12066" t="str">
            <v>SERVYRE</v>
          </cell>
          <cell r="J12066">
            <v>0</v>
          </cell>
        </row>
        <row r="12067">
          <cell r="A12067" t="str">
            <v>SERVYRE</v>
          </cell>
          <cell r="J12067">
            <v>0</v>
          </cell>
        </row>
        <row r="12068">
          <cell r="A12068" t="str">
            <v>SERVYRE</v>
          </cell>
          <cell r="J12068">
            <v>0</v>
          </cell>
        </row>
        <row r="12069">
          <cell r="A12069" t="str">
            <v>SERVYRE</v>
          </cell>
          <cell r="J12069">
            <v>0</v>
          </cell>
        </row>
        <row r="12070">
          <cell r="A12070" t="str">
            <v>SERVYRE</v>
          </cell>
          <cell r="J12070">
            <v>0</v>
          </cell>
        </row>
        <row r="12071">
          <cell r="A12071" t="str">
            <v>SERVYRE</v>
          </cell>
          <cell r="J12071">
            <v>0</v>
          </cell>
        </row>
        <row r="12072">
          <cell r="A12072" t="str">
            <v>SERVYRE</v>
          </cell>
          <cell r="J12072">
            <v>0</v>
          </cell>
        </row>
        <row r="12073">
          <cell r="A12073" t="str">
            <v>SERVYRE</v>
          </cell>
          <cell r="J12073">
            <v>0</v>
          </cell>
        </row>
        <row r="12074">
          <cell r="A12074" t="str">
            <v>SERVYRE</v>
          </cell>
          <cell r="J12074">
            <v>0</v>
          </cell>
        </row>
        <row r="12075">
          <cell r="A12075" t="str">
            <v>SERVYRE</v>
          </cell>
          <cell r="J12075">
            <v>0</v>
          </cell>
        </row>
        <row r="12076">
          <cell r="A12076" t="str">
            <v>SERVYRE</v>
          </cell>
          <cell r="J12076">
            <v>0</v>
          </cell>
        </row>
        <row r="12077">
          <cell r="A12077" t="str">
            <v>SERVYRE</v>
          </cell>
          <cell r="J12077">
            <v>0</v>
          </cell>
        </row>
        <row r="12078">
          <cell r="A12078" t="str">
            <v>SERVYRE</v>
          </cell>
          <cell r="J12078">
            <v>0</v>
          </cell>
        </row>
        <row r="12079">
          <cell r="A12079" t="str">
            <v>SERVYRE</v>
          </cell>
          <cell r="J12079">
            <v>0</v>
          </cell>
        </row>
        <row r="12080">
          <cell r="A12080" t="str">
            <v>SERVYRE</v>
          </cell>
          <cell r="J12080">
            <v>0</v>
          </cell>
        </row>
        <row r="12081">
          <cell r="A12081" t="str">
            <v>SERVYRE</v>
          </cell>
          <cell r="J12081">
            <v>0</v>
          </cell>
        </row>
        <row r="12082">
          <cell r="A12082" t="str">
            <v>SERVYRE</v>
          </cell>
          <cell r="J12082">
            <v>0</v>
          </cell>
        </row>
        <row r="12083">
          <cell r="A12083" t="str">
            <v>SERVYRE</v>
          </cell>
          <cell r="J12083">
            <v>0</v>
          </cell>
        </row>
        <row r="12084">
          <cell r="A12084" t="str">
            <v>SERVYRE</v>
          </cell>
          <cell r="J12084">
            <v>0</v>
          </cell>
        </row>
        <row r="12085">
          <cell r="A12085" t="str">
            <v>SERVYRE</v>
          </cell>
          <cell r="J12085">
            <v>0</v>
          </cell>
        </row>
        <row r="12086">
          <cell r="A12086" t="str">
            <v>SERVYRE</v>
          </cell>
          <cell r="J12086">
            <v>0</v>
          </cell>
        </row>
        <row r="12087">
          <cell r="A12087" t="str">
            <v>SERVYRE</v>
          </cell>
          <cell r="J12087">
            <v>0</v>
          </cell>
        </row>
        <row r="12088">
          <cell r="A12088" t="str">
            <v>SERVYRE</v>
          </cell>
          <cell r="J12088">
            <v>0</v>
          </cell>
        </row>
        <row r="12089">
          <cell r="A12089" t="str">
            <v>SERVYRE</v>
          </cell>
          <cell r="J12089">
            <v>0</v>
          </cell>
        </row>
        <row r="12090">
          <cell r="A12090" t="str">
            <v>SERVYRE</v>
          </cell>
          <cell r="J12090">
            <v>0</v>
          </cell>
        </row>
        <row r="12091">
          <cell r="A12091" t="str">
            <v>SERVYRE</v>
          </cell>
          <cell r="J12091">
            <v>0</v>
          </cell>
        </row>
        <row r="12092">
          <cell r="A12092" t="str">
            <v>SERVYRE</v>
          </cell>
          <cell r="J12092">
            <v>0</v>
          </cell>
        </row>
        <row r="12093">
          <cell r="A12093" t="str">
            <v>SERVYRE</v>
          </cell>
          <cell r="J12093">
            <v>0</v>
          </cell>
        </row>
        <row r="12094">
          <cell r="A12094" t="str">
            <v>SERVYRE</v>
          </cell>
          <cell r="J12094">
            <v>0</v>
          </cell>
        </row>
        <row r="12095">
          <cell r="A12095" t="str">
            <v>SERVYRE</v>
          </cell>
          <cell r="J12095">
            <v>0</v>
          </cell>
        </row>
        <row r="12096">
          <cell r="A12096" t="str">
            <v>SERVYRE</v>
          </cell>
          <cell r="J12096">
            <v>0</v>
          </cell>
        </row>
        <row r="12097">
          <cell r="A12097" t="str">
            <v>SERVYRE</v>
          </cell>
          <cell r="J12097">
            <v>0</v>
          </cell>
        </row>
        <row r="12098">
          <cell r="A12098" t="str">
            <v>SERVYRE</v>
          </cell>
          <cell r="J12098">
            <v>0</v>
          </cell>
        </row>
        <row r="12099">
          <cell r="A12099" t="str">
            <v>SERVYRE</v>
          </cell>
          <cell r="J12099">
            <v>0</v>
          </cell>
        </row>
        <row r="12100">
          <cell r="A12100" t="str">
            <v>SERVYRE</v>
          </cell>
          <cell r="J12100">
            <v>0</v>
          </cell>
        </row>
        <row r="12101">
          <cell r="A12101" t="str">
            <v>SERVYRE</v>
          </cell>
          <cell r="J12101">
            <v>0</v>
          </cell>
        </row>
        <row r="12102">
          <cell r="A12102" t="str">
            <v>SERVYRE</v>
          </cell>
          <cell r="J12102">
            <v>0</v>
          </cell>
        </row>
        <row r="12103">
          <cell r="A12103" t="str">
            <v>SERVYRE</v>
          </cell>
          <cell r="J12103">
            <v>0</v>
          </cell>
        </row>
        <row r="12104">
          <cell r="A12104" t="str">
            <v>SERVYRE</v>
          </cell>
          <cell r="J12104">
            <v>0</v>
          </cell>
        </row>
        <row r="12105">
          <cell r="A12105" t="str">
            <v>SERVYRE</v>
          </cell>
          <cell r="J12105">
            <v>0</v>
          </cell>
        </row>
        <row r="12106">
          <cell r="A12106" t="str">
            <v>SERVYRE</v>
          </cell>
          <cell r="J12106">
            <v>0</v>
          </cell>
        </row>
        <row r="12107">
          <cell r="A12107" t="str">
            <v>SERVYRE</v>
          </cell>
          <cell r="J12107">
            <v>0</v>
          </cell>
        </row>
        <row r="12108">
          <cell r="A12108" t="str">
            <v>SERVYRE</v>
          </cell>
          <cell r="J12108">
            <v>0</v>
          </cell>
        </row>
        <row r="12109">
          <cell r="A12109" t="str">
            <v>SERVYRE</v>
          </cell>
          <cell r="J12109">
            <v>0</v>
          </cell>
        </row>
        <row r="12110">
          <cell r="A12110" t="str">
            <v>SERVYRE</v>
          </cell>
          <cell r="J12110">
            <v>0</v>
          </cell>
        </row>
        <row r="12111">
          <cell r="A12111" t="str">
            <v>SERVYRE</v>
          </cell>
          <cell r="J12111">
            <v>0</v>
          </cell>
        </row>
        <row r="12112">
          <cell r="A12112" t="str">
            <v>SERVYRE</v>
          </cell>
          <cell r="J12112">
            <v>0</v>
          </cell>
        </row>
        <row r="12113">
          <cell r="A12113" t="str">
            <v>SERVYRE</v>
          </cell>
          <cell r="J12113">
            <v>0</v>
          </cell>
        </row>
        <row r="12114">
          <cell r="A12114" t="str">
            <v>SERVYRE</v>
          </cell>
          <cell r="J12114">
            <v>0</v>
          </cell>
        </row>
        <row r="12115">
          <cell r="A12115" t="str">
            <v>SERVYRE</v>
          </cell>
          <cell r="J12115">
            <v>0</v>
          </cell>
        </row>
        <row r="12116">
          <cell r="A12116" t="str">
            <v>SERVYRE</v>
          </cell>
          <cell r="J12116">
            <v>0</v>
          </cell>
        </row>
        <row r="12117">
          <cell r="A12117" t="str">
            <v>SERVYRE</v>
          </cell>
          <cell r="J12117">
            <v>0</v>
          </cell>
        </row>
        <row r="12118">
          <cell r="A12118" t="str">
            <v>SERVYRE</v>
          </cell>
          <cell r="J12118">
            <v>0</v>
          </cell>
        </row>
        <row r="12119">
          <cell r="A12119" t="str">
            <v>SERVYRE</v>
          </cell>
          <cell r="J12119">
            <v>0</v>
          </cell>
        </row>
        <row r="12120">
          <cell r="A12120" t="str">
            <v>SERVYRE</v>
          </cell>
          <cell r="J12120">
            <v>0</v>
          </cell>
        </row>
        <row r="12121">
          <cell r="A12121" t="str">
            <v>SERVYRE</v>
          </cell>
          <cell r="J12121">
            <v>0</v>
          </cell>
        </row>
        <row r="12122">
          <cell r="A12122" t="str">
            <v>SERVYRE</v>
          </cell>
          <cell r="J12122">
            <v>0</v>
          </cell>
        </row>
        <row r="12123">
          <cell r="A12123" t="str">
            <v>SERVYRE</v>
          </cell>
          <cell r="J12123">
            <v>0</v>
          </cell>
        </row>
        <row r="12124">
          <cell r="A12124" t="str">
            <v>SERVYRE</v>
          </cell>
          <cell r="J12124">
            <v>0</v>
          </cell>
        </row>
        <row r="12125">
          <cell r="A12125" t="str">
            <v>SERVYRE</v>
          </cell>
          <cell r="J12125">
            <v>0</v>
          </cell>
        </row>
        <row r="12126">
          <cell r="A12126" t="str">
            <v>SERVYRE</v>
          </cell>
          <cell r="J12126">
            <v>0</v>
          </cell>
        </row>
        <row r="12127">
          <cell r="A12127" t="str">
            <v>SERVYRE</v>
          </cell>
          <cell r="J12127">
            <v>0</v>
          </cell>
        </row>
        <row r="12128">
          <cell r="A12128" t="str">
            <v>SERVYRE</v>
          </cell>
          <cell r="J12128">
            <v>0</v>
          </cell>
        </row>
        <row r="12129">
          <cell r="A12129" t="str">
            <v>SERVYRE</v>
          </cell>
          <cell r="J12129">
            <v>0</v>
          </cell>
        </row>
        <row r="12130">
          <cell r="A12130" t="str">
            <v>SERVYRE</v>
          </cell>
          <cell r="J12130">
            <v>0</v>
          </cell>
        </row>
        <row r="12131">
          <cell r="A12131" t="str">
            <v>SERVYRE</v>
          </cell>
          <cell r="J12131">
            <v>0</v>
          </cell>
        </row>
        <row r="12132">
          <cell r="A12132" t="str">
            <v>SERVYRE</v>
          </cell>
          <cell r="J12132">
            <v>0</v>
          </cell>
        </row>
        <row r="12133">
          <cell r="A12133" t="str">
            <v>SERVYRE</v>
          </cell>
          <cell r="J12133">
            <v>0</v>
          </cell>
        </row>
        <row r="12134">
          <cell r="A12134" t="str">
            <v>SERVYRE</v>
          </cell>
          <cell r="J12134">
            <v>0</v>
          </cell>
        </row>
        <row r="12135">
          <cell r="A12135" t="str">
            <v>SERVYRE</v>
          </cell>
          <cell r="J12135">
            <v>0</v>
          </cell>
        </row>
        <row r="12136">
          <cell r="A12136" t="str">
            <v>SERVYRE</v>
          </cell>
          <cell r="J12136">
            <v>0</v>
          </cell>
        </row>
        <row r="12137">
          <cell r="A12137" t="str">
            <v>SERVYRE</v>
          </cell>
          <cell r="J12137">
            <v>0</v>
          </cell>
        </row>
        <row r="12138">
          <cell r="A12138" t="str">
            <v>SERVYRE</v>
          </cell>
          <cell r="J12138">
            <v>0</v>
          </cell>
        </row>
        <row r="12139">
          <cell r="A12139" t="str">
            <v>SERVYRE</v>
          </cell>
          <cell r="J12139">
            <v>0</v>
          </cell>
        </row>
        <row r="12140">
          <cell r="A12140" t="str">
            <v>SERVYRE</v>
          </cell>
          <cell r="J12140">
            <v>0</v>
          </cell>
        </row>
        <row r="12141">
          <cell r="A12141" t="str">
            <v>SERVYRE</v>
          </cell>
          <cell r="J12141">
            <v>0</v>
          </cell>
        </row>
        <row r="12142">
          <cell r="A12142" t="str">
            <v>SERVYRE</v>
          </cell>
          <cell r="J12142">
            <v>0</v>
          </cell>
        </row>
        <row r="12143">
          <cell r="A12143" t="str">
            <v>SERVYRE</v>
          </cell>
          <cell r="J12143">
            <v>0</v>
          </cell>
        </row>
        <row r="12144">
          <cell r="A12144" t="str">
            <v>SERVYRE</v>
          </cell>
          <cell r="J12144">
            <v>0</v>
          </cell>
        </row>
        <row r="12145">
          <cell r="A12145" t="str">
            <v>SERVYRE</v>
          </cell>
          <cell r="J12145">
            <v>0</v>
          </cell>
        </row>
        <row r="12146">
          <cell r="A12146" t="str">
            <v>SERVYRE</v>
          </cell>
          <cell r="J12146">
            <v>0</v>
          </cell>
        </row>
        <row r="12147">
          <cell r="A12147" t="str">
            <v>SERVYRE</v>
          </cell>
          <cell r="J12147">
            <v>0</v>
          </cell>
        </row>
        <row r="12148">
          <cell r="A12148" t="str">
            <v>SERVYRE</v>
          </cell>
          <cell r="J12148">
            <v>0</v>
          </cell>
        </row>
        <row r="12149">
          <cell r="A12149" t="str">
            <v>SERVYRE</v>
          </cell>
          <cell r="J12149">
            <v>0</v>
          </cell>
        </row>
        <row r="12150">
          <cell r="A12150" t="str">
            <v>SERVYRE</v>
          </cell>
          <cell r="J12150">
            <v>0</v>
          </cell>
        </row>
        <row r="12151">
          <cell r="A12151" t="str">
            <v>SERVYRE</v>
          </cell>
          <cell r="J12151">
            <v>0</v>
          </cell>
        </row>
        <row r="12152">
          <cell r="A12152" t="str">
            <v>SERVYRE</v>
          </cell>
          <cell r="J12152">
            <v>0</v>
          </cell>
        </row>
        <row r="12153">
          <cell r="A12153" t="str">
            <v>SERVYRE</v>
          </cell>
          <cell r="J12153">
            <v>0</v>
          </cell>
        </row>
        <row r="12154">
          <cell r="A12154" t="str">
            <v>SERVYRE</v>
          </cell>
          <cell r="J12154">
            <v>0</v>
          </cell>
        </row>
        <row r="12155">
          <cell r="A12155" t="str">
            <v>SERVYRE</v>
          </cell>
          <cell r="J12155">
            <v>0</v>
          </cell>
        </row>
        <row r="12156">
          <cell r="A12156" t="str">
            <v>SERVYRE</v>
          </cell>
          <cell r="J12156">
            <v>0</v>
          </cell>
        </row>
        <row r="12157">
          <cell r="A12157" t="str">
            <v>SERVYRE</v>
          </cell>
          <cell r="J12157">
            <v>0</v>
          </cell>
        </row>
        <row r="12158">
          <cell r="A12158" t="str">
            <v>SERVYRE</v>
          </cell>
          <cell r="J12158">
            <v>0</v>
          </cell>
        </row>
        <row r="12159">
          <cell r="A12159" t="str">
            <v>SERVYRE</v>
          </cell>
          <cell r="J12159">
            <v>0</v>
          </cell>
        </row>
        <row r="12160">
          <cell r="A12160" t="str">
            <v>SERVYRE</v>
          </cell>
          <cell r="J12160">
            <v>0</v>
          </cell>
        </row>
        <row r="12161">
          <cell r="A12161" t="str">
            <v>SERVYRE</v>
          </cell>
          <cell r="J12161">
            <v>0</v>
          </cell>
        </row>
        <row r="12162">
          <cell r="A12162" t="str">
            <v>SERVYRE</v>
          </cell>
          <cell r="J12162">
            <v>0</v>
          </cell>
        </row>
        <row r="12163">
          <cell r="A12163" t="str">
            <v>SERVYRE</v>
          </cell>
          <cell r="J12163">
            <v>0</v>
          </cell>
        </row>
        <row r="12164">
          <cell r="A12164" t="str">
            <v>SERVYRE</v>
          </cell>
          <cell r="J12164">
            <v>0</v>
          </cell>
        </row>
        <row r="12165">
          <cell r="A12165" t="str">
            <v>SERVYRE</v>
          </cell>
          <cell r="J12165">
            <v>0</v>
          </cell>
        </row>
        <row r="12166">
          <cell r="A12166" t="str">
            <v>SERVYRE</v>
          </cell>
          <cell r="J12166">
            <v>0</v>
          </cell>
        </row>
        <row r="12167">
          <cell r="A12167" t="str">
            <v>SERVYRE</v>
          </cell>
          <cell r="J12167">
            <v>0</v>
          </cell>
        </row>
        <row r="12168">
          <cell r="A12168" t="str">
            <v>SERVYRE</v>
          </cell>
          <cell r="J12168">
            <v>0</v>
          </cell>
        </row>
        <row r="12169">
          <cell r="A12169" t="str">
            <v>SERVYRE</v>
          </cell>
          <cell r="J12169">
            <v>0</v>
          </cell>
        </row>
        <row r="12170">
          <cell r="A12170" t="str">
            <v>SERVYRE</v>
          </cell>
          <cell r="J12170">
            <v>0</v>
          </cell>
        </row>
        <row r="12171">
          <cell r="A12171" t="str">
            <v>SERVYRE</v>
          </cell>
          <cell r="J12171">
            <v>0</v>
          </cell>
        </row>
        <row r="12172">
          <cell r="A12172" t="str">
            <v>SERVYRE</v>
          </cell>
          <cell r="J12172">
            <v>0</v>
          </cell>
        </row>
        <row r="12173">
          <cell r="A12173" t="str">
            <v>SERVYRE</v>
          </cell>
          <cell r="J12173">
            <v>0</v>
          </cell>
        </row>
        <row r="12174">
          <cell r="A12174" t="str">
            <v>SERVYRE</v>
          </cell>
          <cell r="J12174">
            <v>0</v>
          </cell>
        </row>
        <row r="12175">
          <cell r="A12175" t="str">
            <v>SERVYRE</v>
          </cell>
          <cell r="J12175">
            <v>0</v>
          </cell>
        </row>
        <row r="12176">
          <cell r="A12176" t="str">
            <v>SERVYRE</v>
          </cell>
          <cell r="J12176">
            <v>0</v>
          </cell>
        </row>
        <row r="12177">
          <cell r="A12177" t="str">
            <v>SERVYRE</v>
          </cell>
          <cell r="J12177">
            <v>0</v>
          </cell>
        </row>
        <row r="12178">
          <cell r="A12178" t="str">
            <v>SERVYRE</v>
          </cell>
          <cell r="J12178">
            <v>0</v>
          </cell>
        </row>
        <row r="12179">
          <cell r="A12179" t="str">
            <v>SERVYRE</v>
          </cell>
          <cell r="J12179">
            <v>0</v>
          </cell>
        </row>
        <row r="12180">
          <cell r="A12180" t="str">
            <v>SERVYRE</v>
          </cell>
          <cell r="J12180">
            <v>0</v>
          </cell>
        </row>
        <row r="12181">
          <cell r="A12181" t="str">
            <v>SERVYRE</v>
          </cell>
          <cell r="J12181">
            <v>0</v>
          </cell>
        </row>
        <row r="12182">
          <cell r="A12182" t="str">
            <v>SERVYRE</v>
          </cell>
          <cell r="J12182">
            <v>0</v>
          </cell>
        </row>
        <row r="12183">
          <cell r="A12183" t="str">
            <v>SERVYRE</v>
          </cell>
          <cell r="J12183">
            <v>0</v>
          </cell>
        </row>
        <row r="12184">
          <cell r="A12184" t="str">
            <v>SERVYRE</v>
          </cell>
          <cell r="J12184">
            <v>0</v>
          </cell>
        </row>
        <row r="12185">
          <cell r="A12185" t="str">
            <v>SERVYRE</v>
          </cell>
          <cell r="J12185">
            <v>0</v>
          </cell>
        </row>
        <row r="12186">
          <cell r="A12186" t="str">
            <v>SERVYRE</v>
          </cell>
          <cell r="J12186">
            <v>0</v>
          </cell>
        </row>
        <row r="12187">
          <cell r="A12187" t="str">
            <v>SERVYRE</v>
          </cell>
          <cell r="J12187">
            <v>0</v>
          </cell>
        </row>
        <row r="12188">
          <cell r="A12188" t="str">
            <v>SERVYRE</v>
          </cell>
          <cell r="J12188">
            <v>0</v>
          </cell>
        </row>
        <row r="12189">
          <cell r="A12189" t="str">
            <v>SERVYRE</v>
          </cell>
          <cell r="J12189">
            <v>0</v>
          </cell>
        </row>
        <row r="12190">
          <cell r="A12190" t="str">
            <v>SERVYRE</v>
          </cell>
          <cell r="J12190">
            <v>0</v>
          </cell>
        </row>
        <row r="12191">
          <cell r="A12191" t="str">
            <v>SERVYRE</v>
          </cell>
          <cell r="J12191">
            <v>0</v>
          </cell>
        </row>
        <row r="12192">
          <cell r="A12192" t="str">
            <v>SERVYRE</v>
          </cell>
          <cell r="J12192">
            <v>0</v>
          </cell>
        </row>
        <row r="12193">
          <cell r="A12193" t="str">
            <v>SERVYRE</v>
          </cell>
          <cell r="J12193">
            <v>0</v>
          </cell>
        </row>
        <row r="12194">
          <cell r="A12194" t="str">
            <v>SERVYRE</v>
          </cell>
          <cell r="J12194">
            <v>0</v>
          </cell>
        </row>
        <row r="12195">
          <cell r="A12195" t="str">
            <v>SERVYRE</v>
          </cell>
          <cell r="J12195">
            <v>0</v>
          </cell>
        </row>
        <row r="12196">
          <cell r="A12196" t="str">
            <v>SERVYRE</v>
          </cell>
          <cell r="J12196">
            <v>0</v>
          </cell>
        </row>
        <row r="12197">
          <cell r="A12197" t="str">
            <v>SERVYRE</v>
          </cell>
          <cell r="J12197">
            <v>0</v>
          </cell>
        </row>
        <row r="12198">
          <cell r="A12198" t="str">
            <v>SERVYRE</v>
          </cell>
          <cell r="J12198">
            <v>0</v>
          </cell>
        </row>
        <row r="12199">
          <cell r="A12199" t="str">
            <v>SERVYRE</v>
          </cell>
          <cell r="J12199">
            <v>0</v>
          </cell>
        </row>
        <row r="12200">
          <cell r="A12200" t="str">
            <v>SERVYRE</v>
          </cell>
          <cell r="J12200">
            <v>0</v>
          </cell>
        </row>
        <row r="12201">
          <cell r="A12201" t="str">
            <v>SERVYRE</v>
          </cell>
          <cell r="J12201">
            <v>0</v>
          </cell>
        </row>
        <row r="12202">
          <cell r="A12202" t="str">
            <v>SERVYRE</v>
          </cell>
          <cell r="J12202">
            <v>0</v>
          </cell>
        </row>
        <row r="12203">
          <cell r="A12203" t="str">
            <v>SERVYRE</v>
          </cell>
          <cell r="J12203">
            <v>0</v>
          </cell>
        </row>
        <row r="12204">
          <cell r="A12204" t="str">
            <v>SERVYRE</v>
          </cell>
          <cell r="J12204">
            <v>0</v>
          </cell>
        </row>
        <row r="12205">
          <cell r="A12205" t="str">
            <v>SERVYRE</v>
          </cell>
          <cell r="J12205">
            <v>0</v>
          </cell>
        </row>
        <row r="12206">
          <cell r="A12206" t="str">
            <v>SERVYRE</v>
          </cell>
          <cell r="J12206">
            <v>0</v>
          </cell>
        </row>
        <row r="12207">
          <cell r="A12207" t="str">
            <v>SERVYRE</v>
          </cell>
          <cell r="J12207">
            <v>0</v>
          </cell>
        </row>
        <row r="12208">
          <cell r="A12208" t="str">
            <v>SERVYRE</v>
          </cell>
          <cell r="J12208">
            <v>0</v>
          </cell>
        </row>
        <row r="12209">
          <cell r="A12209" t="str">
            <v>SERVYRE</v>
          </cell>
          <cell r="J12209">
            <v>0</v>
          </cell>
        </row>
        <row r="12210">
          <cell r="A12210" t="str">
            <v>SERVYRE</v>
          </cell>
          <cell r="J12210">
            <v>0</v>
          </cell>
        </row>
        <row r="12211">
          <cell r="A12211" t="str">
            <v>SERVYRE</v>
          </cell>
          <cell r="J12211">
            <v>0</v>
          </cell>
        </row>
        <row r="12212">
          <cell r="A12212" t="str">
            <v>SERVYRE</v>
          </cell>
          <cell r="J12212">
            <v>0</v>
          </cell>
        </row>
        <row r="12213">
          <cell r="A12213" t="str">
            <v>SERVYRE</v>
          </cell>
          <cell r="J12213">
            <v>0</v>
          </cell>
        </row>
        <row r="12214">
          <cell r="A12214" t="str">
            <v>SERVYRE</v>
          </cell>
          <cell r="J12214">
            <v>0</v>
          </cell>
        </row>
        <row r="12215">
          <cell r="A12215" t="str">
            <v>SERVYRE</v>
          </cell>
          <cell r="J12215">
            <v>0</v>
          </cell>
        </row>
        <row r="12216">
          <cell r="A12216" t="str">
            <v>SERVYRE</v>
          </cell>
          <cell r="J12216">
            <v>0</v>
          </cell>
        </row>
        <row r="12217">
          <cell r="A12217" t="str">
            <v>SERVYRE</v>
          </cell>
          <cell r="J12217">
            <v>0</v>
          </cell>
        </row>
        <row r="12218">
          <cell r="A12218" t="str">
            <v>SERVYRE</v>
          </cell>
          <cell r="J12218">
            <v>0</v>
          </cell>
        </row>
        <row r="12219">
          <cell r="A12219" t="str">
            <v>SERVYRE</v>
          </cell>
          <cell r="J12219">
            <v>0</v>
          </cell>
        </row>
        <row r="12220">
          <cell r="A12220" t="str">
            <v>SERVYRE</v>
          </cell>
          <cell r="J12220">
            <v>0</v>
          </cell>
        </row>
        <row r="12221">
          <cell r="A12221" t="str">
            <v>SERVYRE</v>
          </cell>
          <cell r="J12221">
            <v>0</v>
          </cell>
        </row>
        <row r="12222">
          <cell r="A12222" t="str">
            <v>SERVYRE</v>
          </cell>
          <cell r="J12222">
            <v>0</v>
          </cell>
        </row>
        <row r="12223">
          <cell r="A12223" t="str">
            <v>SERVYRE</v>
          </cell>
          <cell r="J12223">
            <v>0</v>
          </cell>
        </row>
        <row r="12224">
          <cell r="A12224" t="str">
            <v>SERVYRE</v>
          </cell>
          <cell r="J12224">
            <v>0</v>
          </cell>
        </row>
        <row r="12225">
          <cell r="A12225" t="str">
            <v>SERVYRE</v>
          </cell>
          <cell r="J12225">
            <v>0</v>
          </cell>
        </row>
        <row r="12226">
          <cell r="A12226" t="str">
            <v>SERVYRE</v>
          </cell>
          <cell r="J12226">
            <v>0</v>
          </cell>
        </row>
        <row r="12227">
          <cell r="A12227" t="str">
            <v>SERVYRE</v>
          </cell>
          <cell r="J12227">
            <v>0</v>
          </cell>
        </row>
        <row r="12228">
          <cell r="A12228" t="str">
            <v>SERVYRE</v>
          </cell>
          <cell r="J12228">
            <v>0</v>
          </cell>
        </row>
        <row r="12229">
          <cell r="A12229" t="str">
            <v>SERVYRE</v>
          </cell>
          <cell r="J12229">
            <v>0</v>
          </cell>
        </row>
        <row r="12230">
          <cell r="A12230" t="str">
            <v>SERVYRE</v>
          </cell>
          <cell r="J12230">
            <v>0</v>
          </cell>
        </row>
        <row r="12231">
          <cell r="A12231" t="str">
            <v>SERVYRE</v>
          </cell>
          <cell r="J12231">
            <v>0</v>
          </cell>
        </row>
        <row r="12232">
          <cell r="A12232" t="str">
            <v>SERVYRE</v>
          </cell>
          <cell r="J12232">
            <v>0</v>
          </cell>
        </row>
        <row r="12233">
          <cell r="A12233" t="str">
            <v>SERVYRE</v>
          </cell>
          <cell r="J12233">
            <v>0</v>
          </cell>
        </row>
        <row r="12234">
          <cell r="A12234" t="str">
            <v>SERVYRE</v>
          </cell>
          <cell r="J12234">
            <v>0</v>
          </cell>
        </row>
        <row r="12235">
          <cell r="A12235" t="str">
            <v>SERVYRE</v>
          </cell>
          <cell r="J12235">
            <v>0</v>
          </cell>
        </row>
        <row r="12236">
          <cell r="A12236" t="str">
            <v>SERVYRE</v>
          </cell>
          <cell r="J12236">
            <v>0</v>
          </cell>
        </row>
        <row r="12237">
          <cell r="A12237" t="str">
            <v>SERVYRE</v>
          </cell>
          <cell r="J12237">
            <v>0</v>
          </cell>
        </row>
        <row r="12238">
          <cell r="A12238" t="str">
            <v>SERVYRE</v>
          </cell>
          <cell r="J12238">
            <v>0</v>
          </cell>
        </row>
        <row r="12239">
          <cell r="A12239" t="str">
            <v>SERVYRE</v>
          </cell>
          <cell r="J12239">
            <v>0</v>
          </cell>
        </row>
        <row r="12240">
          <cell r="A12240" t="str">
            <v>SERVYRE</v>
          </cell>
          <cell r="J12240">
            <v>0</v>
          </cell>
        </row>
        <row r="12241">
          <cell r="A12241" t="str">
            <v>SERVYRE</v>
          </cell>
          <cell r="J12241">
            <v>0</v>
          </cell>
        </row>
        <row r="12242">
          <cell r="A12242" t="str">
            <v>SERVYRE</v>
          </cell>
          <cell r="J12242">
            <v>0</v>
          </cell>
        </row>
        <row r="12243">
          <cell r="A12243" t="str">
            <v>SERVYRE</v>
          </cell>
          <cell r="J12243">
            <v>0</v>
          </cell>
        </row>
        <row r="12244">
          <cell r="A12244" t="str">
            <v>SERVYRE</v>
          </cell>
          <cell r="J12244">
            <v>0</v>
          </cell>
        </row>
        <row r="12245">
          <cell r="A12245" t="str">
            <v>SERVYRE</v>
          </cell>
          <cell r="J12245">
            <v>0</v>
          </cell>
        </row>
        <row r="12246">
          <cell r="A12246" t="str">
            <v>SERVYRE</v>
          </cell>
          <cell r="J12246">
            <v>0</v>
          </cell>
        </row>
        <row r="12247">
          <cell r="A12247" t="str">
            <v>SERVYRE</v>
          </cell>
          <cell r="J12247">
            <v>0</v>
          </cell>
        </row>
        <row r="12248">
          <cell r="A12248" t="str">
            <v>SERVYRE</v>
          </cell>
          <cell r="J12248">
            <v>0</v>
          </cell>
        </row>
        <row r="12249">
          <cell r="A12249" t="str">
            <v>SERVYRE</v>
          </cell>
          <cell r="J12249">
            <v>0</v>
          </cell>
        </row>
        <row r="12250">
          <cell r="A12250" t="str">
            <v>SERVYRE</v>
          </cell>
          <cell r="J12250">
            <v>0</v>
          </cell>
        </row>
        <row r="12251">
          <cell r="A12251" t="str">
            <v>SERVYRE</v>
          </cell>
          <cell r="J12251">
            <v>0</v>
          </cell>
        </row>
        <row r="12252">
          <cell r="A12252" t="str">
            <v>SERVYRE</v>
          </cell>
          <cell r="J12252">
            <v>0</v>
          </cell>
        </row>
        <row r="12253">
          <cell r="A12253" t="str">
            <v>SERVYRE</v>
          </cell>
          <cell r="J12253">
            <v>0</v>
          </cell>
        </row>
        <row r="12254">
          <cell r="A12254" t="str">
            <v>SERVYRE</v>
          </cell>
          <cell r="J12254">
            <v>0</v>
          </cell>
        </row>
        <row r="12255">
          <cell r="A12255" t="str">
            <v>SERVYRE</v>
          </cell>
          <cell r="J12255">
            <v>0</v>
          </cell>
        </row>
        <row r="12256">
          <cell r="A12256" t="str">
            <v>SERVYRE</v>
          </cell>
          <cell r="J12256">
            <v>0</v>
          </cell>
        </row>
        <row r="12257">
          <cell r="A12257" t="str">
            <v>SERVYRE</v>
          </cell>
          <cell r="J12257">
            <v>0</v>
          </cell>
        </row>
        <row r="12258">
          <cell r="A12258" t="str">
            <v>SERVYRE</v>
          </cell>
          <cell r="J12258">
            <v>0</v>
          </cell>
        </row>
        <row r="12259">
          <cell r="A12259" t="str">
            <v>SERVYRE</v>
          </cell>
          <cell r="J12259">
            <v>0</v>
          </cell>
        </row>
        <row r="12260">
          <cell r="A12260" t="str">
            <v>SERVYRE</v>
          </cell>
          <cell r="J12260">
            <v>0</v>
          </cell>
        </row>
        <row r="12261">
          <cell r="A12261" t="str">
            <v>SERVYRE</v>
          </cell>
          <cell r="J12261">
            <v>0</v>
          </cell>
        </row>
        <row r="12262">
          <cell r="A12262" t="str">
            <v>SERVYRE</v>
          </cell>
          <cell r="J12262">
            <v>0</v>
          </cell>
        </row>
        <row r="12263">
          <cell r="A12263" t="str">
            <v>SERVYRE</v>
          </cell>
          <cell r="J12263">
            <v>0</v>
          </cell>
        </row>
        <row r="12264">
          <cell r="A12264" t="str">
            <v>SERVYRE</v>
          </cell>
          <cell r="J12264">
            <v>0</v>
          </cell>
        </row>
        <row r="12265">
          <cell r="A12265" t="str">
            <v>SERVYRE</v>
          </cell>
          <cell r="J12265">
            <v>0</v>
          </cell>
        </row>
        <row r="12266">
          <cell r="A12266" t="str">
            <v>SERVYRE</v>
          </cell>
          <cell r="J12266">
            <v>0</v>
          </cell>
        </row>
        <row r="12267">
          <cell r="A12267" t="str">
            <v>SERVYRE</v>
          </cell>
          <cell r="J12267">
            <v>0</v>
          </cell>
        </row>
        <row r="12268">
          <cell r="A12268" t="str">
            <v>SERVYRE</v>
          </cell>
          <cell r="J12268">
            <v>0</v>
          </cell>
        </row>
        <row r="12269">
          <cell r="A12269" t="str">
            <v>SERVYRE</v>
          </cell>
          <cell r="J12269">
            <v>0</v>
          </cell>
        </row>
        <row r="12270">
          <cell r="A12270" t="str">
            <v>SERVYRE</v>
          </cell>
          <cell r="J12270">
            <v>0</v>
          </cell>
        </row>
        <row r="12271">
          <cell r="A12271" t="str">
            <v>SERVYRE</v>
          </cell>
          <cell r="J12271">
            <v>0</v>
          </cell>
        </row>
        <row r="12272">
          <cell r="A12272" t="str">
            <v>SERVYRE</v>
          </cell>
          <cell r="J12272">
            <v>0</v>
          </cell>
        </row>
        <row r="12273">
          <cell r="A12273" t="str">
            <v>SERVYRE</v>
          </cell>
          <cell r="J12273">
            <v>0</v>
          </cell>
        </row>
        <row r="12274">
          <cell r="A12274" t="str">
            <v>SERVYRE</v>
          </cell>
          <cell r="J12274">
            <v>0</v>
          </cell>
        </row>
        <row r="12275">
          <cell r="A12275" t="str">
            <v>SERVYRE</v>
          </cell>
          <cell r="J12275">
            <v>0</v>
          </cell>
        </row>
        <row r="12276">
          <cell r="A12276" t="str">
            <v>SERVYRE</v>
          </cell>
          <cell r="J12276">
            <v>0</v>
          </cell>
        </row>
        <row r="12277">
          <cell r="A12277" t="str">
            <v>SERVYRE</v>
          </cell>
          <cell r="J12277">
            <v>0</v>
          </cell>
        </row>
        <row r="12278">
          <cell r="A12278" t="str">
            <v>SERVYRE</v>
          </cell>
          <cell r="J12278">
            <v>0</v>
          </cell>
        </row>
        <row r="12279">
          <cell r="A12279" t="str">
            <v>SERVYRE</v>
          </cell>
          <cell r="J12279">
            <v>0</v>
          </cell>
        </row>
        <row r="12280">
          <cell r="A12280" t="str">
            <v>SERVYRE</v>
          </cell>
          <cell r="J12280">
            <v>0</v>
          </cell>
        </row>
        <row r="12281">
          <cell r="A12281" t="str">
            <v>SERVYRE</v>
          </cell>
          <cell r="J12281">
            <v>0</v>
          </cell>
        </row>
        <row r="12282">
          <cell r="A12282" t="str">
            <v>SERVYRE</v>
          </cell>
          <cell r="J12282">
            <v>0</v>
          </cell>
        </row>
        <row r="12283">
          <cell r="A12283" t="str">
            <v>SERVYRE</v>
          </cell>
          <cell r="J12283">
            <v>0</v>
          </cell>
        </row>
        <row r="12284">
          <cell r="A12284" t="str">
            <v>SERVYRE</v>
          </cell>
          <cell r="J12284">
            <v>0</v>
          </cell>
        </row>
        <row r="12285">
          <cell r="A12285" t="str">
            <v>SERVYRE</v>
          </cell>
          <cell r="J12285">
            <v>0</v>
          </cell>
        </row>
        <row r="12286">
          <cell r="A12286" t="str">
            <v>SERVYRE</v>
          </cell>
          <cell r="J12286">
            <v>0</v>
          </cell>
        </row>
        <row r="12287">
          <cell r="A12287" t="str">
            <v>SERVYRE</v>
          </cell>
          <cell r="J12287">
            <v>0</v>
          </cell>
        </row>
        <row r="12288">
          <cell r="A12288" t="str">
            <v>SERVYRE</v>
          </cell>
          <cell r="J12288">
            <v>0</v>
          </cell>
        </row>
        <row r="12289">
          <cell r="A12289" t="str">
            <v>SERVYRE</v>
          </cell>
          <cell r="J12289">
            <v>0</v>
          </cell>
        </row>
        <row r="12290">
          <cell r="A12290" t="str">
            <v>SERVYRE</v>
          </cell>
          <cell r="J12290">
            <v>0</v>
          </cell>
        </row>
        <row r="12291">
          <cell r="A12291" t="str">
            <v>SERVYRE</v>
          </cell>
          <cell r="J12291">
            <v>0</v>
          </cell>
        </row>
        <row r="12292">
          <cell r="A12292" t="str">
            <v>SERVYRE</v>
          </cell>
          <cell r="J12292">
            <v>0</v>
          </cell>
        </row>
        <row r="12293">
          <cell r="A12293" t="str">
            <v>SERVYRE</v>
          </cell>
          <cell r="J12293">
            <v>0</v>
          </cell>
        </row>
        <row r="12294">
          <cell r="A12294" t="str">
            <v>SERVYRE</v>
          </cell>
          <cell r="J12294">
            <v>0</v>
          </cell>
        </row>
        <row r="12295">
          <cell r="A12295" t="str">
            <v>SERVYRE</v>
          </cell>
          <cell r="J12295">
            <v>0</v>
          </cell>
        </row>
        <row r="12296">
          <cell r="A12296" t="str">
            <v>SERVYRE</v>
          </cell>
          <cell r="J12296">
            <v>0</v>
          </cell>
        </row>
        <row r="12297">
          <cell r="A12297" t="str">
            <v>SERVYRE</v>
          </cell>
          <cell r="J12297">
            <v>0</v>
          </cell>
        </row>
        <row r="12298">
          <cell r="A12298" t="str">
            <v>SERVYRE</v>
          </cell>
          <cell r="J12298">
            <v>0</v>
          </cell>
        </row>
        <row r="12299">
          <cell r="A12299" t="str">
            <v>SERVYRE</v>
          </cell>
          <cell r="J12299">
            <v>0</v>
          </cell>
        </row>
        <row r="12300">
          <cell r="A12300" t="str">
            <v>SERVYRE</v>
          </cell>
          <cell r="J12300">
            <v>0</v>
          </cell>
        </row>
        <row r="12301">
          <cell r="A12301" t="str">
            <v>SERVYRE</v>
          </cell>
          <cell r="J12301">
            <v>0</v>
          </cell>
        </row>
        <row r="12302">
          <cell r="A12302" t="str">
            <v>SERVYRE</v>
          </cell>
          <cell r="J12302">
            <v>0</v>
          </cell>
        </row>
        <row r="12303">
          <cell r="A12303" t="str">
            <v>SERVYRE</v>
          </cell>
          <cell r="J12303">
            <v>0</v>
          </cell>
        </row>
        <row r="12304">
          <cell r="A12304" t="str">
            <v>SERVYRE</v>
          </cell>
          <cell r="J12304">
            <v>0</v>
          </cell>
        </row>
        <row r="12305">
          <cell r="A12305" t="str">
            <v>SERVYRE</v>
          </cell>
          <cell r="J12305">
            <v>0</v>
          </cell>
        </row>
        <row r="12306">
          <cell r="A12306" t="str">
            <v>SERVYRE</v>
          </cell>
          <cell r="J12306">
            <v>0</v>
          </cell>
        </row>
        <row r="12307">
          <cell r="A12307" t="str">
            <v>SERVYRE</v>
          </cell>
          <cell r="J12307">
            <v>0</v>
          </cell>
        </row>
        <row r="12308">
          <cell r="A12308" t="str">
            <v>SERVYRE</v>
          </cell>
          <cell r="J12308">
            <v>0</v>
          </cell>
        </row>
        <row r="12309">
          <cell r="A12309" t="str">
            <v>SERVYRE</v>
          </cell>
          <cell r="J12309">
            <v>0</v>
          </cell>
        </row>
        <row r="12310">
          <cell r="A12310" t="str">
            <v>SERVYRE</v>
          </cell>
          <cell r="J12310">
            <v>0</v>
          </cell>
        </row>
        <row r="12311">
          <cell r="A12311" t="str">
            <v>SERVYRE</v>
          </cell>
          <cell r="J12311">
            <v>0</v>
          </cell>
        </row>
        <row r="12312">
          <cell r="A12312" t="str">
            <v>SERVYRE</v>
          </cell>
          <cell r="J12312">
            <v>0</v>
          </cell>
        </row>
        <row r="12313">
          <cell r="A12313" t="str">
            <v>SERVYRE</v>
          </cell>
          <cell r="J12313">
            <v>0</v>
          </cell>
        </row>
        <row r="12314">
          <cell r="A12314" t="str">
            <v>SERVYRE</v>
          </cell>
          <cell r="J12314">
            <v>0</v>
          </cell>
        </row>
        <row r="12315">
          <cell r="A12315" t="str">
            <v>SERVYRE</v>
          </cell>
          <cell r="J12315">
            <v>0</v>
          </cell>
        </row>
        <row r="12316">
          <cell r="A12316" t="str">
            <v>SERVYRE</v>
          </cell>
          <cell r="J12316">
            <v>0</v>
          </cell>
        </row>
        <row r="12317">
          <cell r="A12317" t="str">
            <v>SERVYRE</v>
          </cell>
          <cell r="J12317">
            <v>0</v>
          </cell>
        </row>
        <row r="12318">
          <cell r="A12318" t="str">
            <v>SERVYRE</v>
          </cell>
          <cell r="J12318">
            <v>0</v>
          </cell>
        </row>
        <row r="12319">
          <cell r="A12319" t="str">
            <v>SERVYRE</v>
          </cell>
          <cell r="J12319">
            <v>0</v>
          </cell>
        </row>
        <row r="12320">
          <cell r="A12320" t="str">
            <v>SERVYRE</v>
          </cell>
          <cell r="J12320">
            <v>0</v>
          </cell>
        </row>
        <row r="12321">
          <cell r="A12321" t="str">
            <v>SERVYRE</v>
          </cell>
          <cell r="J12321">
            <v>0</v>
          </cell>
        </row>
        <row r="12322">
          <cell r="A12322" t="str">
            <v>SERVYRE</v>
          </cell>
          <cell r="J12322">
            <v>0</v>
          </cell>
        </row>
        <row r="12323">
          <cell r="A12323" t="str">
            <v>SERVYRE</v>
          </cell>
          <cell r="J12323">
            <v>0</v>
          </cell>
        </row>
        <row r="12324">
          <cell r="A12324" t="str">
            <v>SERVYRE</v>
          </cell>
          <cell r="J12324">
            <v>0</v>
          </cell>
        </row>
        <row r="12325">
          <cell r="A12325" t="str">
            <v>SERVYRE</v>
          </cell>
          <cell r="J12325">
            <v>0</v>
          </cell>
        </row>
        <row r="12326">
          <cell r="A12326" t="str">
            <v>SERVYRE</v>
          </cell>
          <cell r="J12326">
            <v>0</v>
          </cell>
        </row>
        <row r="12327">
          <cell r="A12327" t="str">
            <v>SERVYRE</v>
          </cell>
          <cell r="J12327">
            <v>0</v>
          </cell>
        </row>
        <row r="12328">
          <cell r="A12328" t="str">
            <v>SERVYRE</v>
          </cell>
          <cell r="J12328">
            <v>0</v>
          </cell>
        </row>
        <row r="12329">
          <cell r="A12329" t="str">
            <v>SERVYRE</v>
          </cell>
          <cell r="J12329">
            <v>0</v>
          </cell>
        </row>
        <row r="12330">
          <cell r="A12330" t="str">
            <v>SERVYRE</v>
          </cell>
          <cell r="J12330">
            <v>0</v>
          </cell>
        </row>
        <row r="12331">
          <cell r="A12331" t="str">
            <v>SERVYRE</v>
          </cell>
          <cell r="J12331">
            <v>0</v>
          </cell>
        </row>
        <row r="12332">
          <cell r="A12332" t="str">
            <v>SERVYRE</v>
          </cell>
          <cell r="J12332">
            <v>0</v>
          </cell>
        </row>
        <row r="12333">
          <cell r="A12333" t="str">
            <v>SERVYRE</v>
          </cell>
          <cell r="J12333">
            <v>0</v>
          </cell>
        </row>
        <row r="12334">
          <cell r="A12334" t="str">
            <v>SERVYRE</v>
          </cell>
          <cell r="J12334">
            <v>0</v>
          </cell>
        </row>
        <row r="12335">
          <cell r="A12335" t="str">
            <v>SERVYRE</v>
          </cell>
          <cell r="J12335">
            <v>0</v>
          </cell>
        </row>
        <row r="12336">
          <cell r="A12336" t="str">
            <v>SERVYRE</v>
          </cell>
          <cell r="J12336">
            <v>0</v>
          </cell>
        </row>
        <row r="12337">
          <cell r="A12337" t="str">
            <v>SERVYRE</v>
          </cell>
          <cell r="J12337">
            <v>0</v>
          </cell>
        </row>
        <row r="12338">
          <cell r="A12338" t="str">
            <v>SERVYRE</v>
          </cell>
          <cell r="J12338">
            <v>0</v>
          </cell>
        </row>
        <row r="12339">
          <cell r="A12339" t="str">
            <v>SERVYRE</v>
          </cell>
          <cell r="J12339">
            <v>0</v>
          </cell>
        </row>
        <row r="12340">
          <cell r="A12340" t="str">
            <v>SERVYRE</v>
          </cell>
          <cell r="J12340">
            <v>0</v>
          </cell>
        </row>
        <row r="12341">
          <cell r="A12341" t="str">
            <v>SERVYRE</v>
          </cell>
          <cell r="J12341">
            <v>0</v>
          </cell>
        </row>
        <row r="12342">
          <cell r="A12342" t="str">
            <v>SERVYRE</v>
          </cell>
          <cell r="J12342">
            <v>0</v>
          </cell>
        </row>
        <row r="12343">
          <cell r="A12343" t="str">
            <v>SERVYRE</v>
          </cell>
          <cell r="J12343">
            <v>0</v>
          </cell>
        </row>
        <row r="12344">
          <cell r="A12344" t="str">
            <v>SERVYRE</v>
          </cell>
          <cell r="J12344">
            <v>0</v>
          </cell>
        </row>
        <row r="12345">
          <cell r="A12345" t="str">
            <v>SERVYRE</v>
          </cell>
          <cell r="J12345">
            <v>0</v>
          </cell>
        </row>
        <row r="12346">
          <cell r="A12346" t="str">
            <v>SERVYRE</v>
          </cell>
          <cell r="J12346">
            <v>0</v>
          </cell>
        </row>
        <row r="12347">
          <cell r="A12347" t="str">
            <v>SERVYRE</v>
          </cell>
          <cell r="J12347">
            <v>0</v>
          </cell>
        </row>
        <row r="12348">
          <cell r="A12348" t="str">
            <v>SERVYRE</v>
          </cell>
          <cell r="J12348">
            <v>0</v>
          </cell>
        </row>
        <row r="12349">
          <cell r="A12349" t="str">
            <v>SERVYRE</v>
          </cell>
          <cell r="J12349">
            <v>0</v>
          </cell>
        </row>
        <row r="12350">
          <cell r="A12350" t="str">
            <v>SERVYRE</v>
          </cell>
          <cell r="J12350">
            <v>0</v>
          </cell>
        </row>
        <row r="12351">
          <cell r="A12351" t="str">
            <v>SERVYRE</v>
          </cell>
          <cell r="J12351">
            <v>0</v>
          </cell>
        </row>
        <row r="12352">
          <cell r="A12352" t="str">
            <v>SERVYRE</v>
          </cell>
          <cell r="J12352">
            <v>0</v>
          </cell>
        </row>
        <row r="12353">
          <cell r="A12353" t="str">
            <v>SERVYRE</v>
          </cell>
          <cell r="J12353">
            <v>0</v>
          </cell>
        </row>
        <row r="12354">
          <cell r="A12354" t="str">
            <v>SERVYRE</v>
          </cell>
          <cell r="J12354">
            <v>0</v>
          </cell>
        </row>
        <row r="12355">
          <cell r="A12355" t="str">
            <v>SERVYRE</v>
          </cell>
          <cell r="J12355">
            <v>0</v>
          </cell>
        </row>
        <row r="12356">
          <cell r="A12356" t="str">
            <v>SERVYRE</v>
          </cell>
          <cell r="J12356">
            <v>0</v>
          </cell>
        </row>
        <row r="12357">
          <cell r="A12357" t="str">
            <v>SERVYRE</v>
          </cell>
          <cell r="J12357">
            <v>0</v>
          </cell>
        </row>
        <row r="12358">
          <cell r="A12358" t="str">
            <v>SERVYRE</v>
          </cell>
          <cell r="J12358">
            <v>0</v>
          </cell>
        </row>
        <row r="12359">
          <cell r="A12359" t="str">
            <v>SERVYRE</v>
          </cell>
          <cell r="J12359">
            <v>0</v>
          </cell>
        </row>
        <row r="12360">
          <cell r="A12360" t="str">
            <v>SERVYRE</v>
          </cell>
          <cell r="J12360">
            <v>0</v>
          </cell>
        </row>
        <row r="12361">
          <cell r="A12361" t="str">
            <v>SERVYRE</v>
          </cell>
          <cell r="J12361">
            <v>0</v>
          </cell>
        </row>
        <row r="12362">
          <cell r="A12362" t="str">
            <v>SERVYRE</v>
          </cell>
          <cell r="J12362">
            <v>0</v>
          </cell>
        </row>
        <row r="12363">
          <cell r="A12363" t="str">
            <v>SERVYRE</v>
          </cell>
          <cell r="J12363">
            <v>0</v>
          </cell>
        </row>
        <row r="12364">
          <cell r="A12364" t="str">
            <v>SERVYRE</v>
          </cell>
          <cell r="J12364">
            <v>0</v>
          </cell>
        </row>
        <row r="12365">
          <cell r="A12365" t="str">
            <v>SERVYRE</v>
          </cell>
          <cell r="J12365">
            <v>0</v>
          </cell>
        </row>
        <row r="12366">
          <cell r="A12366" t="str">
            <v>SERVYRE</v>
          </cell>
          <cell r="J12366">
            <v>0</v>
          </cell>
        </row>
        <row r="12367">
          <cell r="A12367" t="str">
            <v>SERVYRE</v>
          </cell>
          <cell r="J12367">
            <v>0</v>
          </cell>
        </row>
        <row r="12368">
          <cell r="A12368" t="str">
            <v>SERVYRE</v>
          </cell>
          <cell r="J12368">
            <v>0</v>
          </cell>
        </row>
        <row r="12369">
          <cell r="A12369" t="str">
            <v>SERVYRE</v>
          </cell>
          <cell r="J12369">
            <v>0</v>
          </cell>
        </row>
        <row r="12370">
          <cell r="A12370" t="str">
            <v>SERVYRE</v>
          </cell>
          <cell r="J12370">
            <v>0</v>
          </cell>
        </row>
        <row r="12371">
          <cell r="A12371" t="str">
            <v>SERVYRE</v>
          </cell>
          <cell r="J12371">
            <v>0</v>
          </cell>
        </row>
        <row r="12372">
          <cell r="A12372" t="str">
            <v>SERVYRE</v>
          </cell>
          <cell r="J12372">
            <v>0</v>
          </cell>
        </row>
        <row r="12373">
          <cell r="A12373" t="str">
            <v>SERVYRE</v>
          </cell>
          <cell r="J12373">
            <v>0</v>
          </cell>
        </row>
        <row r="12374">
          <cell r="A12374" t="str">
            <v>SERVYRE</v>
          </cell>
          <cell r="J12374">
            <v>0</v>
          </cell>
        </row>
        <row r="12375">
          <cell r="A12375" t="str">
            <v>SERVYRE</v>
          </cell>
          <cell r="J12375">
            <v>0</v>
          </cell>
        </row>
        <row r="12376">
          <cell r="A12376" t="str">
            <v>SERVYRE</v>
          </cell>
          <cell r="J12376">
            <v>0</v>
          </cell>
        </row>
        <row r="12377">
          <cell r="A12377" t="str">
            <v>SERVYRE</v>
          </cell>
          <cell r="J12377">
            <v>0</v>
          </cell>
        </row>
        <row r="12378">
          <cell r="A12378" t="str">
            <v>SERVYRE</v>
          </cell>
          <cell r="J12378">
            <v>0</v>
          </cell>
        </row>
        <row r="12379">
          <cell r="A12379" t="str">
            <v>SERVYRE</v>
          </cell>
          <cell r="J12379">
            <v>0</v>
          </cell>
        </row>
        <row r="12380">
          <cell r="A12380" t="str">
            <v>SERVYRE</v>
          </cell>
          <cell r="J12380">
            <v>0</v>
          </cell>
        </row>
        <row r="12381">
          <cell r="A12381" t="str">
            <v>SERVYRE</v>
          </cell>
          <cell r="J12381">
            <v>0</v>
          </cell>
        </row>
        <row r="12382">
          <cell r="A12382" t="str">
            <v>SERVYRE</v>
          </cell>
          <cell r="J12382">
            <v>0</v>
          </cell>
        </row>
        <row r="12383">
          <cell r="A12383" t="str">
            <v>SERVYRE</v>
          </cell>
          <cell r="J12383">
            <v>0</v>
          </cell>
        </row>
        <row r="12384">
          <cell r="A12384" t="str">
            <v>SERVYRE</v>
          </cell>
          <cell r="J12384">
            <v>0</v>
          </cell>
        </row>
        <row r="12385">
          <cell r="A12385" t="str">
            <v>SERVYRE</v>
          </cell>
          <cell r="J12385">
            <v>0</v>
          </cell>
        </row>
        <row r="12386">
          <cell r="A12386" t="str">
            <v>SERVYRE</v>
          </cell>
          <cell r="J12386">
            <v>0</v>
          </cell>
        </row>
        <row r="12387">
          <cell r="A12387" t="str">
            <v>SERVYRE</v>
          </cell>
          <cell r="J12387">
            <v>0</v>
          </cell>
        </row>
        <row r="12388">
          <cell r="A12388" t="str">
            <v>SERVYRE</v>
          </cell>
          <cell r="J12388">
            <v>0</v>
          </cell>
        </row>
        <row r="12389">
          <cell r="A12389" t="str">
            <v>SERVYRE</v>
          </cell>
          <cell r="J12389">
            <v>0</v>
          </cell>
        </row>
        <row r="12390">
          <cell r="A12390" t="str">
            <v>SERVYRE</v>
          </cell>
          <cell r="J12390">
            <v>0</v>
          </cell>
        </row>
        <row r="12391">
          <cell r="A12391" t="str">
            <v>SERVYRE</v>
          </cell>
          <cell r="J12391">
            <v>0</v>
          </cell>
        </row>
        <row r="12392">
          <cell r="A12392" t="str">
            <v>SERVYRE</v>
          </cell>
          <cell r="J12392">
            <v>0</v>
          </cell>
        </row>
        <row r="12393">
          <cell r="A12393" t="str">
            <v>SERVYRE</v>
          </cell>
          <cell r="J12393">
            <v>0</v>
          </cell>
        </row>
        <row r="12394">
          <cell r="A12394" t="str">
            <v>SERVYRE</v>
          </cell>
          <cell r="J12394">
            <v>0</v>
          </cell>
        </row>
        <row r="12395">
          <cell r="A12395" t="str">
            <v>SERVYRE</v>
          </cell>
          <cell r="J12395">
            <v>0</v>
          </cell>
        </row>
        <row r="12396">
          <cell r="A12396" t="str">
            <v>SERVYRE</v>
          </cell>
          <cell r="J12396">
            <v>0</v>
          </cell>
        </row>
        <row r="12397">
          <cell r="A12397" t="str">
            <v>SERVYRE</v>
          </cell>
          <cell r="J12397">
            <v>0</v>
          </cell>
        </row>
        <row r="12398">
          <cell r="A12398" t="str">
            <v>SERVYRE</v>
          </cell>
          <cell r="J12398">
            <v>0</v>
          </cell>
        </row>
        <row r="12399">
          <cell r="A12399" t="str">
            <v>SERVYRE</v>
          </cell>
          <cell r="J12399">
            <v>0</v>
          </cell>
        </row>
        <row r="12400">
          <cell r="A12400" t="str">
            <v>SERVYRE</v>
          </cell>
          <cell r="J12400">
            <v>0</v>
          </cell>
        </row>
        <row r="12401">
          <cell r="A12401" t="str">
            <v>SERVYRE</v>
          </cell>
          <cell r="J12401">
            <v>0</v>
          </cell>
        </row>
        <row r="12402">
          <cell r="A12402" t="str">
            <v>SERVYRE</v>
          </cell>
          <cell r="J12402">
            <v>0</v>
          </cell>
        </row>
        <row r="12403">
          <cell r="A12403" t="str">
            <v>SERVYRE</v>
          </cell>
          <cell r="J12403">
            <v>0</v>
          </cell>
        </row>
        <row r="12404">
          <cell r="A12404" t="str">
            <v>SERVYRE</v>
          </cell>
          <cell r="J12404">
            <v>0</v>
          </cell>
        </row>
        <row r="12405">
          <cell r="A12405" t="str">
            <v>SERVYRE</v>
          </cell>
          <cell r="J12405">
            <v>0</v>
          </cell>
        </row>
        <row r="12406">
          <cell r="A12406" t="str">
            <v>SERVYRE</v>
          </cell>
          <cell r="J12406">
            <v>0</v>
          </cell>
        </row>
        <row r="12407">
          <cell r="A12407" t="str">
            <v>SERVYRE</v>
          </cell>
          <cell r="J12407">
            <v>0</v>
          </cell>
        </row>
        <row r="12408">
          <cell r="A12408" t="str">
            <v>SERVYRE</v>
          </cell>
          <cell r="J12408">
            <v>0</v>
          </cell>
        </row>
        <row r="12409">
          <cell r="A12409" t="str">
            <v>SERVYRE</v>
          </cell>
          <cell r="J12409">
            <v>0</v>
          </cell>
        </row>
        <row r="12410">
          <cell r="A12410" t="str">
            <v>SERVYRE</v>
          </cell>
          <cell r="J12410">
            <v>0</v>
          </cell>
        </row>
        <row r="12411">
          <cell r="A12411" t="str">
            <v>SERVYRE</v>
          </cell>
          <cell r="J12411">
            <v>0</v>
          </cell>
        </row>
        <row r="12412">
          <cell r="A12412" t="str">
            <v>SERVYRE</v>
          </cell>
          <cell r="J12412">
            <v>0</v>
          </cell>
        </row>
        <row r="12413">
          <cell r="A12413" t="str">
            <v>SERVYRE</v>
          </cell>
          <cell r="J12413">
            <v>0</v>
          </cell>
        </row>
        <row r="12414">
          <cell r="A12414" t="str">
            <v>SERVYRE</v>
          </cell>
          <cell r="J12414">
            <v>0</v>
          </cell>
        </row>
        <row r="12415">
          <cell r="A12415" t="str">
            <v>SERVYRE</v>
          </cell>
          <cell r="J12415">
            <v>0</v>
          </cell>
        </row>
        <row r="12416">
          <cell r="A12416" t="str">
            <v>SERVYRE</v>
          </cell>
          <cell r="J12416">
            <v>0</v>
          </cell>
        </row>
        <row r="12417">
          <cell r="A12417" t="str">
            <v>SERVYRE</v>
          </cell>
          <cell r="J12417">
            <v>0</v>
          </cell>
        </row>
        <row r="12418">
          <cell r="A12418" t="str">
            <v>SERVYRE</v>
          </cell>
          <cell r="J12418">
            <v>0</v>
          </cell>
        </row>
        <row r="12419">
          <cell r="A12419" t="str">
            <v>SERVYRE</v>
          </cell>
          <cell r="J12419">
            <v>0</v>
          </cell>
        </row>
        <row r="12420">
          <cell r="A12420" t="str">
            <v>SERVYRE</v>
          </cell>
          <cell r="J12420">
            <v>0</v>
          </cell>
        </row>
        <row r="12421">
          <cell r="A12421" t="str">
            <v>SERVYRE</v>
          </cell>
          <cell r="J12421">
            <v>0</v>
          </cell>
        </row>
        <row r="12422">
          <cell r="A12422" t="str">
            <v>SERVYRE</v>
          </cell>
          <cell r="J12422">
            <v>0</v>
          </cell>
        </row>
        <row r="12423">
          <cell r="A12423" t="str">
            <v>SERVYRE</v>
          </cell>
          <cell r="J12423">
            <v>0</v>
          </cell>
        </row>
        <row r="12424">
          <cell r="A12424" t="str">
            <v>SERVYRE</v>
          </cell>
          <cell r="J12424">
            <v>0</v>
          </cell>
        </row>
        <row r="12425">
          <cell r="A12425" t="str">
            <v>SERVYRE</v>
          </cell>
          <cell r="J12425">
            <v>0</v>
          </cell>
        </row>
        <row r="12426">
          <cell r="A12426" t="str">
            <v>SERVYRE</v>
          </cell>
          <cell r="J12426">
            <v>0</v>
          </cell>
        </row>
        <row r="12427">
          <cell r="A12427" t="str">
            <v>SERVYRE</v>
          </cell>
          <cell r="J12427">
            <v>0</v>
          </cell>
        </row>
        <row r="12428">
          <cell r="A12428" t="str">
            <v>SERVYRE</v>
          </cell>
          <cell r="J12428">
            <v>0</v>
          </cell>
        </row>
        <row r="12429">
          <cell r="A12429" t="str">
            <v>SERVYRE</v>
          </cell>
          <cell r="J12429">
            <v>0</v>
          </cell>
        </row>
        <row r="12430">
          <cell r="A12430" t="str">
            <v>SERVYRE</v>
          </cell>
          <cell r="J12430">
            <v>0</v>
          </cell>
        </row>
        <row r="12431">
          <cell r="A12431" t="str">
            <v>SERVYRE</v>
          </cell>
          <cell r="J12431">
            <v>0</v>
          </cell>
        </row>
        <row r="12432">
          <cell r="A12432" t="str">
            <v>SERVYRE</v>
          </cell>
          <cell r="J12432">
            <v>0</v>
          </cell>
        </row>
        <row r="12433">
          <cell r="A12433" t="str">
            <v>SERVYRE</v>
          </cell>
          <cell r="J12433">
            <v>0</v>
          </cell>
        </row>
        <row r="12434">
          <cell r="A12434" t="str">
            <v>SERVYRE</v>
          </cell>
          <cell r="J12434">
            <v>0</v>
          </cell>
        </row>
        <row r="12435">
          <cell r="A12435" t="str">
            <v>SERVYRE</v>
          </cell>
          <cell r="J12435">
            <v>0</v>
          </cell>
        </row>
        <row r="12436">
          <cell r="A12436" t="str">
            <v>SERVYRE</v>
          </cell>
          <cell r="J12436">
            <v>0</v>
          </cell>
        </row>
        <row r="12437">
          <cell r="A12437" t="str">
            <v>SERVYRE</v>
          </cell>
          <cell r="J12437">
            <v>0</v>
          </cell>
        </row>
        <row r="12438">
          <cell r="A12438" t="str">
            <v>SERVYRE</v>
          </cell>
          <cell r="J12438">
            <v>0</v>
          </cell>
        </row>
        <row r="12439">
          <cell r="A12439" t="str">
            <v>SERVYRE</v>
          </cell>
          <cell r="J12439">
            <v>0</v>
          </cell>
        </row>
        <row r="12440">
          <cell r="A12440" t="str">
            <v>SERVYRE</v>
          </cell>
          <cell r="J12440">
            <v>0</v>
          </cell>
        </row>
        <row r="12441">
          <cell r="A12441" t="str">
            <v>SERVYRE</v>
          </cell>
          <cell r="J12441">
            <v>0</v>
          </cell>
        </row>
        <row r="12442">
          <cell r="A12442" t="str">
            <v>SERVYRE</v>
          </cell>
          <cell r="J12442">
            <v>0</v>
          </cell>
        </row>
        <row r="12443">
          <cell r="A12443" t="str">
            <v>SERVYRE</v>
          </cell>
          <cell r="J12443">
            <v>0</v>
          </cell>
        </row>
        <row r="12444">
          <cell r="A12444" t="str">
            <v>SERVYRE</v>
          </cell>
          <cell r="J12444">
            <v>0</v>
          </cell>
        </row>
        <row r="12445">
          <cell r="A12445" t="str">
            <v>SERVYRE</v>
          </cell>
          <cell r="J12445">
            <v>0</v>
          </cell>
        </row>
        <row r="12446">
          <cell r="A12446" t="str">
            <v>SERVYRE</v>
          </cell>
          <cell r="J12446">
            <v>0</v>
          </cell>
        </row>
        <row r="12447">
          <cell r="A12447" t="str">
            <v>SERVYRE</v>
          </cell>
          <cell r="J12447">
            <v>0</v>
          </cell>
        </row>
        <row r="12448">
          <cell r="A12448" t="str">
            <v>SERVYRE</v>
          </cell>
          <cell r="J12448">
            <v>0</v>
          </cell>
        </row>
        <row r="12449">
          <cell r="A12449" t="str">
            <v>SERVYRE</v>
          </cell>
          <cell r="J12449">
            <v>0</v>
          </cell>
        </row>
        <row r="12450">
          <cell r="A12450" t="str">
            <v>SERVYRE</v>
          </cell>
          <cell r="J12450">
            <v>0</v>
          </cell>
        </row>
        <row r="12451">
          <cell r="A12451" t="str">
            <v>SERVYRE</v>
          </cell>
          <cell r="J12451">
            <v>0</v>
          </cell>
        </row>
        <row r="12452">
          <cell r="A12452" t="str">
            <v>SERVYRE</v>
          </cell>
          <cell r="J12452">
            <v>0</v>
          </cell>
        </row>
        <row r="12453">
          <cell r="A12453" t="str">
            <v>SERVYRE</v>
          </cell>
          <cell r="J12453">
            <v>0</v>
          </cell>
        </row>
        <row r="12454">
          <cell r="A12454" t="str">
            <v>SERVYRE</v>
          </cell>
          <cell r="J12454">
            <v>0</v>
          </cell>
        </row>
        <row r="12455">
          <cell r="A12455" t="str">
            <v>SERVYRE</v>
          </cell>
          <cell r="J12455">
            <v>0</v>
          </cell>
        </row>
        <row r="12456">
          <cell r="A12456" t="str">
            <v>SERVYRE</v>
          </cell>
          <cell r="J12456">
            <v>0</v>
          </cell>
        </row>
        <row r="12457">
          <cell r="A12457" t="str">
            <v>SERVYRE</v>
          </cell>
          <cell r="J12457">
            <v>0</v>
          </cell>
        </row>
        <row r="12458">
          <cell r="A12458" t="str">
            <v>SERVYRE</v>
          </cell>
          <cell r="J12458">
            <v>0</v>
          </cell>
        </row>
        <row r="12459">
          <cell r="A12459" t="str">
            <v>SERVYRE</v>
          </cell>
          <cell r="J12459">
            <v>0</v>
          </cell>
        </row>
        <row r="12460">
          <cell r="A12460" t="str">
            <v>SERVYRE</v>
          </cell>
          <cell r="J12460">
            <v>0</v>
          </cell>
        </row>
        <row r="12461">
          <cell r="A12461" t="str">
            <v>SERVYRE</v>
          </cell>
          <cell r="J12461">
            <v>0</v>
          </cell>
        </row>
        <row r="12462">
          <cell r="A12462" t="str">
            <v>SERVYRE</v>
          </cell>
          <cell r="J12462">
            <v>0</v>
          </cell>
        </row>
        <row r="12463">
          <cell r="A12463" t="str">
            <v>SERVYRE</v>
          </cell>
          <cell r="J12463">
            <v>0</v>
          </cell>
        </row>
        <row r="12464">
          <cell r="A12464" t="str">
            <v>SERVYRE</v>
          </cell>
          <cell r="J12464">
            <v>0</v>
          </cell>
        </row>
        <row r="12465">
          <cell r="A12465" t="str">
            <v>SERVYRE</v>
          </cell>
          <cell r="J12465">
            <v>0</v>
          </cell>
        </row>
        <row r="12466">
          <cell r="A12466" t="str">
            <v>SERVYRE</v>
          </cell>
          <cell r="J12466">
            <v>0</v>
          </cell>
        </row>
        <row r="12467">
          <cell r="A12467" t="str">
            <v>SERVYRE</v>
          </cell>
          <cell r="J12467">
            <v>0</v>
          </cell>
        </row>
        <row r="12468">
          <cell r="A12468" t="str">
            <v>SERVYRE</v>
          </cell>
          <cell r="J12468">
            <v>0</v>
          </cell>
        </row>
        <row r="12469">
          <cell r="A12469" t="str">
            <v>SERVYRE</v>
          </cell>
          <cell r="J12469">
            <v>0</v>
          </cell>
        </row>
        <row r="12470">
          <cell r="A12470" t="str">
            <v>SERVYRE</v>
          </cell>
          <cell r="J12470">
            <v>0</v>
          </cell>
        </row>
        <row r="12471">
          <cell r="A12471" t="str">
            <v>SERVYRE</v>
          </cell>
          <cell r="J12471">
            <v>0</v>
          </cell>
        </row>
        <row r="12472">
          <cell r="A12472" t="str">
            <v>SERVYRE</v>
          </cell>
          <cell r="J12472">
            <v>0</v>
          </cell>
        </row>
        <row r="12473">
          <cell r="A12473" t="str">
            <v>SERVYRE</v>
          </cell>
          <cell r="J12473">
            <v>0</v>
          </cell>
        </row>
        <row r="12474">
          <cell r="A12474" t="str">
            <v>SERVYRE</v>
          </cell>
          <cell r="J12474">
            <v>0</v>
          </cell>
        </row>
        <row r="12475">
          <cell r="A12475" t="str">
            <v>SERVYRE</v>
          </cell>
          <cell r="J12475">
            <v>0</v>
          </cell>
        </row>
        <row r="12476">
          <cell r="A12476" t="str">
            <v>SERVYRE</v>
          </cell>
          <cell r="J12476">
            <v>0</v>
          </cell>
        </row>
        <row r="12477">
          <cell r="A12477" t="str">
            <v>SERVYRE</v>
          </cell>
          <cell r="J12477">
            <v>0</v>
          </cell>
        </row>
        <row r="12478">
          <cell r="A12478" t="str">
            <v>SERVYRE</v>
          </cell>
          <cell r="J12478">
            <v>0</v>
          </cell>
        </row>
        <row r="12479">
          <cell r="A12479" t="str">
            <v>SERVYRE</v>
          </cell>
          <cell r="J12479">
            <v>0</v>
          </cell>
        </row>
        <row r="12480">
          <cell r="A12480" t="str">
            <v>SERVYRE</v>
          </cell>
          <cell r="J12480">
            <v>0</v>
          </cell>
        </row>
        <row r="12481">
          <cell r="A12481" t="str">
            <v>SERVYRE</v>
          </cell>
          <cell r="J12481">
            <v>0</v>
          </cell>
        </row>
        <row r="12482">
          <cell r="A12482" t="str">
            <v>SERVYRE</v>
          </cell>
          <cell r="J12482">
            <v>0</v>
          </cell>
        </row>
        <row r="12483">
          <cell r="A12483" t="str">
            <v>SERVYRE</v>
          </cell>
          <cell r="J12483">
            <v>0</v>
          </cell>
        </row>
        <row r="12484">
          <cell r="A12484" t="str">
            <v>SERVYRE</v>
          </cell>
          <cell r="J12484">
            <v>0</v>
          </cell>
        </row>
        <row r="12485">
          <cell r="A12485" t="str">
            <v>SERVYRE</v>
          </cell>
          <cell r="J12485">
            <v>0</v>
          </cell>
        </row>
        <row r="12486">
          <cell r="A12486" t="str">
            <v>SERVYRE</v>
          </cell>
          <cell r="J12486">
            <v>0</v>
          </cell>
        </row>
        <row r="12487">
          <cell r="A12487" t="str">
            <v>SERVYRE</v>
          </cell>
          <cell r="J12487">
            <v>0</v>
          </cell>
        </row>
        <row r="12488">
          <cell r="A12488" t="str">
            <v>SERVYRE</v>
          </cell>
          <cell r="J12488">
            <v>0</v>
          </cell>
        </row>
        <row r="12489">
          <cell r="A12489" t="str">
            <v>SERVYRE</v>
          </cell>
          <cell r="J12489">
            <v>0</v>
          </cell>
        </row>
        <row r="12490">
          <cell r="A12490" t="str">
            <v>SERVYRE</v>
          </cell>
          <cell r="J12490">
            <v>0</v>
          </cell>
        </row>
        <row r="12491">
          <cell r="A12491" t="str">
            <v>SERVYRE</v>
          </cell>
          <cell r="J12491">
            <v>0</v>
          </cell>
        </row>
        <row r="12492">
          <cell r="A12492" t="str">
            <v>SERVYRE</v>
          </cell>
          <cell r="J12492">
            <v>0</v>
          </cell>
        </row>
        <row r="12493">
          <cell r="A12493" t="str">
            <v>SERVYRE</v>
          </cell>
          <cell r="J12493">
            <v>0</v>
          </cell>
        </row>
        <row r="12494">
          <cell r="A12494" t="str">
            <v>SERVYRE</v>
          </cell>
          <cell r="J12494">
            <v>0</v>
          </cell>
        </row>
        <row r="12495">
          <cell r="A12495" t="str">
            <v>SERVYRE</v>
          </cell>
          <cell r="J12495">
            <v>0</v>
          </cell>
        </row>
        <row r="12496">
          <cell r="A12496" t="str">
            <v>SERVYRE</v>
          </cell>
          <cell r="J12496">
            <v>0</v>
          </cell>
        </row>
        <row r="12497">
          <cell r="A12497" t="str">
            <v>SERVYRE</v>
          </cell>
          <cell r="J12497">
            <v>0</v>
          </cell>
        </row>
        <row r="12498">
          <cell r="A12498" t="str">
            <v>SERVYRE</v>
          </cell>
          <cell r="J12498">
            <v>0</v>
          </cell>
        </row>
        <row r="12499">
          <cell r="A12499" t="str">
            <v>SERVYRE</v>
          </cell>
          <cell r="J12499">
            <v>0</v>
          </cell>
        </row>
        <row r="12500">
          <cell r="A12500" t="str">
            <v>SERVYRE</v>
          </cell>
          <cell r="J12500">
            <v>0</v>
          </cell>
        </row>
        <row r="12501">
          <cell r="A12501" t="str">
            <v>SERVYRE</v>
          </cell>
          <cell r="J12501">
            <v>0</v>
          </cell>
        </row>
        <row r="12502">
          <cell r="A12502" t="str">
            <v>SERVYRE</v>
          </cell>
          <cell r="J12502">
            <v>0</v>
          </cell>
        </row>
        <row r="12503">
          <cell r="A12503" t="str">
            <v>SERVYRE</v>
          </cell>
          <cell r="J12503">
            <v>0</v>
          </cell>
        </row>
        <row r="12504">
          <cell r="A12504" t="str">
            <v>SERVYRE</v>
          </cell>
          <cell r="J12504">
            <v>0</v>
          </cell>
        </row>
        <row r="12505">
          <cell r="A12505" t="str">
            <v>SERVYRE</v>
          </cell>
          <cell r="J12505">
            <v>0</v>
          </cell>
        </row>
        <row r="12506">
          <cell r="A12506" t="str">
            <v>SERVYRE</v>
          </cell>
          <cell r="J12506">
            <v>0</v>
          </cell>
        </row>
        <row r="12507">
          <cell r="A12507" t="str">
            <v>SERVYRE</v>
          </cell>
          <cell r="J12507">
            <v>0</v>
          </cell>
        </row>
        <row r="12508">
          <cell r="A12508" t="str">
            <v>SERVYRE</v>
          </cell>
          <cell r="J12508">
            <v>0</v>
          </cell>
        </row>
        <row r="12509">
          <cell r="A12509" t="str">
            <v>SERVYRE</v>
          </cell>
          <cell r="J12509">
            <v>0</v>
          </cell>
        </row>
        <row r="12510">
          <cell r="A12510" t="str">
            <v>SERVYRE</v>
          </cell>
          <cell r="J12510">
            <v>0</v>
          </cell>
        </row>
        <row r="12511">
          <cell r="A12511" t="str">
            <v>SERVYRE</v>
          </cell>
          <cell r="J12511">
            <v>0</v>
          </cell>
        </row>
        <row r="12512">
          <cell r="A12512" t="str">
            <v>SERVYRE</v>
          </cell>
          <cell r="J12512">
            <v>0</v>
          </cell>
        </row>
        <row r="12513">
          <cell r="A12513" t="str">
            <v>SERVYRE</v>
          </cell>
          <cell r="J12513">
            <v>0</v>
          </cell>
        </row>
        <row r="12514">
          <cell r="A12514" t="str">
            <v>SERVYRE</v>
          </cell>
          <cell r="J12514">
            <v>0</v>
          </cell>
        </row>
        <row r="12515">
          <cell r="A12515" t="str">
            <v>SERVYRE</v>
          </cell>
          <cell r="J12515">
            <v>0</v>
          </cell>
        </row>
        <row r="12516">
          <cell r="A12516" t="str">
            <v>SERVYRE</v>
          </cell>
          <cell r="J12516">
            <v>0</v>
          </cell>
        </row>
        <row r="12517">
          <cell r="A12517" t="str">
            <v>SERVYRE</v>
          </cell>
          <cell r="J12517">
            <v>0</v>
          </cell>
        </row>
        <row r="12518">
          <cell r="A12518" t="str">
            <v>SERVYRE</v>
          </cell>
          <cell r="J12518">
            <v>0</v>
          </cell>
        </row>
        <row r="12519">
          <cell r="A12519" t="str">
            <v>SERVYRE</v>
          </cell>
          <cell r="J12519">
            <v>0</v>
          </cell>
        </row>
        <row r="12520">
          <cell r="A12520" t="str">
            <v>SERVYRE</v>
          </cell>
          <cell r="J12520">
            <v>0</v>
          </cell>
        </row>
        <row r="12521">
          <cell r="A12521" t="str">
            <v>SERVYRE</v>
          </cell>
          <cell r="J12521">
            <v>0</v>
          </cell>
        </row>
        <row r="12522">
          <cell r="A12522" t="str">
            <v>SERVYRE</v>
          </cell>
          <cell r="J12522">
            <v>0</v>
          </cell>
        </row>
        <row r="12523">
          <cell r="A12523" t="str">
            <v>SERVYRE</v>
          </cell>
          <cell r="J12523">
            <v>0</v>
          </cell>
        </row>
        <row r="12524">
          <cell r="A12524" t="str">
            <v>SERVYRE</v>
          </cell>
          <cell r="J12524">
            <v>0</v>
          </cell>
        </row>
        <row r="12525">
          <cell r="A12525" t="str">
            <v>SERVYRE</v>
          </cell>
          <cell r="J12525">
            <v>0</v>
          </cell>
        </row>
        <row r="12526">
          <cell r="A12526" t="str">
            <v>SERVYRE</v>
          </cell>
          <cell r="J12526">
            <v>0</v>
          </cell>
        </row>
        <row r="12527">
          <cell r="A12527" t="str">
            <v>SERVYRE</v>
          </cell>
          <cell r="J12527">
            <v>0</v>
          </cell>
        </row>
        <row r="12528">
          <cell r="A12528" t="str">
            <v>SERVYRE</v>
          </cell>
          <cell r="J12528">
            <v>0</v>
          </cell>
        </row>
        <row r="12529">
          <cell r="A12529" t="str">
            <v>SERVYRE</v>
          </cell>
          <cell r="J12529">
            <v>0</v>
          </cell>
        </row>
        <row r="12530">
          <cell r="A12530" t="str">
            <v>SERVYRE</v>
          </cell>
          <cell r="J12530">
            <v>0</v>
          </cell>
        </row>
        <row r="12531">
          <cell r="A12531" t="str">
            <v>SERVYRE</v>
          </cell>
          <cell r="J12531">
            <v>0</v>
          </cell>
        </row>
        <row r="12532">
          <cell r="A12532" t="str">
            <v>SERVYRE</v>
          </cell>
          <cell r="J12532">
            <v>0</v>
          </cell>
        </row>
        <row r="12533">
          <cell r="A12533" t="str">
            <v>SERVYRE</v>
          </cell>
          <cell r="J12533">
            <v>0</v>
          </cell>
        </row>
        <row r="12534">
          <cell r="A12534" t="str">
            <v>SERVYRE</v>
          </cell>
          <cell r="J12534">
            <v>0</v>
          </cell>
        </row>
        <row r="12535">
          <cell r="A12535" t="str">
            <v>SERVYRE</v>
          </cell>
          <cell r="J12535">
            <v>0</v>
          </cell>
        </row>
        <row r="12536">
          <cell r="A12536" t="str">
            <v>SERVYRE</v>
          </cell>
          <cell r="J12536">
            <v>0</v>
          </cell>
        </row>
        <row r="12537">
          <cell r="A12537" t="str">
            <v>SERVYRE</v>
          </cell>
          <cell r="J12537">
            <v>0</v>
          </cell>
        </row>
        <row r="12538">
          <cell r="A12538" t="str">
            <v>SERVYRE</v>
          </cell>
          <cell r="J12538">
            <v>0</v>
          </cell>
        </row>
        <row r="12539">
          <cell r="A12539" t="str">
            <v>SERVYRE</v>
          </cell>
          <cell r="J12539">
            <v>0</v>
          </cell>
        </row>
        <row r="12540">
          <cell r="A12540" t="str">
            <v>SERVYRE</v>
          </cell>
          <cell r="J12540">
            <v>0</v>
          </cell>
        </row>
        <row r="12541">
          <cell r="A12541" t="str">
            <v>SERVYRE</v>
          </cell>
          <cell r="J12541">
            <v>0</v>
          </cell>
        </row>
        <row r="12542">
          <cell r="A12542" t="str">
            <v>SERVYRE</v>
          </cell>
          <cell r="J12542">
            <v>0</v>
          </cell>
        </row>
        <row r="12543">
          <cell r="A12543" t="str">
            <v>SERVYRE</v>
          </cell>
          <cell r="J12543">
            <v>0</v>
          </cell>
        </row>
        <row r="12544">
          <cell r="A12544" t="str">
            <v>SERVYRE</v>
          </cell>
          <cell r="J12544">
            <v>0</v>
          </cell>
        </row>
        <row r="12545">
          <cell r="A12545" t="str">
            <v>SERVYRE</v>
          </cell>
          <cell r="J12545">
            <v>0</v>
          </cell>
        </row>
        <row r="12546">
          <cell r="A12546" t="str">
            <v>SERVYRE</v>
          </cell>
          <cell r="J12546">
            <v>0</v>
          </cell>
        </row>
        <row r="12547">
          <cell r="A12547" t="str">
            <v>SERVYRE</v>
          </cell>
          <cell r="J12547">
            <v>0</v>
          </cell>
        </row>
        <row r="12548">
          <cell r="A12548" t="str">
            <v>SERVYRE</v>
          </cell>
          <cell r="J12548">
            <v>0</v>
          </cell>
        </row>
        <row r="12549">
          <cell r="A12549" t="str">
            <v>SERVYRE</v>
          </cell>
          <cell r="J12549">
            <v>0</v>
          </cell>
        </row>
        <row r="12550">
          <cell r="A12550" t="str">
            <v>SERVYRE</v>
          </cell>
          <cell r="J12550">
            <v>0</v>
          </cell>
        </row>
        <row r="12551">
          <cell r="A12551" t="str">
            <v>SERVYRE</v>
          </cell>
          <cell r="J12551">
            <v>0</v>
          </cell>
        </row>
        <row r="12552">
          <cell r="A12552" t="str">
            <v>SERVYRE</v>
          </cell>
          <cell r="J12552">
            <v>0</v>
          </cell>
        </row>
        <row r="12553">
          <cell r="A12553" t="str">
            <v>SERVYRE</v>
          </cell>
          <cell r="J12553">
            <v>0</v>
          </cell>
        </row>
        <row r="12554">
          <cell r="A12554" t="str">
            <v>SERVYRE</v>
          </cell>
          <cell r="J12554">
            <v>0</v>
          </cell>
        </row>
        <row r="12555">
          <cell r="A12555" t="str">
            <v>SERVYRE</v>
          </cell>
          <cell r="J12555">
            <v>0</v>
          </cell>
        </row>
        <row r="12556">
          <cell r="A12556" t="str">
            <v>SERVYRE</v>
          </cell>
          <cell r="J12556">
            <v>0</v>
          </cell>
        </row>
        <row r="12557">
          <cell r="A12557" t="str">
            <v>SERVYRE</v>
          </cell>
          <cell r="J12557">
            <v>0</v>
          </cell>
        </row>
        <row r="12558">
          <cell r="A12558" t="str">
            <v>SERVYRE</v>
          </cell>
          <cell r="J12558">
            <v>0</v>
          </cell>
        </row>
        <row r="12559">
          <cell r="A12559" t="str">
            <v>SERVYRE</v>
          </cell>
          <cell r="J12559">
            <v>0</v>
          </cell>
        </row>
        <row r="12560">
          <cell r="A12560" t="str">
            <v>SERVYRE</v>
          </cell>
          <cell r="J12560">
            <v>0</v>
          </cell>
        </row>
        <row r="12561">
          <cell r="A12561" t="str">
            <v>SERVYRE</v>
          </cell>
          <cell r="J12561">
            <v>0</v>
          </cell>
        </row>
        <row r="12562">
          <cell r="A12562" t="str">
            <v>SERVYRE</v>
          </cell>
          <cell r="J12562">
            <v>0</v>
          </cell>
        </row>
        <row r="12563">
          <cell r="A12563" t="str">
            <v>SERVYRE</v>
          </cell>
          <cell r="J12563">
            <v>0</v>
          </cell>
        </row>
        <row r="12564">
          <cell r="A12564" t="str">
            <v>SERVYRE</v>
          </cell>
          <cell r="J12564">
            <v>0</v>
          </cell>
        </row>
        <row r="12565">
          <cell r="A12565" t="str">
            <v>SERVYRE</v>
          </cell>
          <cell r="J12565">
            <v>0</v>
          </cell>
        </row>
        <row r="12566">
          <cell r="A12566" t="str">
            <v>SERVYRE</v>
          </cell>
          <cell r="J12566">
            <v>0</v>
          </cell>
        </row>
        <row r="12567">
          <cell r="A12567" t="str">
            <v>SERVYRE</v>
          </cell>
          <cell r="J12567">
            <v>0</v>
          </cell>
        </row>
        <row r="12568">
          <cell r="A12568" t="str">
            <v>SERVYRE</v>
          </cell>
          <cell r="J12568">
            <v>0</v>
          </cell>
        </row>
        <row r="12569">
          <cell r="A12569" t="str">
            <v>SERVYRE</v>
          </cell>
          <cell r="J12569">
            <v>0</v>
          </cell>
        </row>
        <row r="12570">
          <cell r="A12570" t="str">
            <v>SERVYRE</v>
          </cell>
          <cell r="J12570">
            <v>0</v>
          </cell>
        </row>
        <row r="12571">
          <cell r="A12571" t="str">
            <v>SERVYRE</v>
          </cell>
          <cell r="J12571">
            <v>0</v>
          </cell>
        </row>
        <row r="12572">
          <cell r="A12572" t="str">
            <v>SERVYRE</v>
          </cell>
          <cell r="J12572">
            <v>0</v>
          </cell>
        </row>
        <row r="12573">
          <cell r="A12573" t="str">
            <v>SERVYRE</v>
          </cell>
          <cell r="J12573">
            <v>0</v>
          </cell>
        </row>
        <row r="12574">
          <cell r="A12574" t="str">
            <v>SERVYRE</v>
          </cell>
          <cell r="J12574">
            <v>0</v>
          </cell>
        </row>
        <row r="12575">
          <cell r="A12575" t="str">
            <v>SERVYRE</v>
          </cell>
          <cell r="J12575">
            <v>0</v>
          </cell>
        </row>
        <row r="12576">
          <cell r="A12576" t="str">
            <v>SERVYRE</v>
          </cell>
          <cell r="J12576">
            <v>0</v>
          </cell>
        </row>
        <row r="12577">
          <cell r="A12577" t="str">
            <v>SERVYRE</v>
          </cell>
          <cell r="J12577">
            <v>0</v>
          </cell>
        </row>
        <row r="12578">
          <cell r="A12578" t="str">
            <v>SERVYRE</v>
          </cell>
          <cell r="J12578">
            <v>0</v>
          </cell>
        </row>
        <row r="12579">
          <cell r="A12579" t="str">
            <v>SERVYRE</v>
          </cell>
          <cell r="J12579">
            <v>0</v>
          </cell>
        </row>
        <row r="12580">
          <cell r="A12580" t="str">
            <v>SERVYRE</v>
          </cell>
          <cell r="J12580">
            <v>0</v>
          </cell>
        </row>
        <row r="12581">
          <cell r="A12581" t="str">
            <v>SERVYRE</v>
          </cell>
          <cell r="J12581">
            <v>0</v>
          </cell>
        </row>
        <row r="12582">
          <cell r="A12582" t="str">
            <v>SERVYRE</v>
          </cell>
          <cell r="J12582">
            <v>0</v>
          </cell>
        </row>
        <row r="12583">
          <cell r="A12583" t="str">
            <v>SERVYRE</v>
          </cell>
          <cell r="J12583">
            <v>0</v>
          </cell>
        </row>
        <row r="12584">
          <cell r="A12584" t="str">
            <v>SERVYRE</v>
          </cell>
          <cell r="J12584">
            <v>0</v>
          </cell>
        </row>
        <row r="12585">
          <cell r="A12585" t="str">
            <v>SERVYRE</v>
          </cell>
          <cell r="J12585">
            <v>0</v>
          </cell>
        </row>
        <row r="12586">
          <cell r="A12586" t="str">
            <v>SERVYRE</v>
          </cell>
          <cell r="J12586">
            <v>0</v>
          </cell>
        </row>
        <row r="12587">
          <cell r="A12587" t="str">
            <v>SERVYRE</v>
          </cell>
          <cell r="J12587">
            <v>0</v>
          </cell>
        </row>
        <row r="12588">
          <cell r="A12588" t="str">
            <v>SERVYRE</v>
          </cell>
          <cell r="J12588">
            <v>0</v>
          </cell>
        </row>
        <row r="12589">
          <cell r="A12589" t="str">
            <v>SERVYRE</v>
          </cell>
          <cell r="J12589">
            <v>0</v>
          </cell>
        </row>
        <row r="12590">
          <cell r="A12590" t="str">
            <v>SERVYRE</v>
          </cell>
          <cell r="J12590">
            <v>0</v>
          </cell>
        </row>
        <row r="12591">
          <cell r="A12591" t="str">
            <v>SERVYRE</v>
          </cell>
          <cell r="J12591">
            <v>0</v>
          </cell>
        </row>
        <row r="12592">
          <cell r="A12592" t="str">
            <v>SERVYRE</v>
          </cell>
          <cell r="J12592">
            <v>0</v>
          </cell>
        </row>
        <row r="12593">
          <cell r="A12593" t="str">
            <v>SERVYRE</v>
          </cell>
          <cell r="J12593">
            <v>0</v>
          </cell>
        </row>
        <row r="12594">
          <cell r="A12594" t="str">
            <v>SERVYRE</v>
          </cell>
          <cell r="J12594">
            <v>0</v>
          </cell>
        </row>
        <row r="12595">
          <cell r="A12595" t="str">
            <v>SERVYRE</v>
          </cell>
          <cell r="J12595">
            <v>0</v>
          </cell>
        </row>
        <row r="12596">
          <cell r="A12596" t="str">
            <v>SERVYRE</v>
          </cell>
          <cell r="J12596">
            <v>0</v>
          </cell>
        </row>
        <row r="12597">
          <cell r="A12597" t="str">
            <v>SERVYRE</v>
          </cell>
          <cell r="J12597">
            <v>0</v>
          </cell>
        </row>
        <row r="12598">
          <cell r="A12598" t="str">
            <v>SERVYRE</v>
          </cell>
          <cell r="J12598">
            <v>0</v>
          </cell>
        </row>
        <row r="12599">
          <cell r="A12599" t="str">
            <v>SERVYRE</v>
          </cell>
          <cell r="J12599">
            <v>0</v>
          </cell>
        </row>
        <row r="12600">
          <cell r="A12600" t="str">
            <v>SERVYRE</v>
          </cell>
          <cell r="J12600">
            <v>0</v>
          </cell>
        </row>
        <row r="12601">
          <cell r="A12601" t="str">
            <v>SERVYRE</v>
          </cell>
          <cell r="J12601">
            <v>0</v>
          </cell>
        </row>
        <row r="12602">
          <cell r="A12602" t="str">
            <v>SERVYRE</v>
          </cell>
          <cell r="J12602">
            <v>0</v>
          </cell>
        </row>
        <row r="12603">
          <cell r="A12603" t="str">
            <v>SERVYRE</v>
          </cell>
          <cell r="J12603">
            <v>0</v>
          </cell>
        </row>
        <row r="12604">
          <cell r="A12604" t="str">
            <v>SERVYRE</v>
          </cell>
          <cell r="J12604">
            <v>0</v>
          </cell>
        </row>
        <row r="12605">
          <cell r="A12605" t="str">
            <v>SERVYRE</v>
          </cell>
          <cell r="J12605">
            <v>0</v>
          </cell>
        </row>
        <row r="12606">
          <cell r="A12606" t="str">
            <v>SERVYRE</v>
          </cell>
          <cell r="J12606">
            <v>0</v>
          </cell>
        </row>
        <row r="12607">
          <cell r="A12607" t="str">
            <v>SERVYRE</v>
          </cell>
          <cell r="J12607">
            <v>0</v>
          </cell>
        </row>
        <row r="12608">
          <cell r="A12608" t="str">
            <v>SERVYRE</v>
          </cell>
          <cell r="J12608">
            <v>0</v>
          </cell>
        </row>
        <row r="12609">
          <cell r="A12609" t="str">
            <v>SERVYRE</v>
          </cell>
          <cell r="J12609">
            <v>0</v>
          </cell>
        </row>
        <row r="12610">
          <cell r="A12610" t="str">
            <v>SERVYRE</v>
          </cell>
          <cell r="J12610">
            <v>0</v>
          </cell>
        </row>
        <row r="12611">
          <cell r="A12611" t="str">
            <v>SERVYRE</v>
          </cell>
          <cell r="J12611">
            <v>0</v>
          </cell>
        </row>
        <row r="12612">
          <cell r="A12612" t="str">
            <v>SERVYRE</v>
          </cell>
          <cell r="J12612">
            <v>0</v>
          </cell>
        </row>
        <row r="12613">
          <cell r="A12613" t="str">
            <v>SERVYRE</v>
          </cell>
          <cell r="J12613">
            <v>0</v>
          </cell>
        </row>
        <row r="12614">
          <cell r="A12614" t="str">
            <v>SERVYRE</v>
          </cell>
          <cell r="J12614">
            <v>0</v>
          </cell>
        </row>
        <row r="12615">
          <cell r="A12615" t="str">
            <v>SERVYRE</v>
          </cell>
          <cell r="J12615">
            <v>0</v>
          </cell>
        </row>
        <row r="12616">
          <cell r="A12616" t="str">
            <v>SERVYRE</v>
          </cell>
          <cell r="J12616">
            <v>0</v>
          </cell>
        </row>
        <row r="12617">
          <cell r="A12617" t="str">
            <v>SERVYRE</v>
          </cell>
          <cell r="J12617">
            <v>0</v>
          </cell>
        </row>
        <row r="12618">
          <cell r="A12618" t="str">
            <v>SERVYRE</v>
          </cell>
          <cell r="J12618">
            <v>0</v>
          </cell>
        </row>
        <row r="12619">
          <cell r="A12619" t="str">
            <v>SERVYRE</v>
          </cell>
          <cell r="J12619">
            <v>0</v>
          </cell>
        </row>
        <row r="12620">
          <cell r="A12620" t="str">
            <v>SERVYRE</v>
          </cell>
          <cell r="J12620">
            <v>0</v>
          </cell>
        </row>
        <row r="12621">
          <cell r="A12621" t="str">
            <v>SERVYRE</v>
          </cell>
          <cell r="J12621">
            <v>0</v>
          </cell>
        </row>
        <row r="12622">
          <cell r="A12622" t="str">
            <v>SERVYRE</v>
          </cell>
          <cell r="J12622">
            <v>0</v>
          </cell>
        </row>
        <row r="12623">
          <cell r="A12623" t="str">
            <v>SERVYRE</v>
          </cell>
          <cell r="J12623">
            <v>0</v>
          </cell>
        </row>
        <row r="12624">
          <cell r="A12624" t="str">
            <v>SERVYRE</v>
          </cell>
          <cell r="J12624">
            <v>0</v>
          </cell>
        </row>
        <row r="12625">
          <cell r="A12625" t="str">
            <v>SERVYRE</v>
          </cell>
          <cell r="J12625">
            <v>0</v>
          </cell>
        </row>
        <row r="12626">
          <cell r="A12626" t="str">
            <v>SERVYRE</v>
          </cell>
          <cell r="J12626">
            <v>0</v>
          </cell>
        </row>
        <row r="12627">
          <cell r="A12627" t="str">
            <v>SERVYRE</v>
          </cell>
          <cell r="J12627">
            <v>0</v>
          </cell>
        </row>
        <row r="12628">
          <cell r="A12628" t="str">
            <v>SERVYRE</v>
          </cell>
          <cell r="J12628">
            <v>0</v>
          </cell>
        </row>
        <row r="12629">
          <cell r="A12629" t="str">
            <v>SERVYRE</v>
          </cell>
          <cell r="J12629">
            <v>0</v>
          </cell>
        </row>
        <row r="12630">
          <cell r="A12630" t="str">
            <v>SERVYRE</v>
          </cell>
          <cell r="J12630">
            <v>0</v>
          </cell>
        </row>
        <row r="12631">
          <cell r="A12631" t="str">
            <v>SERVYRE</v>
          </cell>
          <cell r="J12631">
            <v>0</v>
          </cell>
        </row>
        <row r="12632">
          <cell r="A12632" t="str">
            <v>SERVYRE</v>
          </cell>
          <cell r="J12632">
            <v>0</v>
          </cell>
        </row>
        <row r="12633">
          <cell r="A12633" t="str">
            <v>SERVYRE</v>
          </cell>
          <cell r="J12633">
            <v>0</v>
          </cell>
        </row>
        <row r="12634">
          <cell r="A12634" t="str">
            <v>SERVYRE</v>
          </cell>
          <cell r="J12634">
            <v>0</v>
          </cell>
        </row>
        <row r="12635">
          <cell r="A12635" t="str">
            <v>SERVYRE</v>
          </cell>
          <cell r="J12635">
            <v>0</v>
          </cell>
        </row>
        <row r="12636">
          <cell r="A12636" t="str">
            <v>SERVYRE</v>
          </cell>
          <cell r="J12636">
            <v>0</v>
          </cell>
        </row>
        <row r="12637">
          <cell r="A12637" t="str">
            <v>SERVYRE</v>
          </cell>
          <cell r="J12637">
            <v>0</v>
          </cell>
        </row>
        <row r="12638">
          <cell r="A12638" t="str">
            <v>SERVYRE</v>
          </cell>
          <cell r="J12638">
            <v>0</v>
          </cell>
        </row>
        <row r="12639">
          <cell r="A12639" t="str">
            <v>SERVYRE</v>
          </cell>
          <cell r="J12639">
            <v>0</v>
          </cell>
        </row>
        <row r="12640">
          <cell r="A12640" t="str">
            <v>SERVYRE</v>
          </cell>
          <cell r="J12640">
            <v>0</v>
          </cell>
        </row>
        <row r="12641">
          <cell r="A12641" t="str">
            <v>SERVYRE</v>
          </cell>
          <cell r="J12641">
            <v>0</v>
          </cell>
        </row>
        <row r="12642">
          <cell r="A12642" t="str">
            <v>SERVYRE</v>
          </cell>
          <cell r="J12642">
            <v>0</v>
          </cell>
        </row>
        <row r="12643">
          <cell r="A12643" t="str">
            <v>SERVYRE</v>
          </cell>
          <cell r="J12643">
            <v>0</v>
          </cell>
        </row>
        <row r="12644">
          <cell r="A12644" t="str">
            <v>SERVYRE</v>
          </cell>
          <cell r="J12644">
            <v>0</v>
          </cell>
        </row>
        <row r="12645">
          <cell r="A12645" t="str">
            <v>SERVYRE</v>
          </cell>
          <cell r="J12645">
            <v>0</v>
          </cell>
        </row>
        <row r="12646">
          <cell r="A12646" t="str">
            <v>SERVYRE</v>
          </cell>
          <cell r="J12646">
            <v>0</v>
          </cell>
        </row>
        <row r="12647">
          <cell r="A12647" t="str">
            <v>SERVYRE</v>
          </cell>
          <cell r="J12647">
            <v>0</v>
          </cell>
        </row>
        <row r="12648">
          <cell r="A12648" t="str">
            <v>SERVYRE</v>
          </cell>
          <cell r="J12648">
            <v>0</v>
          </cell>
        </row>
        <row r="12649">
          <cell r="A12649" t="str">
            <v>SERVYRE</v>
          </cell>
          <cell r="J12649">
            <v>0</v>
          </cell>
        </row>
        <row r="12650">
          <cell r="A12650" t="str">
            <v>SERVYRE</v>
          </cell>
          <cell r="J12650">
            <v>0</v>
          </cell>
        </row>
        <row r="12651">
          <cell r="A12651" t="str">
            <v>SERVYRE</v>
          </cell>
          <cell r="J12651">
            <v>0</v>
          </cell>
        </row>
        <row r="12652">
          <cell r="A12652" t="str">
            <v>SERVYRE</v>
          </cell>
          <cell r="J12652">
            <v>0</v>
          </cell>
        </row>
        <row r="12653">
          <cell r="A12653" t="str">
            <v>SERVYRE</v>
          </cell>
          <cell r="J12653">
            <v>0</v>
          </cell>
        </row>
        <row r="12654">
          <cell r="A12654" t="str">
            <v>SERVYRE</v>
          </cell>
          <cell r="J12654">
            <v>0</v>
          </cell>
        </row>
        <row r="12655">
          <cell r="A12655" t="str">
            <v>SERVYRE</v>
          </cell>
          <cell r="J12655">
            <v>0</v>
          </cell>
        </row>
        <row r="12656">
          <cell r="A12656" t="str">
            <v>SERVYRE</v>
          </cell>
          <cell r="J12656">
            <v>0</v>
          </cell>
        </row>
        <row r="12657">
          <cell r="A12657" t="str">
            <v>SERVYRE</v>
          </cell>
          <cell r="J12657">
            <v>0</v>
          </cell>
        </row>
        <row r="12658">
          <cell r="A12658" t="str">
            <v>SERVYRE</v>
          </cell>
          <cell r="J12658">
            <v>0</v>
          </cell>
        </row>
        <row r="12659">
          <cell r="A12659" t="str">
            <v>SERVYRE</v>
          </cell>
          <cell r="J12659">
            <v>0</v>
          </cell>
        </row>
        <row r="12660">
          <cell r="A12660" t="str">
            <v>SERVYRE</v>
          </cell>
          <cell r="J12660">
            <v>0</v>
          </cell>
        </row>
        <row r="12661">
          <cell r="A12661" t="str">
            <v>SERVYRE</v>
          </cell>
          <cell r="J12661">
            <v>0</v>
          </cell>
        </row>
        <row r="12662">
          <cell r="A12662" t="str">
            <v>SERVYRE</v>
          </cell>
          <cell r="J12662">
            <v>0</v>
          </cell>
        </row>
        <row r="12663">
          <cell r="A12663" t="str">
            <v>SERVYRE</v>
          </cell>
          <cell r="J12663">
            <v>0</v>
          </cell>
        </row>
        <row r="12664">
          <cell r="A12664" t="str">
            <v>SERVYRE</v>
          </cell>
          <cell r="J12664">
            <v>0</v>
          </cell>
        </row>
        <row r="12665">
          <cell r="A12665" t="str">
            <v>SERVYRE</v>
          </cell>
          <cell r="J12665">
            <v>0</v>
          </cell>
        </row>
        <row r="12666">
          <cell r="A12666" t="str">
            <v>SERVYRE</v>
          </cell>
          <cell r="J12666">
            <v>0</v>
          </cell>
        </row>
        <row r="12667">
          <cell r="A12667" t="str">
            <v>SERVYRE</v>
          </cell>
          <cell r="J12667">
            <v>0</v>
          </cell>
        </row>
        <row r="12668">
          <cell r="A12668" t="str">
            <v>SERVYRE</v>
          </cell>
          <cell r="J12668">
            <v>0</v>
          </cell>
        </row>
        <row r="12669">
          <cell r="A12669" t="str">
            <v>SERVYRE</v>
          </cell>
          <cell r="J12669">
            <v>0</v>
          </cell>
        </row>
        <row r="12670">
          <cell r="A12670" t="str">
            <v>SERVYRE</v>
          </cell>
          <cell r="J12670">
            <v>0</v>
          </cell>
        </row>
        <row r="12671">
          <cell r="A12671" t="str">
            <v>SERVYRE</v>
          </cell>
          <cell r="J12671">
            <v>0</v>
          </cell>
        </row>
        <row r="12672">
          <cell r="A12672" t="str">
            <v>SERVYRE</v>
          </cell>
          <cell r="J12672">
            <v>0</v>
          </cell>
        </row>
        <row r="12673">
          <cell r="A12673" t="str">
            <v>SERVYRE</v>
          </cell>
          <cell r="J12673">
            <v>0</v>
          </cell>
        </row>
        <row r="12674">
          <cell r="A12674" t="str">
            <v>SERVYRE</v>
          </cell>
          <cell r="J12674">
            <v>0</v>
          </cell>
        </row>
        <row r="12675">
          <cell r="A12675" t="str">
            <v>SERVYRE</v>
          </cell>
          <cell r="J12675">
            <v>0</v>
          </cell>
        </row>
        <row r="12676">
          <cell r="A12676" t="str">
            <v>SERVYRE</v>
          </cell>
          <cell r="J12676">
            <v>0</v>
          </cell>
        </row>
        <row r="12677">
          <cell r="A12677" t="str">
            <v>SERVYRE</v>
          </cell>
          <cell r="J12677">
            <v>0</v>
          </cell>
        </row>
        <row r="12678">
          <cell r="A12678" t="str">
            <v>SERVYRE</v>
          </cell>
          <cell r="J12678">
            <v>0</v>
          </cell>
        </row>
        <row r="12679">
          <cell r="A12679" t="str">
            <v>SERVYRE</v>
          </cell>
          <cell r="J12679">
            <v>0</v>
          </cell>
        </row>
        <row r="12680">
          <cell r="A12680" t="str">
            <v>SERVYRE</v>
          </cell>
          <cell r="J12680">
            <v>0</v>
          </cell>
        </row>
        <row r="12681">
          <cell r="A12681" t="str">
            <v>SERVYRE</v>
          </cell>
          <cell r="J12681">
            <v>0</v>
          </cell>
        </row>
        <row r="12682">
          <cell r="A12682" t="str">
            <v>SERVYRE</v>
          </cell>
          <cell r="J12682">
            <v>0</v>
          </cell>
        </row>
        <row r="12683">
          <cell r="A12683" t="str">
            <v>SERVYRE</v>
          </cell>
          <cell r="J12683">
            <v>0</v>
          </cell>
        </row>
        <row r="12684">
          <cell r="A12684" t="str">
            <v>SERVYRE</v>
          </cell>
          <cell r="J12684">
            <v>0</v>
          </cell>
        </row>
        <row r="12685">
          <cell r="A12685" t="str">
            <v>SERVYRE</v>
          </cell>
          <cell r="J12685">
            <v>0</v>
          </cell>
        </row>
        <row r="12686">
          <cell r="A12686" t="str">
            <v>SERVYRE</v>
          </cell>
          <cell r="J12686">
            <v>0</v>
          </cell>
        </row>
        <row r="12687">
          <cell r="A12687" t="str">
            <v>SERVYRE</v>
          </cell>
          <cell r="J12687">
            <v>0</v>
          </cell>
        </row>
        <row r="12688">
          <cell r="A12688" t="str">
            <v>SERVYRE</v>
          </cell>
          <cell r="J12688">
            <v>0</v>
          </cell>
        </row>
        <row r="12689">
          <cell r="A12689" t="str">
            <v>SERVYRE</v>
          </cell>
          <cell r="J12689">
            <v>0</v>
          </cell>
        </row>
        <row r="12690">
          <cell r="A12690" t="str">
            <v>SERVYRE</v>
          </cell>
          <cell r="J12690">
            <v>0</v>
          </cell>
        </row>
        <row r="12691">
          <cell r="A12691" t="str">
            <v>SERVYRE</v>
          </cell>
          <cell r="J12691">
            <v>0</v>
          </cell>
        </row>
        <row r="12692">
          <cell r="A12692" t="str">
            <v>SERVYRE</v>
          </cell>
          <cell r="J12692">
            <v>0</v>
          </cell>
        </row>
        <row r="12693">
          <cell r="A12693" t="str">
            <v>SERVYRE</v>
          </cell>
          <cell r="J12693">
            <v>0</v>
          </cell>
        </row>
        <row r="12694">
          <cell r="A12694" t="str">
            <v>SERVYRE</v>
          </cell>
          <cell r="J12694">
            <v>0</v>
          </cell>
        </row>
        <row r="12695">
          <cell r="A12695" t="str">
            <v>SERVYRE</v>
          </cell>
          <cell r="J12695">
            <v>0</v>
          </cell>
        </row>
        <row r="12696">
          <cell r="A12696" t="str">
            <v>SERVYRE</v>
          </cell>
          <cell r="J12696">
            <v>0</v>
          </cell>
        </row>
        <row r="12697">
          <cell r="A12697" t="str">
            <v>SERVYRE</v>
          </cell>
          <cell r="J12697">
            <v>0</v>
          </cell>
        </row>
        <row r="12698">
          <cell r="A12698" t="str">
            <v>SERVYRE</v>
          </cell>
          <cell r="J12698">
            <v>0</v>
          </cell>
        </row>
        <row r="12699">
          <cell r="A12699" t="str">
            <v>SERVYRE</v>
          </cell>
          <cell r="J12699">
            <v>0</v>
          </cell>
        </row>
        <row r="12700">
          <cell r="A12700" t="str">
            <v>SERVYRE</v>
          </cell>
          <cell r="J12700">
            <v>0</v>
          </cell>
        </row>
        <row r="12701">
          <cell r="A12701" t="str">
            <v>SERVYRE</v>
          </cell>
          <cell r="J12701">
            <v>0</v>
          </cell>
        </row>
        <row r="12702">
          <cell r="A12702" t="str">
            <v>SERVYRE</v>
          </cell>
          <cell r="J12702">
            <v>0</v>
          </cell>
        </row>
        <row r="12703">
          <cell r="A12703" t="str">
            <v>SERVYRE</v>
          </cell>
          <cell r="J12703">
            <v>0</v>
          </cell>
        </row>
        <row r="12704">
          <cell r="A12704" t="str">
            <v>SERVYRE</v>
          </cell>
          <cell r="J12704">
            <v>0</v>
          </cell>
        </row>
        <row r="12705">
          <cell r="A12705" t="str">
            <v>SERVYRE</v>
          </cell>
          <cell r="J12705">
            <v>0</v>
          </cell>
        </row>
        <row r="12706">
          <cell r="A12706" t="str">
            <v>SERVYRE</v>
          </cell>
          <cell r="J12706">
            <v>0</v>
          </cell>
        </row>
        <row r="12707">
          <cell r="A12707" t="str">
            <v>SERVYRE</v>
          </cell>
          <cell r="J12707">
            <v>0</v>
          </cell>
        </row>
        <row r="12708">
          <cell r="A12708" t="str">
            <v>SERVYRE</v>
          </cell>
          <cell r="J12708">
            <v>0</v>
          </cell>
        </row>
        <row r="12709">
          <cell r="A12709" t="str">
            <v>SERVYRE</v>
          </cell>
          <cell r="J12709">
            <v>0</v>
          </cell>
        </row>
        <row r="12710">
          <cell r="A12710" t="str">
            <v>SERVYRE</v>
          </cell>
          <cell r="J12710">
            <v>0</v>
          </cell>
        </row>
        <row r="12711">
          <cell r="A12711" t="str">
            <v>SERVYRE</v>
          </cell>
          <cell r="J12711">
            <v>0</v>
          </cell>
        </row>
        <row r="12712">
          <cell r="A12712" t="str">
            <v>SERVYRE</v>
          </cell>
          <cell r="J12712">
            <v>0</v>
          </cell>
        </row>
        <row r="12713">
          <cell r="A12713" t="str">
            <v>SERVYRE</v>
          </cell>
          <cell r="J12713">
            <v>0</v>
          </cell>
        </row>
        <row r="12714">
          <cell r="A12714" t="str">
            <v>SERVYRE</v>
          </cell>
          <cell r="J12714">
            <v>0</v>
          </cell>
        </row>
        <row r="12715">
          <cell r="A12715" t="str">
            <v>SERVYRE</v>
          </cell>
          <cell r="J12715">
            <v>0</v>
          </cell>
        </row>
        <row r="12716">
          <cell r="A12716" t="str">
            <v>SERVYRE</v>
          </cell>
          <cell r="J12716">
            <v>0</v>
          </cell>
        </row>
        <row r="12717">
          <cell r="A12717" t="str">
            <v>SERVYRE</v>
          </cell>
          <cell r="J12717">
            <v>0</v>
          </cell>
        </row>
        <row r="12718">
          <cell r="A12718" t="str">
            <v>SERVYRE</v>
          </cell>
          <cell r="J12718">
            <v>0</v>
          </cell>
        </row>
        <row r="12719">
          <cell r="A12719" t="str">
            <v>SERVYRE</v>
          </cell>
          <cell r="J12719">
            <v>0</v>
          </cell>
        </row>
        <row r="12720">
          <cell r="A12720" t="str">
            <v>SERVYRE</v>
          </cell>
          <cell r="J12720">
            <v>0</v>
          </cell>
        </row>
        <row r="12721">
          <cell r="A12721" t="str">
            <v>SERVYRE</v>
          </cell>
          <cell r="J12721">
            <v>0</v>
          </cell>
        </row>
        <row r="12722">
          <cell r="A12722" t="str">
            <v>SERVYRE</v>
          </cell>
          <cell r="J12722">
            <v>0</v>
          </cell>
        </row>
        <row r="12723">
          <cell r="A12723" t="str">
            <v>SERVYRE</v>
          </cell>
          <cell r="J12723">
            <v>0</v>
          </cell>
        </row>
        <row r="12724">
          <cell r="A12724" t="str">
            <v>SERVYRE</v>
          </cell>
          <cell r="J12724">
            <v>0</v>
          </cell>
        </row>
        <row r="12725">
          <cell r="A12725" t="str">
            <v>SERVYRE</v>
          </cell>
          <cell r="J12725">
            <v>0</v>
          </cell>
        </row>
        <row r="12726">
          <cell r="A12726" t="str">
            <v>SERVYRE</v>
          </cell>
          <cell r="J12726">
            <v>0</v>
          </cell>
        </row>
        <row r="12727">
          <cell r="A12727" t="str">
            <v>SERVYRE</v>
          </cell>
          <cell r="J12727">
            <v>0</v>
          </cell>
        </row>
        <row r="12728">
          <cell r="A12728" t="str">
            <v>SERVYRE</v>
          </cell>
          <cell r="J12728">
            <v>0</v>
          </cell>
        </row>
        <row r="12729">
          <cell r="A12729" t="str">
            <v>SERVYRE</v>
          </cell>
          <cell r="J12729">
            <v>0</v>
          </cell>
        </row>
        <row r="12730">
          <cell r="A12730" t="str">
            <v>SERVYRE</v>
          </cell>
          <cell r="J12730">
            <v>0</v>
          </cell>
        </row>
        <row r="12731">
          <cell r="A12731" t="str">
            <v>SERVYRE</v>
          </cell>
          <cell r="J12731">
            <v>0</v>
          </cell>
        </row>
        <row r="12732">
          <cell r="A12732" t="str">
            <v>SERVYRE</v>
          </cell>
          <cell r="J12732">
            <v>0</v>
          </cell>
        </row>
        <row r="12733">
          <cell r="A12733" t="str">
            <v>SERVYRE</v>
          </cell>
          <cell r="J12733">
            <v>0</v>
          </cell>
        </row>
        <row r="12734">
          <cell r="A12734" t="str">
            <v>SERVYRE</v>
          </cell>
          <cell r="J12734">
            <v>0</v>
          </cell>
        </row>
        <row r="12735">
          <cell r="A12735" t="str">
            <v>SERVYRE</v>
          </cell>
          <cell r="J12735">
            <v>0</v>
          </cell>
        </row>
        <row r="12736">
          <cell r="A12736" t="str">
            <v>SERVYRE</v>
          </cell>
          <cell r="J12736">
            <v>0</v>
          </cell>
        </row>
        <row r="12737">
          <cell r="A12737" t="str">
            <v>SERVYRE</v>
          </cell>
          <cell r="J12737">
            <v>0</v>
          </cell>
        </row>
        <row r="12738">
          <cell r="A12738" t="str">
            <v>SERVYRE</v>
          </cell>
          <cell r="J12738">
            <v>0</v>
          </cell>
        </row>
        <row r="12739">
          <cell r="A12739" t="str">
            <v>SERVYRE</v>
          </cell>
          <cell r="J12739">
            <v>0</v>
          </cell>
        </row>
        <row r="12740">
          <cell r="A12740" t="str">
            <v>SERVYRE</v>
          </cell>
          <cell r="J12740">
            <v>0</v>
          </cell>
        </row>
        <row r="12741">
          <cell r="A12741" t="str">
            <v>SERVYRE</v>
          </cell>
          <cell r="J12741">
            <v>0</v>
          </cell>
        </row>
        <row r="12742">
          <cell r="A12742" t="str">
            <v>SERVYRE</v>
          </cell>
          <cell r="J12742">
            <v>0</v>
          </cell>
        </row>
        <row r="12743">
          <cell r="A12743" t="str">
            <v>SERVYRE</v>
          </cell>
          <cell r="J12743">
            <v>0</v>
          </cell>
        </row>
        <row r="12744">
          <cell r="A12744" t="str">
            <v>SERVYRE</v>
          </cell>
          <cell r="J12744">
            <v>0</v>
          </cell>
        </row>
        <row r="12745">
          <cell r="A12745" t="str">
            <v>SERVYRE</v>
          </cell>
          <cell r="J12745">
            <v>0</v>
          </cell>
        </row>
        <row r="12746">
          <cell r="A12746" t="str">
            <v>SERVYRE</v>
          </cell>
          <cell r="J12746">
            <v>0</v>
          </cell>
        </row>
        <row r="12747">
          <cell r="A12747" t="str">
            <v>SERVYRE</v>
          </cell>
          <cell r="J12747">
            <v>0</v>
          </cell>
        </row>
        <row r="12748">
          <cell r="A12748" t="str">
            <v>SERVYRE</v>
          </cell>
          <cell r="J12748">
            <v>0</v>
          </cell>
        </row>
        <row r="12749">
          <cell r="A12749" t="str">
            <v>SERVYRE</v>
          </cell>
          <cell r="J12749">
            <v>0</v>
          </cell>
        </row>
        <row r="12750">
          <cell r="A12750" t="str">
            <v>SERVYRE</v>
          </cell>
          <cell r="J12750">
            <v>0</v>
          </cell>
        </row>
        <row r="12751">
          <cell r="A12751" t="str">
            <v>SERVYRE</v>
          </cell>
          <cell r="J12751">
            <v>0</v>
          </cell>
        </row>
        <row r="12752">
          <cell r="A12752" t="str">
            <v>SERVYRE</v>
          </cell>
          <cell r="J12752">
            <v>0</v>
          </cell>
        </row>
        <row r="12753">
          <cell r="A12753" t="str">
            <v>SERVYRE</v>
          </cell>
          <cell r="J12753">
            <v>0</v>
          </cell>
        </row>
        <row r="12754">
          <cell r="A12754" t="str">
            <v>SERVYRE</v>
          </cell>
          <cell r="J12754">
            <v>0</v>
          </cell>
        </row>
        <row r="12755">
          <cell r="A12755" t="str">
            <v>SERVYRE</v>
          </cell>
          <cell r="J12755">
            <v>0</v>
          </cell>
        </row>
        <row r="12756">
          <cell r="A12756" t="str">
            <v>SERVYRE</v>
          </cell>
          <cell r="J12756">
            <v>0</v>
          </cell>
        </row>
        <row r="12757">
          <cell r="A12757" t="str">
            <v>SERVYRE</v>
          </cell>
          <cell r="J12757">
            <v>0</v>
          </cell>
        </row>
        <row r="12758">
          <cell r="A12758" t="str">
            <v>SERVYRE</v>
          </cell>
          <cell r="J12758">
            <v>0</v>
          </cell>
        </row>
        <row r="12759">
          <cell r="A12759" t="str">
            <v>SERVYRE</v>
          </cell>
          <cell r="J12759">
            <v>0</v>
          </cell>
        </row>
        <row r="12760">
          <cell r="A12760" t="str">
            <v>SERVYRE</v>
          </cell>
          <cell r="J12760">
            <v>0</v>
          </cell>
        </row>
        <row r="12761">
          <cell r="A12761" t="str">
            <v>SERVYRE</v>
          </cell>
          <cell r="J12761">
            <v>0</v>
          </cell>
        </row>
        <row r="12762">
          <cell r="A12762" t="str">
            <v>SERVYRE</v>
          </cell>
          <cell r="J12762">
            <v>0</v>
          </cell>
        </row>
        <row r="12763">
          <cell r="A12763" t="str">
            <v>SERVYRE</v>
          </cell>
          <cell r="J12763">
            <v>0</v>
          </cell>
        </row>
        <row r="12764">
          <cell r="A12764" t="str">
            <v>SERVYRE</v>
          </cell>
          <cell r="J12764">
            <v>0</v>
          </cell>
        </row>
        <row r="12765">
          <cell r="A12765" t="str">
            <v>SERVYRE</v>
          </cell>
          <cell r="J12765">
            <v>0</v>
          </cell>
        </row>
        <row r="12766">
          <cell r="A12766" t="str">
            <v>SERVYRE</v>
          </cell>
          <cell r="J12766">
            <v>0</v>
          </cell>
        </row>
        <row r="12767">
          <cell r="A12767" t="str">
            <v>SERVYRE</v>
          </cell>
          <cell r="J12767">
            <v>0</v>
          </cell>
        </row>
        <row r="12768">
          <cell r="A12768" t="str">
            <v>SERVYRE</v>
          </cell>
          <cell r="J12768">
            <v>0</v>
          </cell>
        </row>
        <row r="12769">
          <cell r="A12769" t="str">
            <v>SERVYRE</v>
          </cell>
          <cell r="J12769">
            <v>0</v>
          </cell>
        </row>
        <row r="12770">
          <cell r="A12770" t="str">
            <v>SERVYRE</v>
          </cell>
          <cell r="J12770">
            <v>0</v>
          </cell>
        </row>
        <row r="12771">
          <cell r="A12771" t="str">
            <v>SERVYRE</v>
          </cell>
          <cell r="J12771">
            <v>0</v>
          </cell>
        </row>
        <row r="12772">
          <cell r="A12772" t="str">
            <v>SERVYRE</v>
          </cell>
          <cell r="J12772">
            <v>0</v>
          </cell>
        </row>
        <row r="12773">
          <cell r="A12773" t="str">
            <v>SERVYRE</v>
          </cell>
          <cell r="J12773">
            <v>0</v>
          </cell>
        </row>
        <row r="12774">
          <cell r="A12774" t="str">
            <v>SERVYRE</v>
          </cell>
          <cell r="J12774">
            <v>0</v>
          </cell>
        </row>
        <row r="12775">
          <cell r="A12775" t="str">
            <v>SERVYRE</v>
          </cell>
          <cell r="J12775">
            <v>0</v>
          </cell>
        </row>
        <row r="12776">
          <cell r="A12776" t="str">
            <v>SERVYRE</v>
          </cell>
          <cell r="J12776">
            <v>0</v>
          </cell>
        </row>
        <row r="12777">
          <cell r="A12777" t="str">
            <v>SERVYRE</v>
          </cell>
          <cell r="J12777">
            <v>0</v>
          </cell>
        </row>
        <row r="12778">
          <cell r="A12778" t="str">
            <v>SERVYRE</v>
          </cell>
          <cell r="J12778">
            <v>0</v>
          </cell>
        </row>
        <row r="12779">
          <cell r="A12779" t="str">
            <v>SERVYRE</v>
          </cell>
          <cell r="J12779">
            <v>0</v>
          </cell>
        </row>
        <row r="12780">
          <cell r="A12780" t="str">
            <v>SERVYRE</v>
          </cell>
          <cell r="J12780">
            <v>0</v>
          </cell>
        </row>
        <row r="12781">
          <cell r="A12781" t="str">
            <v>SERVYRE</v>
          </cell>
          <cell r="J12781">
            <v>0</v>
          </cell>
        </row>
        <row r="12782">
          <cell r="A12782" t="str">
            <v>SERVYRE</v>
          </cell>
          <cell r="J12782">
            <v>0</v>
          </cell>
        </row>
        <row r="12783">
          <cell r="A12783" t="str">
            <v>SERVYRE</v>
          </cell>
          <cell r="J12783">
            <v>0</v>
          </cell>
        </row>
        <row r="12784">
          <cell r="A12784" t="str">
            <v>SERVYRE</v>
          </cell>
          <cell r="J12784">
            <v>0</v>
          </cell>
        </row>
        <row r="12785">
          <cell r="A12785" t="str">
            <v>SERVYRE</v>
          </cell>
          <cell r="J12785">
            <v>0</v>
          </cell>
        </row>
        <row r="12786">
          <cell r="A12786" t="str">
            <v>SERVYRE</v>
          </cell>
          <cell r="J12786">
            <v>0</v>
          </cell>
        </row>
        <row r="12787">
          <cell r="A12787" t="str">
            <v>SERVYRE</v>
          </cell>
          <cell r="J12787">
            <v>0</v>
          </cell>
        </row>
        <row r="12788">
          <cell r="A12788" t="str">
            <v>SERVYRE</v>
          </cell>
          <cell r="J12788">
            <v>0</v>
          </cell>
        </row>
        <row r="12789">
          <cell r="A12789" t="str">
            <v>SERVYRE</v>
          </cell>
          <cell r="J12789">
            <v>0</v>
          </cell>
        </row>
        <row r="12790">
          <cell r="A12790" t="str">
            <v>SERVYRE</v>
          </cell>
          <cell r="J12790">
            <v>0</v>
          </cell>
        </row>
        <row r="12791">
          <cell r="A12791" t="str">
            <v>SERVYRE</v>
          </cell>
          <cell r="J12791">
            <v>0</v>
          </cell>
        </row>
        <row r="12792">
          <cell r="A12792" t="str">
            <v>SERVYRE</v>
          </cell>
          <cell r="J12792">
            <v>0</v>
          </cell>
        </row>
        <row r="12793">
          <cell r="A12793" t="str">
            <v>SERVYRE</v>
          </cell>
          <cell r="J12793">
            <v>0</v>
          </cell>
        </row>
        <row r="12794">
          <cell r="A12794" t="str">
            <v>SERVYRE</v>
          </cell>
          <cell r="J12794">
            <v>0</v>
          </cell>
        </row>
        <row r="12795">
          <cell r="A12795" t="str">
            <v>SERVYRE</v>
          </cell>
          <cell r="J12795">
            <v>0</v>
          </cell>
        </row>
        <row r="12796">
          <cell r="A12796" t="str">
            <v>SERVYRE</v>
          </cell>
          <cell r="J12796">
            <v>0</v>
          </cell>
        </row>
        <row r="12797">
          <cell r="A12797" t="str">
            <v>SERVYRE</v>
          </cell>
          <cell r="J12797">
            <v>0</v>
          </cell>
        </row>
        <row r="12798">
          <cell r="A12798" t="str">
            <v>SERVYRE</v>
          </cell>
          <cell r="J12798">
            <v>0</v>
          </cell>
        </row>
        <row r="12799">
          <cell r="A12799" t="str">
            <v>SERVYRE</v>
          </cell>
          <cell r="J12799">
            <v>0</v>
          </cell>
        </row>
        <row r="12800">
          <cell r="A12800" t="str">
            <v>SERVYRE</v>
          </cell>
          <cell r="J12800">
            <v>0</v>
          </cell>
        </row>
        <row r="12801">
          <cell r="A12801" t="str">
            <v>SERVYRE</v>
          </cell>
          <cell r="J12801">
            <v>0</v>
          </cell>
        </row>
        <row r="12802">
          <cell r="A12802" t="str">
            <v>SERVYRE</v>
          </cell>
          <cell r="J12802">
            <v>0</v>
          </cell>
        </row>
        <row r="12803">
          <cell r="A12803" t="str">
            <v>SERVYRE</v>
          </cell>
          <cell r="J12803">
            <v>0</v>
          </cell>
        </row>
        <row r="12804">
          <cell r="A12804" t="str">
            <v>SERVYRE</v>
          </cell>
          <cell r="J12804">
            <v>0</v>
          </cell>
        </row>
        <row r="12805">
          <cell r="A12805" t="str">
            <v>SERVYRE</v>
          </cell>
          <cell r="J12805">
            <v>0</v>
          </cell>
        </row>
        <row r="12806">
          <cell r="A12806" t="str">
            <v>SERVYRE</v>
          </cell>
          <cell r="J12806">
            <v>0</v>
          </cell>
        </row>
        <row r="12807">
          <cell r="A12807" t="str">
            <v>SERVYRE</v>
          </cell>
          <cell r="J12807">
            <v>0</v>
          </cell>
        </row>
        <row r="12808">
          <cell r="A12808" t="str">
            <v>SERVYRE</v>
          </cell>
          <cell r="J12808">
            <v>0</v>
          </cell>
        </row>
        <row r="12809">
          <cell r="A12809" t="str">
            <v>SERVYRE</v>
          </cell>
          <cell r="J12809">
            <v>0</v>
          </cell>
        </row>
        <row r="12810">
          <cell r="A12810" t="str">
            <v>SERVYRE</v>
          </cell>
          <cell r="J12810">
            <v>0</v>
          </cell>
        </row>
        <row r="12811">
          <cell r="A12811" t="str">
            <v>SERVYRE</v>
          </cell>
          <cell r="J12811">
            <v>0</v>
          </cell>
        </row>
        <row r="12812">
          <cell r="A12812" t="str">
            <v>SERVYRE</v>
          </cell>
          <cell r="J12812">
            <v>0</v>
          </cell>
        </row>
        <row r="12813">
          <cell r="A12813" t="str">
            <v>SERVYRE</v>
          </cell>
          <cell r="J12813">
            <v>0</v>
          </cell>
        </row>
        <row r="12814">
          <cell r="A12814" t="str">
            <v>SERVYRE</v>
          </cell>
          <cell r="J12814">
            <v>0</v>
          </cell>
        </row>
        <row r="12815">
          <cell r="A12815" t="str">
            <v>SERVYRE</v>
          </cell>
          <cell r="J12815">
            <v>0</v>
          </cell>
        </row>
        <row r="12816">
          <cell r="A12816" t="str">
            <v>SERVYRE</v>
          </cell>
          <cell r="J12816">
            <v>0</v>
          </cell>
        </row>
        <row r="12817">
          <cell r="A12817" t="str">
            <v>SERVYRE</v>
          </cell>
          <cell r="J12817">
            <v>0</v>
          </cell>
        </row>
        <row r="12818">
          <cell r="A12818" t="str">
            <v>SERVYRE</v>
          </cell>
          <cell r="J12818">
            <v>0</v>
          </cell>
        </row>
        <row r="12819">
          <cell r="A12819" t="str">
            <v>SERVYRE</v>
          </cell>
          <cell r="J12819">
            <v>0</v>
          </cell>
        </row>
        <row r="12820">
          <cell r="A12820" t="str">
            <v>SERVYRE</v>
          </cell>
          <cell r="J12820">
            <v>0</v>
          </cell>
        </row>
        <row r="12821">
          <cell r="A12821" t="str">
            <v>SERVYRE</v>
          </cell>
          <cell r="J12821">
            <v>0</v>
          </cell>
        </row>
        <row r="12822">
          <cell r="A12822" t="str">
            <v>SERVYRE</v>
          </cell>
          <cell r="J12822">
            <v>0</v>
          </cell>
        </row>
        <row r="12823">
          <cell r="A12823" t="str">
            <v>SERVYRE</v>
          </cell>
          <cell r="J12823">
            <v>0</v>
          </cell>
        </row>
        <row r="12824">
          <cell r="A12824" t="str">
            <v>SERVYRE</v>
          </cell>
          <cell r="J12824">
            <v>0</v>
          </cell>
        </row>
        <row r="12825">
          <cell r="A12825" t="str">
            <v>SERVYRE</v>
          </cell>
          <cell r="J12825">
            <v>0</v>
          </cell>
        </row>
        <row r="12826">
          <cell r="A12826" t="str">
            <v>SERVYRE</v>
          </cell>
          <cell r="J12826">
            <v>0</v>
          </cell>
        </row>
        <row r="12827">
          <cell r="A12827" t="str">
            <v>SERVYRE</v>
          </cell>
          <cell r="J12827">
            <v>0</v>
          </cell>
        </row>
        <row r="12828">
          <cell r="A12828" t="str">
            <v>SERVYRE</v>
          </cell>
          <cell r="J12828">
            <v>0</v>
          </cell>
        </row>
        <row r="12829">
          <cell r="A12829" t="str">
            <v>SERVYRE</v>
          </cell>
          <cell r="J12829">
            <v>0</v>
          </cell>
        </row>
        <row r="12830">
          <cell r="A12830" t="str">
            <v>SERVYRE</v>
          </cell>
          <cell r="J12830">
            <v>0</v>
          </cell>
        </row>
        <row r="12831">
          <cell r="A12831" t="str">
            <v>SERVYRE</v>
          </cell>
          <cell r="J12831">
            <v>0</v>
          </cell>
        </row>
        <row r="12832">
          <cell r="A12832" t="str">
            <v>SERVYRE</v>
          </cell>
          <cell r="J12832">
            <v>0</v>
          </cell>
        </row>
        <row r="12833">
          <cell r="A12833" t="str">
            <v>SERVYRE</v>
          </cell>
          <cell r="J12833">
            <v>0</v>
          </cell>
        </row>
        <row r="12834">
          <cell r="A12834" t="str">
            <v>SERVYRE</v>
          </cell>
          <cell r="J12834">
            <v>0</v>
          </cell>
        </row>
        <row r="12835">
          <cell r="A12835" t="str">
            <v>SERVYRE</v>
          </cell>
          <cell r="J12835">
            <v>0</v>
          </cell>
        </row>
        <row r="12836">
          <cell r="A12836" t="str">
            <v>SERVYRE</v>
          </cell>
          <cell r="J12836">
            <v>0</v>
          </cell>
        </row>
        <row r="12837">
          <cell r="A12837" t="str">
            <v>SERVYRE</v>
          </cell>
          <cell r="J12837">
            <v>0</v>
          </cell>
        </row>
        <row r="12838">
          <cell r="A12838" t="str">
            <v>SERVYRE</v>
          </cell>
          <cell r="J12838">
            <v>0</v>
          </cell>
        </row>
        <row r="12839">
          <cell r="A12839" t="str">
            <v>SERVYRE</v>
          </cell>
          <cell r="J12839">
            <v>0</v>
          </cell>
        </row>
        <row r="12840">
          <cell r="A12840" t="str">
            <v>SERVYRE</v>
          </cell>
          <cell r="J12840">
            <v>0</v>
          </cell>
        </row>
        <row r="12841">
          <cell r="A12841" t="str">
            <v>SERVYRE</v>
          </cell>
          <cell r="J12841">
            <v>0</v>
          </cell>
        </row>
        <row r="12842">
          <cell r="A12842" t="str">
            <v>SERVYRE</v>
          </cell>
          <cell r="J12842">
            <v>0</v>
          </cell>
        </row>
        <row r="12843">
          <cell r="A12843" t="str">
            <v>SERVYRE</v>
          </cell>
          <cell r="J12843">
            <v>0</v>
          </cell>
        </row>
        <row r="12844">
          <cell r="A12844" t="str">
            <v>SERVYRE</v>
          </cell>
          <cell r="J12844">
            <v>0</v>
          </cell>
        </row>
        <row r="12845">
          <cell r="A12845" t="str">
            <v>SERVYRE</v>
          </cell>
          <cell r="J12845">
            <v>0</v>
          </cell>
        </row>
        <row r="12846">
          <cell r="A12846" t="str">
            <v>SERVYRE</v>
          </cell>
          <cell r="J12846">
            <v>0</v>
          </cell>
        </row>
        <row r="12847">
          <cell r="A12847" t="str">
            <v>SERVYRE</v>
          </cell>
          <cell r="J12847">
            <v>0</v>
          </cell>
        </row>
        <row r="12848">
          <cell r="A12848" t="str">
            <v>SERVYRE</v>
          </cell>
          <cell r="J12848">
            <v>0</v>
          </cell>
        </row>
        <row r="12849">
          <cell r="A12849" t="str">
            <v>SERVYRE</v>
          </cell>
          <cell r="J12849">
            <v>0</v>
          </cell>
        </row>
        <row r="12850">
          <cell r="A12850" t="str">
            <v>SERVYRE</v>
          </cell>
          <cell r="J12850">
            <v>0</v>
          </cell>
        </row>
        <row r="12851">
          <cell r="A12851" t="str">
            <v>SERVYRE</v>
          </cell>
          <cell r="J12851">
            <v>0</v>
          </cell>
        </row>
        <row r="12852">
          <cell r="A12852" t="str">
            <v>SERVYRE</v>
          </cell>
          <cell r="J12852">
            <v>0</v>
          </cell>
        </row>
        <row r="12853">
          <cell r="A12853" t="str">
            <v>SERVYRE</v>
          </cell>
          <cell r="J12853">
            <v>0</v>
          </cell>
        </row>
        <row r="12854">
          <cell r="A12854" t="str">
            <v>SERVYRE</v>
          </cell>
          <cell r="J12854">
            <v>0</v>
          </cell>
        </row>
        <row r="12855">
          <cell r="A12855" t="str">
            <v>SERVYRE</v>
          </cell>
          <cell r="J12855">
            <v>0</v>
          </cell>
        </row>
        <row r="12856">
          <cell r="A12856" t="str">
            <v>SERVYRE</v>
          </cell>
          <cell r="J12856">
            <v>0</v>
          </cell>
        </row>
        <row r="12857">
          <cell r="A12857" t="str">
            <v>SERVYRE</v>
          </cell>
          <cell r="J12857">
            <v>0</v>
          </cell>
        </row>
        <row r="12858">
          <cell r="A12858" t="str">
            <v>SERVYRE</v>
          </cell>
          <cell r="J12858">
            <v>0</v>
          </cell>
        </row>
        <row r="12859">
          <cell r="A12859" t="str">
            <v>SERVYRE</v>
          </cell>
          <cell r="J12859">
            <v>0</v>
          </cell>
        </row>
        <row r="12860">
          <cell r="A12860" t="str">
            <v>SERVYRE</v>
          </cell>
          <cell r="J12860">
            <v>0</v>
          </cell>
        </row>
        <row r="12861">
          <cell r="A12861" t="str">
            <v>SERVYRE</v>
          </cell>
          <cell r="J12861">
            <v>0</v>
          </cell>
        </row>
        <row r="12862">
          <cell r="A12862" t="str">
            <v>SERVYRE</v>
          </cell>
          <cell r="J12862">
            <v>0</v>
          </cell>
        </row>
        <row r="12863">
          <cell r="A12863" t="str">
            <v>SERVYRE</v>
          </cell>
          <cell r="J12863">
            <v>0</v>
          </cell>
        </row>
        <row r="12864">
          <cell r="A12864" t="str">
            <v>SERVYRE</v>
          </cell>
          <cell r="J12864">
            <v>0</v>
          </cell>
        </row>
        <row r="12865">
          <cell r="A12865" t="str">
            <v>SERVYRE</v>
          </cell>
          <cell r="J12865">
            <v>0</v>
          </cell>
        </row>
        <row r="12866">
          <cell r="A12866" t="str">
            <v>SERVYRE</v>
          </cell>
          <cell r="J12866">
            <v>0</v>
          </cell>
        </row>
        <row r="12867">
          <cell r="A12867" t="str">
            <v>SERVYRE</v>
          </cell>
          <cell r="J12867">
            <v>0</v>
          </cell>
        </row>
        <row r="12868">
          <cell r="A12868" t="str">
            <v>SERVYRE</v>
          </cell>
          <cell r="J12868">
            <v>0</v>
          </cell>
        </row>
        <row r="12869">
          <cell r="A12869" t="str">
            <v>SERVYRE</v>
          </cell>
          <cell r="J12869">
            <v>0</v>
          </cell>
        </row>
        <row r="12870">
          <cell r="A12870" t="str">
            <v>SERVYRE</v>
          </cell>
          <cell r="J12870">
            <v>0</v>
          </cell>
        </row>
        <row r="12871">
          <cell r="A12871" t="str">
            <v>SERVYRE</v>
          </cell>
          <cell r="J12871">
            <v>0</v>
          </cell>
        </row>
        <row r="12872">
          <cell r="A12872" t="str">
            <v>SERVYRE</v>
          </cell>
          <cell r="J12872">
            <v>0</v>
          </cell>
        </row>
        <row r="12873">
          <cell r="A12873" t="str">
            <v>SERVYRE</v>
          </cell>
          <cell r="J12873">
            <v>0</v>
          </cell>
        </row>
        <row r="12874">
          <cell r="A12874" t="str">
            <v>SERVYRE</v>
          </cell>
          <cell r="J12874">
            <v>0</v>
          </cell>
        </row>
        <row r="12875">
          <cell r="A12875" t="str">
            <v>SERVYRE</v>
          </cell>
          <cell r="J12875">
            <v>0</v>
          </cell>
        </row>
        <row r="12876">
          <cell r="A12876" t="str">
            <v>SERVYRE</v>
          </cell>
          <cell r="J12876">
            <v>0</v>
          </cell>
        </row>
        <row r="12877">
          <cell r="A12877" t="str">
            <v>SERVYRE</v>
          </cell>
          <cell r="J12877">
            <v>0</v>
          </cell>
        </row>
        <row r="12878">
          <cell r="A12878" t="str">
            <v>SERVYRE</v>
          </cell>
          <cell r="J12878">
            <v>0</v>
          </cell>
        </row>
        <row r="12879">
          <cell r="A12879" t="str">
            <v>SERVYRE</v>
          </cell>
          <cell r="J12879">
            <v>0</v>
          </cell>
        </row>
        <row r="12880">
          <cell r="A12880" t="str">
            <v>SERVYRE</v>
          </cell>
          <cell r="J12880">
            <v>0</v>
          </cell>
        </row>
        <row r="12881">
          <cell r="A12881" t="str">
            <v>SERVYRE</v>
          </cell>
          <cell r="J12881">
            <v>0</v>
          </cell>
        </row>
        <row r="12882">
          <cell r="A12882" t="str">
            <v>SERVYRE</v>
          </cell>
          <cell r="J12882">
            <v>0</v>
          </cell>
        </row>
        <row r="12883">
          <cell r="A12883" t="str">
            <v>SERVYRE</v>
          </cell>
          <cell r="J12883">
            <v>0</v>
          </cell>
        </row>
        <row r="12884">
          <cell r="A12884" t="str">
            <v>SERVYRE</v>
          </cell>
          <cell r="J12884">
            <v>0</v>
          </cell>
        </row>
        <row r="12885">
          <cell r="A12885" t="str">
            <v>SERVYRE</v>
          </cell>
          <cell r="J12885">
            <v>0</v>
          </cell>
        </row>
        <row r="12886">
          <cell r="A12886" t="str">
            <v>SERVYRE</v>
          </cell>
          <cell r="J12886">
            <v>0</v>
          </cell>
        </row>
        <row r="12887">
          <cell r="A12887" t="str">
            <v>SERVYRE</v>
          </cell>
          <cell r="J12887">
            <v>0</v>
          </cell>
        </row>
        <row r="12888">
          <cell r="A12888" t="str">
            <v>SERVYRE</v>
          </cell>
          <cell r="J12888">
            <v>0</v>
          </cell>
        </row>
        <row r="12889">
          <cell r="A12889" t="str">
            <v>SERVYRE</v>
          </cell>
          <cell r="J12889">
            <v>0</v>
          </cell>
        </row>
        <row r="12890">
          <cell r="A12890" t="str">
            <v>SERVYRE</v>
          </cell>
          <cell r="J12890">
            <v>0</v>
          </cell>
        </row>
        <row r="12891">
          <cell r="A12891" t="str">
            <v>SERVYRE</v>
          </cell>
          <cell r="J12891">
            <v>0</v>
          </cell>
        </row>
        <row r="12892">
          <cell r="A12892" t="str">
            <v>SERVYRE</v>
          </cell>
          <cell r="J12892">
            <v>0</v>
          </cell>
        </row>
        <row r="12893">
          <cell r="A12893" t="str">
            <v>SERVYRE</v>
          </cell>
          <cell r="J12893">
            <v>0</v>
          </cell>
        </row>
        <row r="12894">
          <cell r="A12894" t="str">
            <v>SERVYRE</v>
          </cell>
          <cell r="J12894">
            <v>0</v>
          </cell>
        </row>
        <row r="12895">
          <cell r="A12895" t="str">
            <v>SERVYRE</v>
          </cell>
          <cell r="J12895">
            <v>0</v>
          </cell>
        </row>
        <row r="12896">
          <cell r="A12896" t="str">
            <v>SERVYRE</v>
          </cell>
          <cell r="J12896">
            <v>0</v>
          </cell>
        </row>
        <row r="12897">
          <cell r="A12897" t="str">
            <v>SERVYRE</v>
          </cell>
          <cell r="J12897">
            <v>0</v>
          </cell>
        </row>
        <row r="12898">
          <cell r="A12898" t="str">
            <v>SERVYRE</v>
          </cell>
          <cell r="J12898">
            <v>0</v>
          </cell>
        </row>
        <row r="12899">
          <cell r="A12899" t="str">
            <v>SERVYRE</v>
          </cell>
          <cell r="J12899">
            <v>0</v>
          </cell>
        </row>
        <row r="12900">
          <cell r="A12900" t="str">
            <v>SERVYRE</v>
          </cell>
          <cell r="J12900">
            <v>0</v>
          </cell>
        </row>
        <row r="12901">
          <cell r="A12901" t="str">
            <v>SERVYRE</v>
          </cell>
          <cell r="J12901">
            <v>0</v>
          </cell>
        </row>
        <row r="12902">
          <cell r="A12902" t="str">
            <v>SERVYRE</v>
          </cell>
          <cell r="J12902">
            <v>0</v>
          </cell>
        </row>
        <row r="12903">
          <cell r="A12903" t="str">
            <v>SERVYRE</v>
          </cell>
          <cell r="J12903">
            <v>0</v>
          </cell>
        </row>
        <row r="12904">
          <cell r="A12904" t="str">
            <v>SERVYRE</v>
          </cell>
          <cell r="J12904">
            <v>0</v>
          </cell>
        </row>
        <row r="12905">
          <cell r="A12905" t="str">
            <v>SERVYRE</v>
          </cell>
          <cell r="J12905">
            <v>0</v>
          </cell>
        </row>
        <row r="12906">
          <cell r="A12906" t="str">
            <v>SERVYRE</v>
          </cell>
          <cell r="J12906">
            <v>0</v>
          </cell>
        </row>
        <row r="12907">
          <cell r="A12907" t="str">
            <v>SERVYRE</v>
          </cell>
          <cell r="J12907">
            <v>0</v>
          </cell>
        </row>
        <row r="12908">
          <cell r="A12908" t="str">
            <v>SERVYRE</v>
          </cell>
          <cell r="J12908">
            <v>0</v>
          </cell>
        </row>
        <row r="12909">
          <cell r="A12909" t="str">
            <v>SERVYRE</v>
          </cell>
          <cell r="J12909">
            <v>0</v>
          </cell>
        </row>
        <row r="12910">
          <cell r="A12910" t="str">
            <v>SERVYRE</v>
          </cell>
          <cell r="J12910">
            <v>0</v>
          </cell>
        </row>
        <row r="12911">
          <cell r="A12911" t="str">
            <v>SERVYRE</v>
          </cell>
          <cell r="J12911">
            <v>0</v>
          </cell>
        </row>
        <row r="12912">
          <cell r="A12912" t="str">
            <v>SERVYRE</v>
          </cell>
          <cell r="J12912">
            <v>0</v>
          </cell>
        </row>
        <row r="12913">
          <cell r="A12913" t="str">
            <v>SERVYRE</v>
          </cell>
          <cell r="J12913">
            <v>0</v>
          </cell>
        </row>
        <row r="12914">
          <cell r="A12914" t="str">
            <v>SERVYRE</v>
          </cell>
          <cell r="J12914">
            <v>0</v>
          </cell>
        </row>
        <row r="12915">
          <cell r="A12915" t="str">
            <v>SERVYRE</v>
          </cell>
          <cell r="J12915">
            <v>0</v>
          </cell>
        </row>
        <row r="12916">
          <cell r="A12916" t="str">
            <v>SERVYRE</v>
          </cell>
          <cell r="J12916">
            <v>0</v>
          </cell>
        </row>
        <row r="12917">
          <cell r="A12917" t="str">
            <v>SERVYRE</v>
          </cell>
          <cell r="J12917">
            <v>0</v>
          </cell>
        </row>
        <row r="12918">
          <cell r="A12918" t="str">
            <v>SERVYRE</v>
          </cell>
          <cell r="J12918">
            <v>0</v>
          </cell>
        </row>
        <row r="12919">
          <cell r="A12919" t="str">
            <v>SERVYRE</v>
          </cell>
          <cell r="J12919">
            <v>0</v>
          </cell>
        </row>
        <row r="12920">
          <cell r="A12920" t="str">
            <v>SERVYRE</v>
          </cell>
          <cell r="J12920">
            <v>0</v>
          </cell>
        </row>
        <row r="12921">
          <cell r="A12921" t="str">
            <v>SERVYRE</v>
          </cell>
          <cell r="J12921">
            <v>0</v>
          </cell>
        </row>
        <row r="12922">
          <cell r="A12922" t="str">
            <v>SERVYRE</v>
          </cell>
          <cell r="J12922">
            <v>0</v>
          </cell>
        </row>
        <row r="12923">
          <cell r="A12923" t="str">
            <v>SERVYRE</v>
          </cell>
          <cell r="J12923">
            <v>0</v>
          </cell>
        </row>
        <row r="12924">
          <cell r="A12924" t="str">
            <v>SERVYRE</v>
          </cell>
          <cell r="J12924">
            <v>0</v>
          </cell>
        </row>
        <row r="12925">
          <cell r="A12925" t="str">
            <v>SERVYRE</v>
          </cell>
          <cell r="J12925">
            <v>0</v>
          </cell>
        </row>
        <row r="12926">
          <cell r="A12926" t="str">
            <v>SERVYRE</v>
          </cell>
          <cell r="J12926">
            <v>0</v>
          </cell>
        </row>
        <row r="12927">
          <cell r="A12927" t="str">
            <v>SERVYRE</v>
          </cell>
          <cell r="J12927">
            <v>0</v>
          </cell>
        </row>
        <row r="12928">
          <cell r="A12928" t="str">
            <v>SERVYRE</v>
          </cell>
          <cell r="J12928">
            <v>0</v>
          </cell>
        </row>
        <row r="12929">
          <cell r="A12929" t="str">
            <v>SERVYRE</v>
          </cell>
          <cell r="J12929">
            <v>0</v>
          </cell>
        </row>
        <row r="12930">
          <cell r="A12930" t="str">
            <v>SERVYRE</v>
          </cell>
          <cell r="J12930">
            <v>0</v>
          </cell>
        </row>
        <row r="12931">
          <cell r="A12931" t="str">
            <v>SERVYRE</v>
          </cell>
          <cell r="J12931">
            <v>0</v>
          </cell>
        </row>
        <row r="12932">
          <cell r="A12932" t="str">
            <v>SERVYRE</v>
          </cell>
          <cell r="J12932">
            <v>0</v>
          </cell>
        </row>
        <row r="12933">
          <cell r="A12933" t="str">
            <v>SERVYRE</v>
          </cell>
          <cell r="J12933">
            <v>0</v>
          </cell>
        </row>
        <row r="12934">
          <cell r="A12934" t="str">
            <v>SERVYRE</v>
          </cell>
          <cell r="J12934">
            <v>0</v>
          </cell>
        </row>
        <row r="12935">
          <cell r="A12935" t="str">
            <v>SERVYRE</v>
          </cell>
          <cell r="J12935">
            <v>0</v>
          </cell>
        </row>
        <row r="12936">
          <cell r="A12936" t="str">
            <v>SERVYRE</v>
          </cell>
          <cell r="J12936">
            <v>0</v>
          </cell>
        </row>
        <row r="12937">
          <cell r="A12937" t="str">
            <v>SERVYRE</v>
          </cell>
          <cell r="J12937">
            <v>0</v>
          </cell>
        </row>
        <row r="12938">
          <cell r="A12938" t="str">
            <v>SERVYRE</v>
          </cell>
          <cell r="J12938">
            <v>0</v>
          </cell>
        </row>
        <row r="12939">
          <cell r="A12939" t="str">
            <v>SERVYRE</v>
          </cell>
          <cell r="J12939">
            <v>0</v>
          </cell>
        </row>
        <row r="12940">
          <cell r="A12940" t="str">
            <v>SERVYRE</v>
          </cell>
          <cell r="J12940">
            <v>0</v>
          </cell>
        </row>
        <row r="12941">
          <cell r="A12941" t="str">
            <v>SERVYRE</v>
          </cell>
          <cell r="J12941">
            <v>0</v>
          </cell>
        </row>
        <row r="12942">
          <cell r="A12942" t="str">
            <v>SERVYRE</v>
          </cell>
          <cell r="J12942">
            <v>0</v>
          </cell>
        </row>
        <row r="12943">
          <cell r="A12943" t="str">
            <v>SERVYRE</v>
          </cell>
          <cell r="J12943">
            <v>0</v>
          </cell>
        </row>
        <row r="12944">
          <cell r="A12944" t="str">
            <v>SERVYRE</v>
          </cell>
          <cell r="J12944">
            <v>0</v>
          </cell>
        </row>
        <row r="12945">
          <cell r="A12945" t="str">
            <v>SERVYRE</v>
          </cell>
          <cell r="J12945">
            <v>0</v>
          </cell>
        </row>
        <row r="12946">
          <cell r="A12946" t="str">
            <v>SERVYRE</v>
          </cell>
          <cell r="J12946">
            <v>0</v>
          </cell>
        </row>
        <row r="12947">
          <cell r="A12947" t="str">
            <v>SERVYRE</v>
          </cell>
          <cell r="J12947">
            <v>0</v>
          </cell>
        </row>
        <row r="12948">
          <cell r="A12948" t="str">
            <v>SERVYRE</v>
          </cell>
          <cell r="J12948">
            <v>0</v>
          </cell>
        </row>
        <row r="12949">
          <cell r="A12949" t="str">
            <v>SERVYRE</v>
          </cell>
          <cell r="J12949">
            <v>0</v>
          </cell>
        </row>
        <row r="12950">
          <cell r="A12950" t="str">
            <v>SERVYRE</v>
          </cell>
          <cell r="J12950">
            <v>0</v>
          </cell>
        </row>
        <row r="12951">
          <cell r="A12951" t="str">
            <v>SERVYRE</v>
          </cell>
          <cell r="J12951">
            <v>0</v>
          </cell>
        </row>
        <row r="12952">
          <cell r="A12952" t="str">
            <v>SERVYRE</v>
          </cell>
          <cell r="J12952">
            <v>0</v>
          </cell>
        </row>
        <row r="12953">
          <cell r="A12953" t="str">
            <v>SERVYRE</v>
          </cell>
          <cell r="J12953">
            <v>0</v>
          </cell>
        </row>
        <row r="12954">
          <cell r="A12954" t="str">
            <v>SERVYRE</v>
          </cell>
          <cell r="J12954">
            <v>0</v>
          </cell>
        </row>
        <row r="12955">
          <cell r="A12955" t="str">
            <v>SERVYRE</v>
          </cell>
          <cell r="J12955">
            <v>0</v>
          </cell>
        </row>
        <row r="12956">
          <cell r="A12956" t="str">
            <v>SERVYRE</v>
          </cell>
          <cell r="J12956">
            <v>0</v>
          </cell>
        </row>
        <row r="12957">
          <cell r="A12957" t="str">
            <v>SERVYRE</v>
          </cell>
          <cell r="J12957">
            <v>0</v>
          </cell>
        </row>
        <row r="12958">
          <cell r="A12958" t="str">
            <v>SERVYRE</v>
          </cell>
          <cell r="J12958">
            <v>0</v>
          </cell>
        </row>
        <row r="12959">
          <cell r="A12959" t="str">
            <v>SERVYRE</v>
          </cell>
          <cell r="J12959">
            <v>0</v>
          </cell>
        </row>
        <row r="12960">
          <cell r="A12960" t="str">
            <v>SERVYRE</v>
          </cell>
          <cell r="J12960">
            <v>0</v>
          </cell>
        </row>
        <row r="12961">
          <cell r="A12961" t="str">
            <v>SERVYRE</v>
          </cell>
          <cell r="J12961">
            <v>0</v>
          </cell>
        </row>
        <row r="12962">
          <cell r="A12962" t="str">
            <v>SERVYRE</v>
          </cell>
          <cell r="J12962">
            <v>0</v>
          </cell>
        </row>
        <row r="12963">
          <cell r="A12963" t="str">
            <v>SERVYRE</v>
          </cell>
          <cell r="J12963">
            <v>0</v>
          </cell>
        </row>
        <row r="12964">
          <cell r="A12964" t="str">
            <v>SERVYRE</v>
          </cell>
          <cell r="J12964">
            <v>0</v>
          </cell>
        </row>
        <row r="12965">
          <cell r="A12965" t="str">
            <v>SERVYRE</v>
          </cell>
          <cell r="J12965">
            <v>0</v>
          </cell>
        </row>
        <row r="12966">
          <cell r="A12966" t="str">
            <v>SERVYRE</v>
          </cell>
          <cell r="J12966">
            <v>0</v>
          </cell>
        </row>
        <row r="12967">
          <cell r="A12967" t="str">
            <v>SERVYRE</v>
          </cell>
          <cell r="J12967">
            <v>0</v>
          </cell>
        </row>
        <row r="12968">
          <cell r="A12968" t="str">
            <v>SERVYRE</v>
          </cell>
          <cell r="J12968">
            <v>0</v>
          </cell>
        </row>
        <row r="12969">
          <cell r="A12969" t="str">
            <v>SERVYRE</v>
          </cell>
          <cell r="J12969">
            <v>0</v>
          </cell>
        </row>
        <row r="12970">
          <cell r="A12970" t="str">
            <v>SERVYRE</v>
          </cell>
          <cell r="J12970">
            <v>0</v>
          </cell>
        </row>
        <row r="12971">
          <cell r="A12971" t="str">
            <v>SERVYRE</v>
          </cell>
          <cell r="J12971">
            <v>0</v>
          </cell>
        </row>
        <row r="12972">
          <cell r="A12972" t="str">
            <v>SERVYRE</v>
          </cell>
          <cell r="J12972">
            <v>0</v>
          </cell>
        </row>
        <row r="12973">
          <cell r="A12973" t="str">
            <v>SERVYRE</v>
          </cell>
          <cell r="J12973">
            <v>0</v>
          </cell>
        </row>
        <row r="12974">
          <cell r="A12974" t="str">
            <v>SERVYRE</v>
          </cell>
          <cell r="J12974">
            <v>0</v>
          </cell>
        </row>
        <row r="12975">
          <cell r="A12975" t="str">
            <v>SERVYRE</v>
          </cell>
          <cell r="J12975">
            <v>0</v>
          </cell>
        </row>
        <row r="12976">
          <cell r="A12976" t="str">
            <v>SERVYRE</v>
          </cell>
          <cell r="J12976">
            <v>0</v>
          </cell>
        </row>
        <row r="12977">
          <cell r="A12977" t="str">
            <v>SERVYRE</v>
          </cell>
          <cell r="J12977">
            <v>0</v>
          </cell>
        </row>
        <row r="12978">
          <cell r="A12978" t="str">
            <v>SERVYRE</v>
          </cell>
          <cell r="J12978">
            <v>0</v>
          </cell>
        </row>
        <row r="12979">
          <cell r="A12979" t="str">
            <v>SERVYRE</v>
          </cell>
          <cell r="J12979">
            <v>0</v>
          </cell>
        </row>
        <row r="12980">
          <cell r="A12980" t="str">
            <v>SERVYRE</v>
          </cell>
          <cell r="J12980">
            <v>0</v>
          </cell>
        </row>
        <row r="12981">
          <cell r="A12981" t="str">
            <v>SERVYRE</v>
          </cell>
          <cell r="J12981">
            <v>0</v>
          </cell>
        </row>
        <row r="12982">
          <cell r="A12982" t="str">
            <v>SERVYRE</v>
          </cell>
          <cell r="J12982">
            <v>0</v>
          </cell>
        </row>
        <row r="12983">
          <cell r="A12983" t="str">
            <v>SERVYRE</v>
          </cell>
          <cell r="J12983">
            <v>0</v>
          </cell>
        </row>
        <row r="12984">
          <cell r="A12984" t="str">
            <v>SERVYRE</v>
          </cell>
          <cell r="J12984">
            <v>0</v>
          </cell>
        </row>
        <row r="12985">
          <cell r="A12985" t="str">
            <v>SERVYRE</v>
          </cell>
          <cell r="J12985">
            <v>0</v>
          </cell>
        </row>
        <row r="12986">
          <cell r="A12986" t="str">
            <v>SERVYRE</v>
          </cell>
          <cell r="J12986">
            <v>0</v>
          </cell>
        </row>
        <row r="12987">
          <cell r="A12987" t="str">
            <v>SERVYRE</v>
          </cell>
          <cell r="J12987">
            <v>0</v>
          </cell>
        </row>
        <row r="12988">
          <cell r="A12988" t="str">
            <v>SERVYRE</v>
          </cell>
          <cell r="J12988">
            <v>0</v>
          </cell>
        </row>
        <row r="12989">
          <cell r="A12989" t="str">
            <v>SERVYRE</v>
          </cell>
          <cell r="J12989">
            <v>0</v>
          </cell>
        </row>
        <row r="12990">
          <cell r="A12990" t="str">
            <v>SERVYRE</v>
          </cell>
          <cell r="J12990">
            <v>0</v>
          </cell>
        </row>
        <row r="12991">
          <cell r="A12991" t="str">
            <v>SERVYRE</v>
          </cell>
          <cell r="J12991">
            <v>0</v>
          </cell>
        </row>
        <row r="12992">
          <cell r="A12992" t="str">
            <v>SERVYRE</v>
          </cell>
          <cell r="J12992">
            <v>0</v>
          </cell>
        </row>
        <row r="12993">
          <cell r="A12993" t="str">
            <v>SERVYRE</v>
          </cell>
          <cell r="J12993">
            <v>0</v>
          </cell>
        </row>
        <row r="12994">
          <cell r="A12994" t="str">
            <v>SERVYRE</v>
          </cell>
          <cell r="J12994">
            <v>0</v>
          </cell>
        </row>
        <row r="12995">
          <cell r="A12995" t="str">
            <v>SERVYRE</v>
          </cell>
          <cell r="J12995">
            <v>0</v>
          </cell>
        </row>
        <row r="12996">
          <cell r="A12996" t="str">
            <v>SERVYRE</v>
          </cell>
          <cell r="J12996">
            <v>0</v>
          </cell>
        </row>
        <row r="12997">
          <cell r="A12997" t="str">
            <v>SERVYRE</v>
          </cell>
          <cell r="J12997">
            <v>0</v>
          </cell>
        </row>
        <row r="12998">
          <cell r="A12998" t="str">
            <v>SERVYRE</v>
          </cell>
          <cell r="J12998">
            <v>0</v>
          </cell>
        </row>
        <row r="12999">
          <cell r="A12999" t="str">
            <v>SERVYRE</v>
          </cell>
          <cell r="J12999">
            <v>0</v>
          </cell>
        </row>
        <row r="13000">
          <cell r="A13000" t="str">
            <v>SERVYRE</v>
          </cell>
          <cell r="J13000">
            <v>0</v>
          </cell>
        </row>
        <row r="13001">
          <cell r="A13001" t="str">
            <v>SERVYRE</v>
          </cell>
          <cell r="J13001">
            <v>0</v>
          </cell>
        </row>
        <row r="13002">
          <cell r="A13002" t="str">
            <v>SERVYRE</v>
          </cell>
          <cell r="J13002">
            <v>0</v>
          </cell>
        </row>
        <row r="13003">
          <cell r="A13003" t="str">
            <v>SERVYRE</v>
          </cell>
          <cell r="J13003">
            <v>0</v>
          </cell>
        </row>
        <row r="13004">
          <cell r="A13004" t="str">
            <v>SERVYRE</v>
          </cell>
          <cell r="J13004">
            <v>0</v>
          </cell>
        </row>
        <row r="13005">
          <cell r="A13005" t="str">
            <v>SERVYRE</v>
          </cell>
          <cell r="J13005">
            <v>0</v>
          </cell>
        </row>
        <row r="13006">
          <cell r="A13006" t="str">
            <v>SERVYRE</v>
          </cell>
          <cell r="J13006">
            <v>0</v>
          </cell>
        </row>
        <row r="13007">
          <cell r="A13007" t="str">
            <v>SERVYRE</v>
          </cell>
          <cell r="J13007">
            <v>0</v>
          </cell>
        </row>
        <row r="13008">
          <cell r="A13008" t="str">
            <v>SERVYRE</v>
          </cell>
          <cell r="J13008">
            <v>0</v>
          </cell>
        </row>
        <row r="13009">
          <cell r="A13009" t="str">
            <v>SERVYRE</v>
          </cell>
          <cell r="J13009">
            <v>0</v>
          </cell>
        </row>
        <row r="13010">
          <cell r="A13010" t="str">
            <v>SERVYRE</v>
          </cell>
          <cell r="J13010">
            <v>0</v>
          </cell>
        </row>
        <row r="13011">
          <cell r="A13011" t="str">
            <v>SERVYRE</v>
          </cell>
          <cell r="J13011">
            <v>0</v>
          </cell>
        </row>
        <row r="13012">
          <cell r="A13012" t="str">
            <v>SERVYRE</v>
          </cell>
          <cell r="J13012">
            <v>0</v>
          </cell>
        </row>
        <row r="13013">
          <cell r="A13013" t="str">
            <v>SERVYRE</v>
          </cell>
          <cell r="J13013">
            <v>0</v>
          </cell>
        </row>
        <row r="13014">
          <cell r="A13014" t="str">
            <v>SERVYRE</v>
          </cell>
          <cell r="J13014">
            <v>0</v>
          </cell>
        </row>
        <row r="13015">
          <cell r="A13015" t="str">
            <v>SERVYRE</v>
          </cell>
          <cell r="J13015">
            <v>0</v>
          </cell>
        </row>
        <row r="13016">
          <cell r="A13016" t="str">
            <v>SERVYRE</v>
          </cell>
          <cell r="J13016">
            <v>0</v>
          </cell>
        </row>
        <row r="13017">
          <cell r="A13017" t="str">
            <v>SERVYRE</v>
          </cell>
          <cell r="J13017">
            <v>0</v>
          </cell>
        </row>
        <row r="13018">
          <cell r="A13018" t="str">
            <v>SERVYRE</v>
          </cell>
          <cell r="J13018">
            <v>0</v>
          </cell>
        </row>
        <row r="13019">
          <cell r="A13019" t="str">
            <v>SERVYRE</v>
          </cell>
          <cell r="J13019">
            <v>0</v>
          </cell>
        </row>
        <row r="13020">
          <cell r="A13020" t="str">
            <v>SERVYRE</v>
          </cell>
          <cell r="J13020">
            <v>0</v>
          </cell>
        </row>
        <row r="13021">
          <cell r="A13021" t="str">
            <v>SERVYRE</v>
          </cell>
          <cell r="J13021">
            <v>0</v>
          </cell>
        </row>
        <row r="13022">
          <cell r="A13022" t="str">
            <v>SERVYRE</v>
          </cell>
          <cell r="J13022">
            <v>0</v>
          </cell>
        </row>
        <row r="13023">
          <cell r="A13023" t="str">
            <v>SERVYRE</v>
          </cell>
          <cell r="J13023">
            <v>0</v>
          </cell>
        </row>
        <row r="13024">
          <cell r="A13024" t="str">
            <v>SERVYRE</v>
          </cell>
          <cell r="J13024">
            <v>0</v>
          </cell>
        </row>
        <row r="13025">
          <cell r="A13025" t="str">
            <v>SERVYRE</v>
          </cell>
          <cell r="J13025">
            <v>0</v>
          </cell>
        </row>
        <row r="13026">
          <cell r="A13026" t="str">
            <v>SERVYRE</v>
          </cell>
          <cell r="J13026">
            <v>0</v>
          </cell>
        </row>
        <row r="13027">
          <cell r="A13027" t="str">
            <v>SERVYRE</v>
          </cell>
          <cell r="J13027">
            <v>0</v>
          </cell>
        </row>
        <row r="13028">
          <cell r="A13028" t="str">
            <v>SERVYRE</v>
          </cell>
          <cell r="J13028">
            <v>0</v>
          </cell>
        </row>
        <row r="13029">
          <cell r="A13029" t="str">
            <v>SERVYRE</v>
          </cell>
          <cell r="J13029">
            <v>0</v>
          </cell>
        </row>
        <row r="13030">
          <cell r="A13030" t="str">
            <v>SERVYRE</v>
          </cell>
          <cell r="J13030">
            <v>0</v>
          </cell>
        </row>
        <row r="13031">
          <cell r="A13031" t="str">
            <v>SERVYRE</v>
          </cell>
          <cell r="J13031">
            <v>0</v>
          </cell>
        </row>
        <row r="13032">
          <cell r="A13032" t="str">
            <v>SERVYRE</v>
          </cell>
          <cell r="J13032">
            <v>0</v>
          </cell>
        </row>
        <row r="13033">
          <cell r="A13033" t="str">
            <v>SERVYRE</v>
          </cell>
          <cell r="J13033">
            <v>0</v>
          </cell>
        </row>
        <row r="13034">
          <cell r="A13034" t="str">
            <v>SERVYRE</v>
          </cell>
          <cell r="J13034">
            <v>0</v>
          </cell>
        </row>
        <row r="13035">
          <cell r="A13035" t="str">
            <v>SERVYRE</v>
          </cell>
          <cell r="J13035">
            <v>0</v>
          </cell>
        </row>
        <row r="13036">
          <cell r="A13036" t="str">
            <v>SERVYRE</v>
          </cell>
          <cell r="J13036">
            <v>0</v>
          </cell>
        </row>
        <row r="13037">
          <cell r="A13037" t="str">
            <v>SERVYRE</v>
          </cell>
          <cell r="J13037">
            <v>0</v>
          </cell>
        </row>
        <row r="13038">
          <cell r="A13038" t="str">
            <v>SERVYRE</v>
          </cell>
          <cell r="J13038">
            <v>0</v>
          </cell>
        </row>
        <row r="13039">
          <cell r="A13039" t="str">
            <v>SERVYRE</v>
          </cell>
          <cell r="J13039">
            <v>0</v>
          </cell>
        </row>
        <row r="13040">
          <cell r="A13040" t="str">
            <v>SERVYRE</v>
          </cell>
          <cell r="J13040">
            <v>0</v>
          </cell>
        </row>
        <row r="13041">
          <cell r="A13041" t="str">
            <v>SERVYRE</v>
          </cell>
          <cell r="J13041">
            <v>0</v>
          </cell>
        </row>
        <row r="13042">
          <cell r="A13042" t="str">
            <v>SERVYRE</v>
          </cell>
          <cell r="J13042">
            <v>0</v>
          </cell>
        </row>
        <row r="13043">
          <cell r="A13043" t="str">
            <v>SERVYRE</v>
          </cell>
          <cell r="J13043">
            <v>0</v>
          </cell>
        </row>
        <row r="13044">
          <cell r="A13044" t="str">
            <v>SERVYRE</v>
          </cell>
          <cell r="J13044">
            <v>0</v>
          </cell>
        </row>
        <row r="13045">
          <cell r="A13045" t="str">
            <v>SERVYRE</v>
          </cell>
          <cell r="J13045">
            <v>0</v>
          </cell>
        </row>
        <row r="13046">
          <cell r="A13046" t="str">
            <v>SERVYRE</v>
          </cell>
          <cell r="J13046">
            <v>0</v>
          </cell>
        </row>
        <row r="13047">
          <cell r="A13047" t="str">
            <v>SERVYRE</v>
          </cell>
          <cell r="J13047">
            <v>0</v>
          </cell>
        </row>
        <row r="13048">
          <cell r="A13048" t="str">
            <v>SERVYRE</v>
          </cell>
          <cell r="J13048">
            <v>0</v>
          </cell>
        </row>
        <row r="13049">
          <cell r="A13049" t="str">
            <v>SERVYRE</v>
          </cell>
          <cell r="J13049">
            <v>0</v>
          </cell>
        </row>
        <row r="13050">
          <cell r="A13050" t="str">
            <v>SERVYRE</v>
          </cell>
          <cell r="J13050">
            <v>0</v>
          </cell>
        </row>
        <row r="13051">
          <cell r="A13051" t="str">
            <v>SERVYRE</v>
          </cell>
          <cell r="J13051">
            <v>0</v>
          </cell>
        </row>
        <row r="13052">
          <cell r="A13052" t="str">
            <v>SERVYRE</v>
          </cell>
          <cell r="J13052">
            <v>0</v>
          </cell>
        </row>
        <row r="13053">
          <cell r="A13053" t="str">
            <v>SERVYRE</v>
          </cell>
          <cell r="J13053">
            <v>0</v>
          </cell>
        </row>
        <row r="13054">
          <cell r="A13054" t="str">
            <v>SERVYRE</v>
          </cell>
          <cell r="J13054">
            <v>0</v>
          </cell>
        </row>
        <row r="13055">
          <cell r="A13055" t="str">
            <v>SERVYRE</v>
          </cell>
          <cell r="J13055">
            <v>0</v>
          </cell>
        </row>
        <row r="13056">
          <cell r="A13056" t="str">
            <v>SERVYRE</v>
          </cell>
          <cell r="J13056">
            <v>0</v>
          </cell>
        </row>
        <row r="13057">
          <cell r="A13057" t="str">
            <v>SERVYRE</v>
          </cell>
          <cell r="J13057">
            <v>0</v>
          </cell>
        </row>
        <row r="13058">
          <cell r="A13058" t="str">
            <v>SERVYRE</v>
          </cell>
          <cell r="J13058">
            <v>0</v>
          </cell>
        </row>
        <row r="13059">
          <cell r="A13059" t="str">
            <v>SERVYRE</v>
          </cell>
          <cell r="J13059">
            <v>0</v>
          </cell>
        </row>
        <row r="13060">
          <cell r="A13060" t="str">
            <v>SERVYRE</v>
          </cell>
          <cell r="J13060">
            <v>0</v>
          </cell>
        </row>
        <row r="13061">
          <cell r="A13061" t="str">
            <v>SERVYRE</v>
          </cell>
          <cell r="J13061">
            <v>0</v>
          </cell>
        </row>
        <row r="13062">
          <cell r="A13062" t="str">
            <v>SERVYRE</v>
          </cell>
          <cell r="J13062">
            <v>0</v>
          </cell>
        </row>
        <row r="13063">
          <cell r="A13063" t="str">
            <v>SERVYRE</v>
          </cell>
          <cell r="J13063">
            <v>0</v>
          </cell>
        </row>
        <row r="13064">
          <cell r="A13064" t="str">
            <v>SERVYRE</v>
          </cell>
          <cell r="J13064">
            <v>0</v>
          </cell>
        </row>
        <row r="13065">
          <cell r="A13065" t="str">
            <v>SERVYRE</v>
          </cell>
          <cell r="J13065">
            <v>0</v>
          </cell>
        </row>
        <row r="13066">
          <cell r="A13066" t="str">
            <v>SERVYRE</v>
          </cell>
          <cell r="J13066">
            <v>0</v>
          </cell>
        </row>
        <row r="13067">
          <cell r="A13067" t="str">
            <v>SERVYRE</v>
          </cell>
          <cell r="J13067">
            <v>0</v>
          </cell>
        </row>
        <row r="13068">
          <cell r="A13068" t="str">
            <v>SERVYRE</v>
          </cell>
          <cell r="J13068">
            <v>0</v>
          </cell>
        </row>
        <row r="13069">
          <cell r="A13069" t="str">
            <v>SERVYRE</v>
          </cell>
          <cell r="J13069">
            <v>0</v>
          </cell>
        </row>
        <row r="13070">
          <cell r="A13070" t="str">
            <v>SERVYRE</v>
          </cell>
          <cell r="J13070">
            <v>0</v>
          </cell>
        </row>
        <row r="13071">
          <cell r="A13071" t="str">
            <v>SERVYRE</v>
          </cell>
          <cell r="J13071">
            <v>0</v>
          </cell>
        </row>
        <row r="13072">
          <cell r="A13072" t="str">
            <v>SERVYRE</v>
          </cell>
          <cell r="J13072">
            <v>0</v>
          </cell>
        </row>
        <row r="13073">
          <cell r="A13073" t="str">
            <v>SERVYRE</v>
          </cell>
          <cell r="J13073">
            <v>0</v>
          </cell>
        </row>
        <row r="13074">
          <cell r="A13074" t="str">
            <v>SERVYRE</v>
          </cell>
          <cell r="J13074">
            <v>0</v>
          </cell>
        </row>
        <row r="13075">
          <cell r="A13075" t="str">
            <v>SERVYRE</v>
          </cell>
          <cell r="J13075">
            <v>0</v>
          </cell>
        </row>
        <row r="13076">
          <cell r="A13076" t="str">
            <v>SERVYRE</v>
          </cell>
          <cell r="J13076">
            <v>0</v>
          </cell>
        </row>
        <row r="13077">
          <cell r="A13077" t="str">
            <v>SERVYRE</v>
          </cell>
          <cell r="J13077">
            <v>0</v>
          </cell>
        </row>
        <row r="13078">
          <cell r="A13078" t="str">
            <v>SERVYRE</v>
          </cell>
          <cell r="J13078">
            <v>0</v>
          </cell>
        </row>
        <row r="13079">
          <cell r="A13079" t="str">
            <v>SERVYRE</v>
          </cell>
          <cell r="J13079">
            <v>0</v>
          </cell>
        </row>
        <row r="13080">
          <cell r="A13080" t="str">
            <v>SERVYRE</v>
          </cell>
          <cell r="J13080">
            <v>0</v>
          </cell>
        </row>
        <row r="13081">
          <cell r="A13081" t="str">
            <v>SERVYRE</v>
          </cell>
          <cell r="J13081">
            <v>0</v>
          </cell>
        </row>
        <row r="13082">
          <cell r="A13082" t="str">
            <v>SERVYRE</v>
          </cell>
          <cell r="J13082">
            <v>0</v>
          </cell>
        </row>
        <row r="13083">
          <cell r="A13083" t="str">
            <v>SERVYRE</v>
          </cell>
          <cell r="J13083">
            <v>0</v>
          </cell>
        </row>
        <row r="13084">
          <cell r="A13084" t="str">
            <v>SERVYRE</v>
          </cell>
          <cell r="J13084">
            <v>0</v>
          </cell>
        </row>
        <row r="13085">
          <cell r="A13085" t="str">
            <v>SERVYRE</v>
          </cell>
          <cell r="J13085">
            <v>0</v>
          </cell>
        </row>
        <row r="13086">
          <cell r="A13086" t="str">
            <v>SERVYRE</v>
          </cell>
          <cell r="J13086">
            <v>0</v>
          </cell>
        </row>
        <row r="13087">
          <cell r="A13087" t="str">
            <v>SERVYRE</v>
          </cell>
          <cell r="J13087">
            <v>0</v>
          </cell>
        </row>
        <row r="13088">
          <cell r="A13088" t="str">
            <v>SERVYRE</v>
          </cell>
          <cell r="J13088">
            <v>0</v>
          </cell>
        </row>
        <row r="13089">
          <cell r="A13089" t="str">
            <v>SERVYRE</v>
          </cell>
          <cell r="J13089">
            <v>0</v>
          </cell>
        </row>
        <row r="13090">
          <cell r="A13090" t="str">
            <v>SERVYRE</v>
          </cell>
          <cell r="J13090">
            <v>0</v>
          </cell>
        </row>
        <row r="13091">
          <cell r="A13091" t="str">
            <v>SERVYRE</v>
          </cell>
          <cell r="J13091">
            <v>0</v>
          </cell>
        </row>
        <row r="13092">
          <cell r="A13092" t="str">
            <v>SERVYRE</v>
          </cell>
          <cell r="J13092">
            <v>0</v>
          </cell>
        </row>
        <row r="13093">
          <cell r="A13093" t="str">
            <v>SERVYRE</v>
          </cell>
          <cell r="J13093">
            <v>0</v>
          </cell>
        </row>
        <row r="13094">
          <cell r="A13094" t="str">
            <v>SERVYRE</v>
          </cell>
          <cell r="J13094">
            <v>0</v>
          </cell>
        </row>
        <row r="13095">
          <cell r="A13095" t="str">
            <v>SERVYRE</v>
          </cell>
          <cell r="J13095">
            <v>0</v>
          </cell>
        </row>
        <row r="13096">
          <cell r="A13096" t="str">
            <v>SERVYRE</v>
          </cell>
          <cell r="J13096">
            <v>0</v>
          </cell>
        </row>
        <row r="13097">
          <cell r="A13097" t="str">
            <v>SERVYRE</v>
          </cell>
          <cell r="J13097">
            <v>0</v>
          </cell>
        </row>
        <row r="13098">
          <cell r="A13098" t="str">
            <v>SERVYRE</v>
          </cell>
          <cell r="J13098">
            <v>0</v>
          </cell>
        </row>
        <row r="13099">
          <cell r="A13099" t="str">
            <v>SERVYRE</v>
          </cell>
          <cell r="J13099">
            <v>0</v>
          </cell>
        </row>
        <row r="13100">
          <cell r="A13100" t="str">
            <v>SERVYRE</v>
          </cell>
          <cell r="J13100">
            <v>0</v>
          </cell>
        </row>
        <row r="13101">
          <cell r="A13101" t="str">
            <v>SERVYRE</v>
          </cell>
          <cell r="J13101">
            <v>0</v>
          </cell>
        </row>
        <row r="13102">
          <cell r="A13102" t="str">
            <v>SERVYRE</v>
          </cell>
          <cell r="J13102">
            <v>0</v>
          </cell>
        </row>
        <row r="13103">
          <cell r="A13103" t="str">
            <v>SERVYRE</v>
          </cell>
          <cell r="J13103">
            <v>0</v>
          </cell>
        </row>
        <row r="13104">
          <cell r="A13104" t="str">
            <v>SERVYRE</v>
          </cell>
          <cell r="J13104">
            <v>0</v>
          </cell>
        </row>
        <row r="13105">
          <cell r="A13105" t="str">
            <v>SERVYRE</v>
          </cell>
          <cell r="J13105">
            <v>0</v>
          </cell>
        </row>
        <row r="13106">
          <cell r="A13106" t="str">
            <v>SERVYRE</v>
          </cell>
          <cell r="J13106">
            <v>0</v>
          </cell>
        </row>
        <row r="13107">
          <cell r="A13107" t="str">
            <v>SERVYRE</v>
          </cell>
          <cell r="J13107">
            <v>0</v>
          </cell>
        </row>
        <row r="13108">
          <cell r="A13108" t="str">
            <v>SERVYRE</v>
          </cell>
          <cell r="J13108">
            <v>0</v>
          </cell>
        </row>
        <row r="13109">
          <cell r="A13109" t="str">
            <v>SERVYRE</v>
          </cell>
          <cell r="J13109">
            <v>0</v>
          </cell>
        </row>
        <row r="13110">
          <cell r="A13110" t="str">
            <v>SERVYRE</v>
          </cell>
          <cell r="J13110">
            <v>0</v>
          </cell>
        </row>
        <row r="13111">
          <cell r="A13111" t="str">
            <v>SERVYRE</v>
          </cell>
          <cell r="J13111">
            <v>0</v>
          </cell>
        </row>
        <row r="13112">
          <cell r="A13112" t="str">
            <v>SERVYRE</v>
          </cell>
          <cell r="J13112">
            <v>0</v>
          </cell>
        </row>
        <row r="13113">
          <cell r="A13113" t="str">
            <v>SERVYRE</v>
          </cell>
          <cell r="J13113">
            <v>0</v>
          </cell>
        </row>
        <row r="13114">
          <cell r="A13114" t="str">
            <v>SERVYRE</v>
          </cell>
          <cell r="J13114">
            <v>0</v>
          </cell>
        </row>
        <row r="13115">
          <cell r="A13115" t="str">
            <v>SERVYRE</v>
          </cell>
          <cell r="J13115">
            <v>0</v>
          </cell>
        </row>
        <row r="13116">
          <cell r="A13116" t="str">
            <v>SERVYRE</v>
          </cell>
          <cell r="J13116">
            <v>0</v>
          </cell>
        </row>
        <row r="13117">
          <cell r="A13117" t="str">
            <v>SERVYRE</v>
          </cell>
          <cell r="J13117">
            <v>0</v>
          </cell>
        </row>
        <row r="13118">
          <cell r="A13118" t="str">
            <v>SERVYRE</v>
          </cell>
          <cell r="J13118">
            <v>0</v>
          </cell>
        </row>
        <row r="13119">
          <cell r="A13119" t="str">
            <v>SERVYRE</v>
          </cell>
          <cell r="J13119">
            <v>0</v>
          </cell>
        </row>
        <row r="13120">
          <cell r="A13120" t="str">
            <v>SERVYRE</v>
          </cell>
          <cell r="J13120">
            <v>0</v>
          </cell>
        </row>
        <row r="13121">
          <cell r="A13121" t="str">
            <v>SERVYRE</v>
          </cell>
          <cell r="J13121">
            <v>0</v>
          </cell>
        </row>
        <row r="13122">
          <cell r="A13122" t="str">
            <v>SERVYRE</v>
          </cell>
          <cell r="J13122">
            <v>0</v>
          </cell>
        </row>
        <row r="13123">
          <cell r="A13123" t="str">
            <v>SERVYRE</v>
          </cell>
          <cell r="J13123">
            <v>0</v>
          </cell>
        </row>
        <row r="13124">
          <cell r="A13124" t="str">
            <v>SERVYRE</v>
          </cell>
          <cell r="J13124">
            <v>0</v>
          </cell>
        </row>
        <row r="13125">
          <cell r="A13125" t="str">
            <v>SERVYRE</v>
          </cell>
          <cell r="J13125">
            <v>0</v>
          </cell>
        </row>
        <row r="13126">
          <cell r="A13126" t="str">
            <v>SERVYRE</v>
          </cell>
          <cell r="J13126">
            <v>0</v>
          </cell>
        </row>
        <row r="13127">
          <cell r="A13127" t="str">
            <v>SERVYRE</v>
          </cell>
          <cell r="J13127">
            <v>0</v>
          </cell>
        </row>
        <row r="13128">
          <cell r="A13128" t="str">
            <v>SERVYRE</v>
          </cell>
          <cell r="J13128">
            <v>0</v>
          </cell>
        </row>
        <row r="13129">
          <cell r="A13129" t="str">
            <v>SERVYRE</v>
          </cell>
          <cell r="J13129">
            <v>0</v>
          </cell>
        </row>
        <row r="13130">
          <cell r="A13130" t="str">
            <v>SERVYRE</v>
          </cell>
          <cell r="J13130">
            <v>0</v>
          </cell>
        </row>
        <row r="13131">
          <cell r="A13131" t="str">
            <v>SERVYRE</v>
          </cell>
          <cell r="J13131">
            <v>0</v>
          </cell>
        </row>
        <row r="13132">
          <cell r="A13132" t="str">
            <v>SERVYRE</v>
          </cell>
          <cell r="J13132">
            <v>0</v>
          </cell>
        </row>
        <row r="13133">
          <cell r="A13133" t="str">
            <v>SERVYRE</v>
          </cell>
          <cell r="J13133">
            <v>0</v>
          </cell>
        </row>
        <row r="13134">
          <cell r="A13134" t="str">
            <v>SERVYRE</v>
          </cell>
          <cell r="J13134">
            <v>0</v>
          </cell>
        </row>
        <row r="13135">
          <cell r="A13135" t="str">
            <v>SERVYRE</v>
          </cell>
          <cell r="J13135">
            <v>0</v>
          </cell>
        </row>
        <row r="13136">
          <cell r="A13136" t="str">
            <v>SERVYRE</v>
          </cell>
          <cell r="J13136">
            <v>0</v>
          </cell>
        </row>
        <row r="13137">
          <cell r="A13137" t="str">
            <v>SERVYRE</v>
          </cell>
          <cell r="J13137">
            <v>0</v>
          </cell>
        </row>
        <row r="13138">
          <cell r="A13138" t="str">
            <v>SERVYRE</v>
          </cell>
          <cell r="J13138">
            <v>0</v>
          </cell>
        </row>
        <row r="13139">
          <cell r="A13139" t="str">
            <v>SERVYRE</v>
          </cell>
          <cell r="J13139">
            <v>0</v>
          </cell>
        </row>
        <row r="13140">
          <cell r="A13140" t="str">
            <v>SERVYRE</v>
          </cell>
          <cell r="J13140">
            <v>0</v>
          </cell>
        </row>
        <row r="13141">
          <cell r="A13141" t="str">
            <v>SERVYRE</v>
          </cell>
          <cell r="J13141">
            <v>0</v>
          </cell>
        </row>
        <row r="13142">
          <cell r="A13142" t="str">
            <v>SERVYRE</v>
          </cell>
          <cell r="J13142">
            <v>0</v>
          </cell>
        </row>
        <row r="13143">
          <cell r="A13143" t="str">
            <v>SERVYRE</v>
          </cell>
          <cell r="J13143">
            <v>0</v>
          </cell>
        </row>
        <row r="13144">
          <cell r="A13144" t="str">
            <v>SERVYRE</v>
          </cell>
          <cell r="J13144">
            <v>0</v>
          </cell>
        </row>
        <row r="13145">
          <cell r="A13145" t="str">
            <v>SERVYRE</v>
          </cell>
          <cell r="J13145">
            <v>0</v>
          </cell>
        </row>
        <row r="13146">
          <cell r="A13146" t="str">
            <v>SERVYRE</v>
          </cell>
          <cell r="J13146">
            <v>0</v>
          </cell>
        </row>
        <row r="13147">
          <cell r="A13147" t="str">
            <v>SERVYRE</v>
          </cell>
          <cell r="J13147">
            <v>0</v>
          </cell>
        </row>
        <row r="13148">
          <cell r="A13148" t="str">
            <v>SERVYRE</v>
          </cell>
          <cell r="J13148">
            <v>0</v>
          </cell>
        </row>
        <row r="13149">
          <cell r="A13149" t="str">
            <v>SERVYRE</v>
          </cell>
          <cell r="J13149">
            <v>0</v>
          </cell>
        </row>
        <row r="13150">
          <cell r="A13150" t="str">
            <v>SERVYRE</v>
          </cell>
          <cell r="J13150">
            <v>0</v>
          </cell>
        </row>
        <row r="13151">
          <cell r="A13151" t="str">
            <v>SERVYRE</v>
          </cell>
          <cell r="J13151">
            <v>0</v>
          </cell>
        </row>
        <row r="13152">
          <cell r="A13152" t="str">
            <v>SERVYRE</v>
          </cell>
          <cell r="J13152">
            <v>0</v>
          </cell>
        </row>
        <row r="13153">
          <cell r="A13153" t="str">
            <v>SERVYRE</v>
          </cell>
          <cell r="J13153">
            <v>0</v>
          </cell>
        </row>
        <row r="13154">
          <cell r="A13154" t="str">
            <v>SERVYRE</v>
          </cell>
          <cell r="J13154">
            <v>0</v>
          </cell>
        </row>
        <row r="13155">
          <cell r="A13155" t="str">
            <v>SERVYRE</v>
          </cell>
          <cell r="J13155">
            <v>0</v>
          </cell>
        </row>
        <row r="13156">
          <cell r="A13156" t="str">
            <v>SERVYRE</v>
          </cell>
          <cell r="J13156">
            <v>0</v>
          </cell>
        </row>
        <row r="13157">
          <cell r="A13157" t="str">
            <v>SERVYRE</v>
          </cell>
          <cell r="J13157">
            <v>0</v>
          </cell>
        </row>
        <row r="13158">
          <cell r="A13158" t="str">
            <v>SERVYRE</v>
          </cell>
          <cell r="J13158">
            <v>0</v>
          </cell>
        </row>
        <row r="13159">
          <cell r="A13159" t="str">
            <v>SERVYRE</v>
          </cell>
          <cell r="J13159">
            <v>0</v>
          </cell>
        </row>
        <row r="13160">
          <cell r="A13160" t="str">
            <v>SERVYRE</v>
          </cell>
          <cell r="J13160">
            <v>0</v>
          </cell>
        </row>
        <row r="13161">
          <cell r="A13161" t="str">
            <v>SERVYRE</v>
          </cell>
          <cell r="J13161">
            <v>0</v>
          </cell>
        </row>
        <row r="13162">
          <cell r="A13162" t="str">
            <v>SERVYRE</v>
          </cell>
          <cell r="J13162">
            <v>0</v>
          </cell>
        </row>
        <row r="13163">
          <cell r="A13163" t="str">
            <v>SERVYRE</v>
          </cell>
          <cell r="J13163">
            <v>0</v>
          </cell>
        </row>
        <row r="13164">
          <cell r="A13164" t="str">
            <v>SERVYRE</v>
          </cell>
          <cell r="J13164">
            <v>0</v>
          </cell>
        </row>
        <row r="13165">
          <cell r="A13165" t="str">
            <v>SERVYRE</v>
          </cell>
          <cell r="J13165">
            <v>0</v>
          </cell>
        </row>
        <row r="13166">
          <cell r="A13166" t="str">
            <v>SERVYRE</v>
          </cell>
          <cell r="J13166">
            <v>0</v>
          </cell>
        </row>
        <row r="13167">
          <cell r="A13167" t="str">
            <v>SERVYRE</v>
          </cell>
          <cell r="J13167">
            <v>0</v>
          </cell>
        </row>
        <row r="13168">
          <cell r="A13168" t="str">
            <v>SERVYRE</v>
          </cell>
          <cell r="J13168">
            <v>0</v>
          </cell>
        </row>
        <row r="13169">
          <cell r="A13169" t="str">
            <v>SERVYRE</v>
          </cell>
          <cell r="J13169">
            <v>0</v>
          </cell>
        </row>
        <row r="13170">
          <cell r="A13170" t="str">
            <v>SERVYRE</v>
          </cell>
          <cell r="J13170">
            <v>0</v>
          </cell>
        </row>
        <row r="13171">
          <cell r="A13171" t="str">
            <v>SERVYRE</v>
          </cell>
          <cell r="J13171">
            <v>0</v>
          </cell>
        </row>
        <row r="13172">
          <cell r="A13172" t="str">
            <v>SERVYRE</v>
          </cell>
          <cell r="J13172">
            <v>0</v>
          </cell>
        </row>
        <row r="13173">
          <cell r="A13173" t="str">
            <v>SERVYRE</v>
          </cell>
          <cell r="J13173">
            <v>0</v>
          </cell>
        </row>
        <row r="13174">
          <cell r="A13174" t="str">
            <v>SERVYRE</v>
          </cell>
          <cell r="J13174">
            <v>0</v>
          </cell>
        </row>
        <row r="13175">
          <cell r="A13175" t="str">
            <v>SERVYRE</v>
          </cell>
          <cell r="J13175">
            <v>0</v>
          </cell>
        </row>
        <row r="13176">
          <cell r="A13176" t="str">
            <v>SERVYRE</v>
          </cell>
          <cell r="J13176">
            <v>0</v>
          </cell>
        </row>
        <row r="13177">
          <cell r="A13177" t="str">
            <v>SERVYRE</v>
          </cell>
          <cell r="J13177">
            <v>0</v>
          </cell>
        </row>
        <row r="13178">
          <cell r="A13178" t="str">
            <v>SERVYRE</v>
          </cell>
          <cell r="J13178">
            <v>0</v>
          </cell>
        </row>
        <row r="13179">
          <cell r="A13179" t="str">
            <v>SERVYRE</v>
          </cell>
          <cell r="J13179">
            <v>0</v>
          </cell>
        </row>
        <row r="13180">
          <cell r="A13180" t="str">
            <v>SERVYRE</v>
          </cell>
          <cell r="J13180">
            <v>0</v>
          </cell>
        </row>
        <row r="13181">
          <cell r="A13181" t="str">
            <v>SERVYRE</v>
          </cell>
          <cell r="J13181">
            <v>0</v>
          </cell>
        </row>
        <row r="13182">
          <cell r="A13182" t="str">
            <v>SERVYRE</v>
          </cell>
          <cell r="J13182">
            <v>0</v>
          </cell>
        </row>
        <row r="13183">
          <cell r="A13183" t="str">
            <v>SERVYRE</v>
          </cell>
          <cell r="J13183">
            <v>0</v>
          </cell>
        </row>
        <row r="13184">
          <cell r="A13184" t="str">
            <v>SERVYRE</v>
          </cell>
          <cell r="J13184">
            <v>0</v>
          </cell>
        </row>
        <row r="13185">
          <cell r="A13185" t="str">
            <v>SERVYRE</v>
          </cell>
          <cell r="J13185">
            <v>0</v>
          </cell>
        </row>
        <row r="13186">
          <cell r="A13186" t="str">
            <v>SERVYRE</v>
          </cell>
          <cell r="J13186">
            <v>0</v>
          </cell>
        </row>
        <row r="13187">
          <cell r="A13187" t="str">
            <v>SERVYRE</v>
          </cell>
          <cell r="J13187">
            <v>0</v>
          </cell>
        </row>
        <row r="13188">
          <cell r="A13188" t="str">
            <v>SERVYRE</v>
          </cell>
          <cell r="J13188">
            <v>0</v>
          </cell>
        </row>
        <row r="13189">
          <cell r="A13189" t="str">
            <v>SERVYRE</v>
          </cell>
          <cell r="J13189">
            <v>0</v>
          </cell>
        </row>
        <row r="13190">
          <cell r="A13190" t="str">
            <v>SERVYRE</v>
          </cell>
          <cell r="J13190">
            <v>0</v>
          </cell>
        </row>
        <row r="13191">
          <cell r="A13191" t="str">
            <v>SERVYRE</v>
          </cell>
          <cell r="J13191">
            <v>0</v>
          </cell>
        </row>
        <row r="13192">
          <cell r="A13192" t="str">
            <v>SERVYRE</v>
          </cell>
          <cell r="J13192">
            <v>0</v>
          </cell>
        </row>
        <row r="13193">
          <cell r="A13193" t="str">
            <v>SERVYRE</v>
          </cell>
          <cell r="J13193">
            <v>0</v>
          </cell>
        </row>
        <row r="13194">
          <cell r="A13194" t="str">
            <v>SERVYRE</v>
          </cell>
          <cell r="J13194">
            <v>0</v>
          </cell>
        </row>
        <row r="13195">
          <cell r="A13195" t="str">
            <v>SERVYRE</v>
          </cell>
          <cell r="J13195">
            <v>0</v>
          </cell>
        </row>
        <row r="13196">
          <cell r="A13196" t="str">
            <v>SERVYRE</v>
          </cell>
          <cell r="J13196">
            <v>0</v>
          </cell>
        </row>
        <row r="13197">
          <cell r="A13197" t="str">
            <v>SERVYRE</v>
          </cell>
          <cell r="J13197">
            <v>0</v>
          </cell>
        </row>
        <row r="13198">
          <cell r="A13198" t="str">
            <v>SERVYRE</v>
          </cell>
          <cell r="J13198">
            <v>0</v>
          </cell>
        </row>
        <row r="13199">
          <cell r="A13199" t="str">
            <v>SERVYRE</v>
          </cell>
          <cell r="J13199">
            <v>0</v>
          </cell>
        </row>
        <row r="13200">
          <cell r="A13200" t="str">
            <v>SERVYRE</v>
          </cell>
          <cell r="J13200">
            <v>0</v>
          </cell>
        </row>
        <row r="13201">
          <cell r="A13201" t="str">
            <v>SERVYRE</v>
          </cell>
          <cell r="J13201">
            <v>0</v>
          </cell>
        </row>
        <row r="13202">
          <cell r="A13202" t="str">
            <v>SERVYRE</v>
          </cell>
          <cell r="J13202">
            <v>0</v>
          </cell>
        </row>
        <row r="13203">
          <cell r="A13203" t="str">
            <v>SERVYRE</v>
          </cell>
          <cell r="J13203">
            <v>0</v>
          </cell>
        </row>
        <row r="13204">
          <cell r="A13204" t="str">
            <v>SERVYRE</v>
          </cell>
          <cell r="J13204">
            <v>0</v>
          </cell>
        </row>
        <row r="13205">
          <cell r="A13205" t="str">
            <v>SERVYRE</v>
          </cell>
          <cell r="J13205">
            <v>0</v>
          </cell>
        </row>
        <row r="13206">
          <cell r="A13206" t="str">
            <v>SERVYRE</v>
          </cell>
          <cell r="J13206">
            <v>0</v>
          </cell>
        </row>
        <row r="13207">
          <cell r="A13207" t="str">
            <v>SERVYRE</v>
          </cell>
          <cell r="J13207">
            <v>0</v>
          </cell>
        </row>
        <row r="13208">
          <cell r="A13208" t="str">
            <v>SERVYRE</v>
          </cell>
          <cell r="J13208">
            <v>0</v>
          </cell>
        </row>
        <row r="13209">
          <cell r="A13209" t="str">
            <v>SERVYRE</v>
          </cell>
          <cell r="J13209">
            <v>0</v>
          </cell>
        </row>
        <row r="13210">
          <cell r="A13210" t="str">
            <v>SERVYRE</v>
          </cell>
          <cell r="J13210">
            <v>0</v>
          </cell>
        </row>
        <row r="13211">
          <cell r="A13211" t="str">
            <v>SERVYRE</v>
          </cell>
          <cell r="J13211">
            <v>0</v>
          </cell>
        </row>
        <row r="13212">
          <cell r="A13212" t="str">
            <v>SERVYRE</v>
          </cell>
          <cell r="J13212">
            <v>0</v>
          </cell>
        </row>
        <row r="13213">
          <cell r="A13213" t="str">
            <v>SERVYRE</v>
          </cell>
          <cell r="J13213">
            <v>0</v>
          </cell>
        </row>
        <row r="13214">
          <cell r="A13214" t="str">
            <v>SERVYRE</v>
          </cell>
          <cell r="J13214">
            <v>0</v>
          </cell>
        </row>
        <row r="13215">
          <cell r="A13215" t="str">
            <v>SERVYRE</v>
          </cell>
          <cell r="J13215">
            <v>0</v>
          </cell>
        </row>
        <row r="13216">
          <cell r="A13216" t="str">
            <v>SERVYRE</v>
          </cell>
          <cell r="J13216">
            <v>0</v>
          </cell>
        </row>
        <row r="13217">
          <cell r="A13217" t="str">
            <v>SERVYRE</v>
          </cell>
          <cell r="J13217">
            <v>0</v>
          </cell>
        </row>
        <row r="13218">
          <cell r="A13218" t="str">
            <v>SERVYRE</v>
          </cell>
          <cell r="J13218">
            <v>0</v>
          </cell>
        </row>
        <row r="13219">
          <cell r="A13219" t="str">
            <v>SERVYRE</v>
          </cell>
          <cell r="J13219">
            <v>0</v>
          </cell>
        </row>
        <row r="13220">
          <cell r="A13220" t="str">
            <v>SERVYRE</v>
          </cell>
          <cell r="J13220">
            <v>0</v>
          </cell>
        </row>
        <row r="13221">
          <cell r="A13221" t="str">
            <v>SERVYRE</v>
          </cell>
          <cell r="J13221">
            <v>0</v>
          </cell>
        </row>
        <row r="13222">
          <cell r="A13222" t="str">
            <v>SERVYRE</v>
          </cell>
          <cell r="J13222">
            <v>0</v>
          </cell>
        </row>
        <row r="13223">
          <cell r="A13223" t="str">
            <v>SERVYRE</v>
          </cell>
          <cell r="J13223">
            <v>0</v>
          </cell>
        </row>
        <row r="13224">
          <cell r="A13224" t="str">
            <v>SERVYRE</v>
          </cell>
          <cell r="J13224">
            <v>0</v>
          </cell>
        </row>
        <row r="13225">
          <cell r="A13225" t="str">
            <v>SERVYRE</v>
          </cell>
          <cell r="J13225">
            <v>0</v>
          </cell>
        </row>
        <row r="13226">
          <cell r="A13226" t="str">
            <v>SERVYRE</v>
          </cell>
          <cell r="J13226">
            <v>0</v>
          </cell>
        </row>
        <row r="13227">
          <cell r="A13227" t="str">
            <v>SERVYRE</v>
          </cell>
          <cell r="J13227">
            <v>0</v>
          </cell>
        </row>
        <row r="13228">
          <cell r="A13228" t="str">
            <v>SERVYRE</v>
          </cell>
          <cell r="J13228">
            <v>0</v>
          </cell>
        </row>
        <row r="13229">
          <cell r="A13229" t="str">
            <v>SERVYRE</v>
          </cell>
          <cell r="J13229">
            <v>0</v>
          </cell>
        </row>
        <row r="13230">
          <cell r="A13230" t="str">
            <v>SERVYRE</v>
          </cell>
          <cell r="J13230">
            <v>0</v>
          </cell>
        </row>
        <row r="13231">
          <cell r="A13231" t="str">
            <v>SERVYRE</v>
          </cell>
          <cell r="J13231">
            <v>0</v>
          </cell>
        </row>
        <row r="13232">
          <cell r="A13232" t="str">
            <v>SERVYRE</v>
          </cell>
          <cell r="J13232">
            <v>0</v>
          </cell>
        </row>
        <row r="13233">
          <cell r="A13233" t="str">
            <v>SERVYRE</v>
          </cell>
          <cell r="J13233">
            <v>0</v>
          </cell>
        </row>
        <row r="13234">
          <cell r="A13234" t="str">
            <v>SERVYRE</v>
          </cell>
          <cell r="J13234">
            <v>0</v>
          </cell>
        </row>
        <row r="13235">
          <cell r="A13235" t="str">
            <v>SERVYRE</v>
          </cell>
          <cell r="J13235">
            <v>0</v>
          </cell>
        </row>
        <row r="13236">
          <cell r="A13236" t="str">
            <v>SERVYRE</v>
          </cell>
          <cell r="J13236">
            <v>0</v>
          </cell>
        </row>
        <row r="13237">
          <cell r="A13237" t="str">
            <v>SERVYRE</v>
          </cell>
          <cell r="J13237">
            <v>0</v>
          </cell>
        </row>
        <row r="13238">
          <cell r="A13238" t="str">
            <v>SERVYRE</v>
          </cell>
          <cell r="J13238">
            <v>0</v>
          </cell>
        </row>
        <row r="13239">
          <cell r="A13239" t="str">
            <v>SERVYRE</v>
          </cell>
          <cell r="J13239">
            <v>0</v>
          </cell>
        </row>
        <row r="13240">
          <cell r="A13240" t="str">
            <v>SERVYRE</v>
          </cell>
          <cell r="J13240">
            <v>0</v>
          </cell>
        </row>
        <row r="13241">
          <cell r="A13241" t="str">
            <v>SERVYRE</v>
          </cell>
          <cell r="J13241">
            <v>0</v>
          </cell>
        </row>
        <row r="13242">
          <cell r="A13242" t="str">
            <v>SERVYRE</v>
          </cell>
          <cell r="J13242">
            <v>0</v>
          </cell>
        </row>
        <row r="13243">
          <cell r="A13243" t="str">
            <v>SERVYRE</v>
          </cell>
          <cell r="J13243">
            <v>0</v>
          </cell>
        </row>
        <row r="13244">
          <cell r="A13244" t="str">
            <v>SERVYRE</v>
          </cell>
          <cell r="J13244">
            <v>0</v>
          </cell>
        </row>
        <row r="13245">
          <cell r="A13245" t="str">
            <v>SERVYRE</v>
          </cell>
          <cell r="J13245">
            <v>0</v>
          </cell>
        </row>
        <row r="13246">
          <cell r="A13246" t="str">
            <v>SERVYRE</v>
          </cell>
          <cell r="J13246">
            <v>0</v>
          </cell>
        </row>
        <row r="13247">
          <cell r="A13247" t="str">
            <v>SERVYRE</v>
          </cell>
          <cell r="J13247">
            <v>0</v>
          </cell>
        </row>
        <row r="13248">
          <cell r="A13248" t="str">
            <v>SERVYRE</v>
          </cell>
          <cell r="J13248">
            <v>0</v>
          </cell>
        </row>
        <row r="13249">
          <cell r="A13249" t="str">
            <v>SERVYRE</v>
          </cell>
          <cell r="J13249">
            <v>0</v>
          </cell>
        </row>
        <row r="13250">
          <cell r="A13250" t="str">
            <v>SERVYRE</v>
          </cell>
          <cell r="J13250">
            <v>0</v>
          </cell>
        </row>
        <row r="13251">
          <cell r="A13251" t="str">
            <v>SERVYRE</v>
          </cell>
          <cell r="J13251">
            <v>0</v>
          </cell>
        </row>
        <row r="13252">
          <cell r="A13252" t="str">
            <v>SERVYRE</v>
          </cell>
          <cell r="J13252">
            <v>0</v>
          </cell>
        </row>
        <row r="13253">
          <cell r="A13253" t="str">
            <v>SERVYRE</v>
          </cell>
          <cell r="J13253">
            <v>0</v>
          </cell>
        </row>
        <row r="13254">
          <cell r="A13254" t="str">
            <v>SERVYRE</v>
          </cell>
          <cell r="J13254">
            <v>0</v>
          </cell>
        </row>
        <row r="13255">
          <cell r="A13255" t="str">
            <v>SERVYRE</v>
          </cell>
          <cell r="J13255">
            <v>0</v>
          </cell>
        </row>
        <row r="13256">
          <cell r="A13256" t="str">
            <v>SERVYRE</v>
          </cell>
          <cell r="J13256">
            <v>0</v>
          </cell>
        </row>
        <row r="13257">
          <cell r="A13257" t="str">
            <v>SERVYRE</v>
          </cell>
          <cell r="J13257">
            <v>0</v>
          </cell>
        </row>
        <row r="13258">
          <cell r="A13258" t="str">
            <v>SERVYRE</v>
          </cell>
          <cell r="J13258">
            <v>0</v>
          </cell>
        </row>
        <row r="13259">
          <cell r="A13259" t="str">
            <v>SERVYRE</v>
          </cell>
          <cell r="J13259">
            <v>0</v>
          </cell>
        </row>
        <row r="13260">
          <cell r="A13260" t="str">
            <v>SERVYRE</v>
          </cell>
          <cell r="J13260">
            <v>0</v>
          </cell>
        </row>
        <row r="13261">
          <cell r="A13261" t="str">
            <v>SERVYRE</v>
          </cell>
          <cell r="J13261">
            <v>0</v>
          </cell>
        </row>
        <row r="13262">
          <cell r="A13262" t="str">
            <v>SERVYRE</v>
          </cell>
          <cell r="J13262">
            <v>0</v>
          </cell>
        </row>
        <row r="13263">
          <cell r="A13263" t="str">
            <v>SERVYRE</v>
          </cell>
          <cell r="J13263">
            <v>0</v>
          </cell>
        </row>
        <row r="13264">
          <cell r="A13264" t="str">
            <v>SERVYRE</v>
          </cell>
          <cell r="J13264">
            <v>0</v>
          </cell>
        </row>
        <row r="13265">
          <cell r="A13265" t="str">
            <v>SERVYRE</v>
          </cell>
          <cell r="J13265">
            <v>0</v>
          </cell>
        </row>
        <row r="13266">
          <cell r="A13266" t="str">
            <v>SERVYRE</v>
          </cell>
          <cell r="J13266">
            <v>0</v>
          </cell>
        </row>
        <row r="13267">
          <cell r="A13267" t="str">
            <v>SERVYRE</v>
          </cell>
          <cell r="J13267">
            <v>0</v>
          </cell>
        </row>
        <row r="13268">
          <cell r="A13268" t="str">
            <v>SERVYRE</v>
          </cell>
          <cell r="J13268">
            <v>0</v>
          </cell>
        </row>
        <row r="13269">
          <cell r="A13269" t="str">
            <v>SERVYRE</v>
          </cell>
          <cell r="J13269">
            <v>0</v>
          </cell>
        </row>
        <row r="13270">
          <cell r="A13270" t="str">
            <v>SERVYRE</v>
          </cell>
          <cell r="J13270">
            <v>0</v>
          </cell>
        </row>
        <row r="13271">
          <cell r="A13271" t="str">
            <v>SERVYRE</v>
          </cell>
          <cell r="J13271">
            <v>0</v>
          </cell>
        </row>
        <row r="13272">
          <cell r="A13272" t="str">
            <v>SERVYRE</v>
          </cell>
          <cell r="J13272">
            <v>0</v>
          </cell>
        </row>
        <row r="13273">
          <cell r="A13273" t="str">
            <v>SERVYRE</v>
          </cell>
          <cell r="J13273">
            <v>0</v>
          </cell>
        </row>
        <row r="13274">
          <cell r="A13274" t="str">
            <v>SERVYRE</v>
          </cell>
          <cell r="J13274">
            <v>0</v>
          </cell>
        </row>
        <row r="13275">
          <cell r="A13275" t="str">
            <v>SERVYRE</v>
          </cell>
          <cell r="J13275">
            <v>0</v>
          </cell>
        </row>
        <row r="13276">
          <cell r="A13276" t="str">
            <v>SERVYRE</v>
          </cell>
          <cell r="J13276">
            <v>0</v>
          </cell>
        </row>
        <row r="13277">
          <cell r="A13277" t="str">
            <v>SERVYRE</v>
          </cell>
          <cell r="J13277">
            <v>0</v>
          </cell>
        </row>
        <row r="13278">
          <cell r="A13278" t="str">
            <v>SERVYRE</v>
          </cell>
          <cell r="J13278">
            <v>0</v>
          </cell>
        </row>
        <row r="13279">
          <cell r="A13279" t="str">
            <v>SERVYRE</v>
          </cell>
          <cell r="J13279">
            <v>0</v>
          </cell>
        </row>
        <row r="13280">
          <cell r="A13280" t="str">
            <v>SERVYRE</v>
          </cell>
          <cell r="J13280">
            <v>0</v>
          </cell>
        </row>
        <row r="13281">
          <cell r="A13281" t="str">
            <v>SERVYRE</v>
          </cell>
          <cell r="J13281">
            <v>0</v>
          </cell>
        </row>
        <row r="13282">
          <cell r="A13282" t="str">
            <v>SERVYRE</v>
          </cell>
          <cell r="J13282">
            <v>0</v>
          </cell>
        </row>
        <row r="13283">
          <cell r="A13283" t="str">
            <v>SERVYRE</v>
          </cell>
          <cell r="J13283">
            <v>0</v>
          </cell>
        </row>
        <row r="13284">
          <cell r="A13284" t="str">
            <v>SERVYRE</v>
          </cell>
          <cell r="J13284">
            <v>0</v>
          </cell>
        </row>
        <row r="13285">
          <cell r="A13285" t="str">
            <v>SERVYRE</v>
          </cell>
          <cell r="J13285">
            <v>0</v>
          </cell>
        </row>
        <row r="13286">
          <cell r="A13286" t="str">
            <v>SERVYRE</v>
          </cell>
          <cell r="J13286">
            <v>0</v>
          </cell>
        </row>
        <row r="13287">
          <cell r="A13287" t="str">
            <v>SERVYRE</v>
          </cell>
          <cell r="J13287">
            <v>0</v>
          </cell>
        </row>
        <row r="13288">
          <cell r="A13288" t="str">
            <v>SERVYRE</v>
          </cell>
          <cell r="J13288">
            <v>0</v>
          </cell>
        </row>
        <row r="13289">
          <cell r="A13289" t="str">
            <v>SERVYRE</v>
          </cell>
          <cell r="J13289">
            <v>0</v>
          </cell>
        </row>
        <row r="13290">
          <cell r="A13290" t="str">
            <v>SERVYRE</v>
          </cell>
          <cell r="J13290">
            <v>0</v>
          </cell>
        </row>
        <row r="13291">
          <cell r="A13291" t="str">
            <v>SERVYRE</v>
          </cell>
          <cell r="J13291">
            <v>0</v>
          </cell>
        </row>
        <row r="13292">
          <cell r="A13292" t="str">
            <v>SERVYRE</v>
          </cell>
          <cell r="J13292">
            <v>0</v>
          </cell>
        </row>
        <row r="13293">
          <cell r="A13293" t="str">
            <v>SERVYRE</v>
          </cell>
          <cell r="J13293">
            <v>0</v>
          </cell>
        </row>
        <row r="13294">
          <cell r="A13294" t="str">
            <v>SERVYRE</v>
          </cell>
          <cell r="J13294">
            <v>0</v>
          </cell>
        </row>
        <row r="13295">
          <cell r="A13295" t="str">
            <v>SERVYRE</v>
          </cell>
          <cell r="J13295">
            <v>0</v>
          </cell>
        </row>
        <row r="13296">
          <cell r="A13296" t="str">
            <v>SERVYRE</v>
          </cell>
          <cell r="J13296">
            <v>0</v>
          </cell>
        </row>
        <row r="13297">
          <cell r="A13297" t="str">
            <v>SERVYRE</v>
          </cell>
          <cell r="J13297">
            <v>0</v>
          </cell>
        </row>
        <row r="13298">
          <cell r="A13298" t="str">
            <v>SERVYRE</v>
          </cell>
          <cell r="J13298">
            <v>0</v>
          </cell>
        </row>
        <row r="13299">
          <cell r="A13299" t="str">
            <v>SERVYRE</v>
          </cell>
          <cell r="J13299">
            <v>0</v>
          </cell>
        </row>
        <row r="13300">
          <cell r="A13300" t="str">
            <v>SERVYRE</v>
          </cell>
          <cell r="J13300">
            <v>0</v>
          </cell>
        </row>
        <row r="13301">
          <cell r="A13301" t="str">
            <v>SERVYRE</v>
          </cell>
          <cell r="J13301">
            <v>0</v>
          </cell>
        </row>
        <row r="13302">
          <cell r="A13302" t="str">
            <v>SERVYRE</v>
          </cell>
          <cell r="J13302">
            <v>0</v>
          </cell>
        </row>
        <row r="13303">
          <cell r="A13303" t="str">
            <v>SERVYRE</v>
          </cell>
          <cell r="J13303">
            <v>0</v>
          </cell>
        </row>
        <row r="13304">
          <cell r="A13304" t="str">
            <v>SERVYRE</v>
          </cell>
          <cell r="J13304">
            <v>0</v>
          </cell>
        </row>
        <row r="13305">
          <cell r="A13305" t="str">
            <v>SERVYRE</v>
          </cell>
          <cell r="J13305">
            <v>0</v>
          </cell>
        </row>
        <row r="13306">
          <cell r="A13306" t="str">
            <v>SERVYRE</v>
          </cell>
          <cell r="J13306">
            <v>0</v>
          </cell>
        </row>
        <row r="13307">
          <cell r="A13307" t="str">
            <v>SERVYRE</v>
          </cell>
          <cell r="J13307">
            <v>0</v>
          </cell>
        </row>
        <row r="13308">
          <cell r="A13308" t="str">
            <v>SERVYRE</v>
          </cell>
          <cell r="J13308">
            <v>0</v>
          </cell>
        </row>
        <row r="13309">
          <cell r="A13309" t="str">
            <v>SERVYRE</v>
          </cell>
          <cell r="J13309">
            <v>0</v>
          </cell>
        </row>
        <row r="13310">
          <cell r="A13310" t="str">
            <v>SERVYRE</v>
          </cell>
          <cell r="J13310">
            <v>0</v>
          </cell>
        </row>
        <row r="13311">
          <cell r="A13311" t="str">
            <v>SERVYRE</v>
          </cell>
          <cell r="J13311">
            <v>0</v>
          </cell>
        </row>
        <row r="13312">
          <cell r="A13312" t="str">
            <v>SERVYRE</v>
          </cell>
          <cell r="J13312">
            <v>0</v>
          </cell>
        </row>
        <row r="13313">
          <cell r="A13313" t="str">
            <v>SERVYRE</v>
          </cell>
          <cell r="J13313">
            <v>0</v>
          </cell>
        </row>
        <row r="13314">
          <cell r="A13314" t="str">
            <v>SERVYRE</v>
          </cell>
          <cell r="J13314">
            <v>0</v>
          </cell>
        </row>
        <row r="13315">
          <cell r="A13315" t="str">
            <v>SERVYRE</v>
          </cell>
          <cell r="J13315">
            <v>0</v>
          </cell>
        </row>
        <row r="13316">
          <cell r="A13316" t="str">
            <v>SERVYRE</v>
          </cell>
          <cell r="J13316">
            <v>0</v>
          </cell>
        </row>
        <row r="13317">
          <cell r="A13317" t="str">
            <v>SERVYRE</v>
          </cell>
          <cell r="J13317">
            <v>0</v>
          </cell>
        </row>
        <row r="13318">
          <cell r="A13318" t="str">
            <v>SERVYRE</v>
          </cell>
          <cell r="J13318">
            <v>0</v>
          </cell>
        </row>
        <row r="13319">
          <cell r="A13319" t="str">
            <v>SERVYRE</v>
          </cell>
          <cell r="J13319">
            <v>0</v>
          </cell>
        </row>
        <row r="13320">
          <cell r="A13320" t="str">
            <v>SERVYRE</v>
          </cell>
          <cell r="J13320">
            <v>0</v>
          </cell>
        </row>
        <row r="13321">
          <cell r="A13321" t="str">
            <v>SERVYRE</v>
          </cell>
          <cell r="J13321">
            <v>0</v>
          </cell>
        </row>
        <row r="13322">
          <cell r="A13322" t="str">
            <v>SERVYRE</v>
          </cell>
          <cell r="J13322">
            <v>0</v>
          </cell>
        </row>
        <row r="13323">
          <cell r="A13323" t="str">
            <v>SERVYRE</v>
          </cell>
          <cell r="J13323">
            <v>0</v>
          </cell>
        </row>
        <row r="13324">
          <cell r="A13324" t="str">
            <v>SERVYRE</v>
          </cell>
          <cell r="J13324">
            <v>0</v>
          </cell>
        </row>
        <row r="13325">
          <cell r="A13325" t="str">
            <v>SERVYRE</v>
          </cell>
          <cell r="J13325">
            <v>0</v>
          </cell>
        </row>
        <row r="13326">
          <cell r="A13326" t="str">
            <v>SERVYRE</v>
          </cell>
          <cell r="J13326">
            <v>0</v>
          </cell>
        </row>
        <row r="13327">
          <cell r="A13327" t="str">
            <v>SERVYRE</v>
          </cell>
          <cell r="J13327">
            <v>0</v>
          </cell>
        </row>
        <row r="13328">
          <cell r="A13328" t="str">
            <v>SERVYRE</v>
          </cell>
          <cell r="J13328">
            <v>0</v>
          </cell>
        </row>
        <row r="13329">
          <cell r="A13329" t="str">
            <v>SERVYRE</v>
          </cell>
          <cell r="J13329">
            <v>0</v>
          </cell>
        </row>
        <row r="13330">
          <cell r="A13330" t="str">
            <v>SERVYRE</v>
          </cell>
          <cell r="J13330">
            <v>0</v>
          </cell>
        </row>
        <row r="13331">
          <cell r="A13331" t="str">
            <v>SERVYRE</v>
          </cell>
          <cell r="J13331">
            <v>0</v>
          </cell>
        </row>
        <row r="13332">
          <cell r="A13332" t="str">
            <v>SERVYRE</v>
          </cell>
          <cell r="J13332">
            <v>0</v>
          </cell>
        </row>
        <row r="13333">
          <cell r="A13333" t="str">
            <v>SERVYRE</v>
          </cell>
          <cell r="J13333">
            <v>0</v>
          </cell>
        </row>
        <row r="13334">
          <cell r="A13334" t="str">
            <v>SERVYRE</v>
          </cell>
          <cell r="J13334">
            <v>0</v>
          </cell>
        </row>
        <row r="13335">
          <cell r="A13335" t="str">
            <v>SERVYRE</v>
          </cell>
          <cell r="J13335">
            <v>0</v>
          </cell>
        </row>
        <row r="13336">
          <cell r="A13336" t="str">
            <v>SERVYRE</v>
          </cell>
          <cell r="J13336">
            <v>0</v>
          </cell>
        </row>
        <row r="13337">
          <cell r="A13337" t="str">
            <v>SERVYRE</v>
          </cell>
          <cell r="J13337">
            <v>0</v>
          </cell>
        </row>
        <row r="13338">
          <cell r="A13338" t="str">
            <v>SERVYRE</v>
          </cell>
          <cell r="J13338">
            <v>0</v>
          </cell>
        </row>
        <row r="13339">
          <cell r="A13339" t="str">
            <v>SERVYRE</v>
          </cell>
          <cell r="J13339">
            <v>0</v>
          </cell>
        </row>
        <row r="13340">
          <cell r="A13340" t="str">
            <v>SERVYRE</v>
          </cell>
          <cell r="J13340">
            <v>0</v>
          </cell>
        </row>
        <row r="13341">
          <cell r="A13341" t="str">
            <v>SERVYRE</v>
          </cell>
          <cell r="J13341">
            <v>0</v>
          </cell>
        </row>
        <row r="13342">
          <cell r="A13342" t="str">
            <v>SERVYRE</v>
          </cell>
          <cell r="J13342">
            <v>0</v>
          </cell>
        </row>
        <row r="13343">
          <cell r="A13343" t="str">
            <v>SERVYRE</v>
          </cell>
          <cell r="J13343">
            <v>0</v>
          </cell>
        </row>
        <row r="13344">
          <cell r="A13344" t="str">
            <v>SERVYRE</v>
          </cell>
          <cell r="J13344">
            <v>0</v>
          </cell>
        </row>
        <row r="13345">
          <cell r="A13345" t="str">
            <v>SERVYRE</v>
          </cell>
          <cell r="J13345">
            <v>0</v>
          </cell>
        </row>
        <row r="13346">
          <cell r="A13346" t="str">
            <v>SERVYRE</v>
          </cell>
          <cell r="J13346">
            <v>0</v>
          </cell>
        </row>
        <row r="13347">
          <cell r="A13347" t="str">
            <v>SERVYRE</v>
          </cell>
          <cell r="J13347">
            <v>0</v>
          </cell>
        </row>
        <row r="13348">
          <cell r="A13348" t="str">
            <v>SERVYRE</v>
          </cell>
          <cell r="J13348">
            <v>0</v>
          </cell>
        </row>
        <row r="13349">
          <cell r="A13349" t="str">
            <v>SERVYRE</v>
          </cell>
          <cell r="J13349">
            <v>0</v>
          </cell>
        </row>
        <row r="13350">
          <cell r="A13350" t="str">
            <v>SERVYRE</v>
          </cell>
          <cell r="J13350">
            <v>0</v>
          </cell>
        </row>
        <row r="13351">
          <cell r="A13351" t="str">
            <v>SERVYRE</v>
          </cell>
          <cell r="J13351">
            <v>0</v>
          </cell>
        </row>
        <row r="13352">
          <cell r="A13352" t="str">
            <v>SERVYRE</v>
          </cell>
          <cell r="J13352">
            <v>0</v>
          </cell>
        </row>
        <row r="13353">
          <cell r="A13353" t="str">
            <v>SERVYRE</v>
          </cell>
          <cell r="J13353">
            <v>0</v>
          </cell>
        </row>
        <row r="13354">
          <cell r="A13354" t="str">
            <v>SERVYRE</v>
          </cell>
          <cell r="J13354">
            <v>0</v>
          </cell>
        </row>
        <row r="13355">
          <cell r="A13355" t="str">
            <v>SERVYRE</v>
          </cell>
          <cell r="J13355">
            <v>0</v>
          </cell>
        </row>
        <row r="13356">
          <cell r="A13356" t="str">
            <v>SERVYRE</v>
          </cell>
          <cell r="J13356">
            <v>0</v>
          </cell>
        </row>
        <row r="13357">
          <cell r="A13357" t="str">
            <v>SERVYRE</v>
          </cell>
          <cell r="J13357">
            <v>0</v>
          </cell>
        </row>
        <row r="13358">
          <cell r="A13358" t="str">
            <v>SERVYRE</v>
          </cell>
          <cell r="J13358">
            <v>0</v>
          </cell>
        </row>
        <row r="13359">
          <cell r="A13359" t="str">
            <v>SERVYRE</v>
          </cell>
          <cell r="J13359">
            <v>0</v>
          </cell>
        </row>
        <row r="13360">
          <cell r="A13360" t="str">
            <v>SERVYRE</v>
          </cell>
          <cell r="J13360">
            <v>0</v>
          </cell>
        </row>
        <row r="13361">
          <cell r="A13361" t="str">
            <v>SERVYRE</v>
          </cell>
          <cell r="J13361">
            <v>0</v>
          </cell>
        </row>
        <row r="13362">
          <cell r="A13362" t="str">
            <v>SERVYRE</v>
          </cell>
          <cell r="J13362">
            <v>0</v>
          </cell>
        </row>
        <row r="13363">
          <cell r="A13363" t="str">
            <v>SERVYRE</v>
          </cell>
          <cell r="J13363">
            <v>0</v>
          </cell>
        </row>
        <row r="13364">
          <cell r="A13364" t="str">
            <v>SERVYRE</v>
          </cell>
          <cell r="J13364">
            <v>0</v>
          </cell>
        </row>
        <row r="13365">
          <cell r="A13365" t="str">
            <v>SERVYRE</v>
          </cell>
          <cell r="J13365">
            <v>0</v>
          </cell>
        </row>
        <row r="13366">
          <cell r="A13366" t="str">
            <v>SERVYRE</v>
          </cell>
          <cell r="J13366">
            <v>0</v>
          </cell>
        </row>
        <row r="13367">
          <cell r="A13367" t="str">
            <v>SERVYRE</v>
          </cell>
          <cell r="J13367">
            <v>0</v>
          </cell>
        </row>
        <row r="13368">
          <cell r="A13368" t="str">
            <v>SERVYRE</v>
          </cell>
          <cell r="J13368">
            <v>0</v>
          </cell>
        </row>
        <row r="13369">
          <cell r="A13369" t="str">
            <v>SERVYRE</v>
          </cell>
          <cell r="J13369">
            <v>0</v>
          </cell>
        </row>
        <row r="13370">
          <cell r="A13370" t="str">
            <v>SERVYRE</v>
          </cell>
          <cell r="J13370">
            <v>0</v>
          </cell>
        </row>
        <row r="13371">
          <cell r="A13371" t="str">
            <v>SERVYRE</v>
          </cell>
          <cell r="J13371">
            <v>0</v>
          </cell>
        </row>
        <row r="13372">
          <cell r="A13372" t="str">
            <v>SERVYRE</v>
          </cell>
          <cell r="J13372">
            <v>0</v>
          </cell>
        </row>
        <row r="13373">
          <cell r="A13373" t="str">
            <v>SERVYRE</v>
          </cell>
          <cell r="J13373">
            <v>0</v>
          </cell>
        </row>
        <row r="13374">
          <cell r="A13374" t="str">
            <v>SERVYRE</v>
          </cell>
          <cell r="J13374">
            <v>0</v>
          </cell>
        </row>
        <row r="13375">
          <cell r="A13375" t="str">
            <v>SERVYRE</v>
          </cell>
          <cell r="J13375">
            <v>0</v>
          </cell>
        </row>
        <row r="13376">
          <cell r="A13376" t="str">
            <v>SERVYRE</v>
          </cell>
          <cell r="J13376">
            <v>0</v>
          </cell>
        </row>
        <row r="13377">
          <cell r="A13377" t="str">
            <v>SERVYRE</v>
          </cell>
          <cell r="J13377">
            <v>0</v>
          </cell>
        </row>
        <row r="13378">
          <cell r="A13378" t="str">
            <v>SERVYRE</v>
          </cell>
          <cell r="J13378">
            <v>0</v>
          </cell>
        </row>
        <row r="13379">
          <cell r="A13379" t="str">
            <v>SERVYRE</v>
          </cell>
          <cell r="J13379">
            <v>0</v>
          </cell>
        </row>
        <row r="13380">
          <cell r="A13380" t="str">
            <v>SERVYRE</v>
          </cell>
          <cell r="J13380">
            <v>0</v>
          </cell>
        </row>
        <row r="13381">
          <cell r="A13381" t="str">
            <v>SERVYRE</v>
          </cell>
          <cell r="J13381">
            <v>0</v>
          </cell>
        </row>
        <row r="13382">
          <cell r="A13382" t="str">
            <v>SERVYRE</v>
          </cell>
          <cell r="J13382">
            <v>0</v>
          </cell>
        </row>
        <row r="13383">
          <cell r="A13383" t="str">
            <v>SERVYRE</v>
          </cell>
          <cell r="J13383">
            <v>0</v>
          </cell>
        </row>
        <row r="13384">
          <cell r="A13384" t="str">
            <v>SERVYRE</v>
          </cell>
          <cell r="J13384">
            <v>0</v>
          </cell>
        </row>
        <row r="13385">
          <cell r="A13385" t="str">
            <v>SERVYRE</v>
          </cell>
          <cell r="J13385">
            <v>0</v>
          </cell>
        </row>
        <row r="13386">
          <cell r="A13386" t="str">
            <v>SERVYRE</v>
          </cell>
          <cell r="J13386">
            <v>0</v>
          </cell>
        </row>
        <row r="13387">
          <cell r="A13387" t="str">
            <v>SERVYRE</v>
          </cell>
          <cell r="J13387">
            <v>0</v>
          </cell>
        </row>
        <row r="13388">
          <cell r="A13388" t="str">
            <v>SERVYRE</v>
          </cell>
          <cell r="J13388">
            <v>0</v>
          </cell>
        </row>
        <row r="13389">
          <cell r="A13389" t="str">
            <v>SERVYRE</v>
          </cell>
          <cell r="J13389">
            <v>0</v>
          </cell>
        </row>
        <row r="13390">
          <cell r="A13390" t="str">
            <v>SERVYRE</v>
          </cell>
          <cell r="J13390">
            <v>0</v>
          </cell>
        </row>
        <row r="13391">
          <cell r="A13391" t="str">
            <v>SERVYRE</v>
          </cell>
          <cell r="J13391">
            <v>0</v>
          </cell>
        </row>
        <row r="13392">
          <cell r="A13392" t="str">
            <v>SERVYRE</v>
          </cell>
          <cell r="J13392">
            <v>0</v>
          </cell>
        </row>
        <row r="13393">
          <cell r="A13393" t="str">
            <v>SERVYRE</v>
          </cell>
          <cell r="J13393">
            <v>0</v>
          </cell>
        </row>
        <row r="13394">
          <cell r="A13394" t="str">
            <v>SERVYRE</v>
          </cell>
          <cell r="J13394">
            <v>0</v>
          </cell>
        </row>
        <row r="13395">
          <cell r="A13395" t="str">
            <v>SERVYRE</v>
          </cell>
          <cell r="J13395">
            <v>0</v>
          </cell>
        </row>
        <row r="13396">
          <cell r="A13396" t="str">
            <v>SERVYRE</v>
          </cell>
          <cell r="J13396">
            <v>0</v>
          </cell>
        </row>
        <row r="13397">
          <cell r="A13397" t="str">
            <v>SERVYRE</v>
          </cell>
          <cell r="J13397">
            <v>0</v>
          </cell>
        </row>
        <row r="13398">
          <cell r="A13398" t="str">
            <v>SERVYRE</v>
          </cell>
          <cell r="J13398">
            <v>0</v>
          </cell>
        </row>
        <row r="13399">
          <cell r="A13399" t="str">
            <v>SERVYRE</v>
          </cell>
          <cell r="J13399">
            <v>0</v>
          </cell>
        </row>
        <row r="13400">
          <cell r="A13400" t="str">
            <v>SERVYRE</v>
          </cell>
          <cell r="J13400">
            <v>0</v>
          </cell>
        </row>
        <row r="13401">
          <cell r="A13401" t="str">
            <v>SERVYRE</v>
          </cell>
          <cell r="J13401">
            <v>0</v>
          </cell>
        </row>
        <row r="13402">
          <cell r="A13402" t="str">
            <v>SERVYRE</v>
          </cell>
          <cell r="J13402">
            <v>0</v>
          </cell>
        </row>
        <row r="13403">
          <cell r="A13403" t="str">
            <v>SERVYRE</v>
          </cell>
          <cell r="J13403">
            <v>0</v>
          </cell>
        </row>
        <row r="13404">
          <cell r="A13404" t="str">
            <v>SERVYRE</v>
          </cell>
          <cell r="J13404">
            <v>0</v>
          </cell>
        </row>
        <row r="13405">
          <cell r="A13405" t="str">
            <v>SERVYRE</v>
          </cell>
          <cell r="J13405">
            <v>0</v>
          </cell>
        </row>
        <row r="13406">
          <cell r="A13406" t="str">
            <v>SERVYRE</v>
          </cell>
          <cell r="J13406">
            <v>0</v>
          </cell>
        </row>
        <row r="13407">
          <cell r="A13407" t="str">
            <v>SERVYRE</v>
          </cell>
          <cell r="J13407">
            <v>0</v>
          </cell>
        </row>
        <row r="13408">
          <cell r="A13408" t="str">
            <v>SERVYRE</v>
          </cell>
          <cell r="J13408">
            <v>0</v>
          </cell>
        </row>
        <row r="13409">
          <cell r="A13409" t="str">
            <v>SERVYRE</v>
          </cell>
          <cell r="J13409">
            <v>0</v>
          </cell>
        </row>
        <row r="13410">
          <cell r="A13410" t="str">
            <v>SERVYRE</v>
          </cell>
          <cell r="J13410">
            <v>0</v>
          </cell>
        </row>
        <row r="13411">
          <cell r="A13411" t="str">
            <v>SERVYRE</v>
          </cell>
          <cell r="J13411">
            <v>0</v>
          </cell>
        </row>
        <row r="13412">
          <cell r="A13412" t="str">
            <v>SERVYRE</v>
          </cell>
          <cell r="J13412">
            <v>0</v>
          </cell>
        </row>
        <row r="13413">
          <cell r="A13413" t="str">
            <v>SERVYRE</v>
          </cell>
          <cell r="J13413">
            <v>0</v>
          </cell>
        </row>
        <row r="13414">
          <cell r="A13414" t="str">
            <v>SERVYRE</v>
          </cell>
          <cell r="J13414">
            <v>0</v>
          </cell>
        </row>
        <row r="13415">
          <cell r="A13415" t="str">
            <v>SERVYRE</v>
          </cell>
          <cell r="J13415">
            <v>0</v>
          </cell>
        </row>
        <row r="13416">
          <cell r="A13416" t="str">
            <v>SERVYRE</v>
          </cell>
          <cell r="J13416">
            <v>0</v>
          </cell>
        </row>
        <row r="13417">
          <cell r="A13417" t="str">
            <v>SERVYRE</v>
          </cell>
          <cell r="J13417">
            <v>0</v>
          </cell>
        </row>
        <row r="13418">
          <cell r="A13418" t="str">
            <v>SERVYRE</v>
          </cell>
          <cell r="J13418">
            <v>0</v>
          </cell>
        </row>
        <row r="13419">
          <cell r="A13419" t="str">
            <v>SERVYRE</v>
          </cell>
          <cell r="J13419">
            <v>0</v>
          </cell>
        </row>
        <row r="13420">
          <cell r="A13420" t="str">
            <v>SERVYRE</v>
          </cell>
          <cell r="J13420">
            <v>0</v>
          </cell>
        </row>
        <row r="13421">
          <cell r="A13421" t="str">
            <v>SERVYRE</v>
          </cell>
          <cell r="J13421">
            <v>0</v>
          </cell>
        </row>
        <row r="13422">
          <cell r="A13422" t="str">
            <v>SERVYRE</v>
          </cell>
          <cell r="J13422">
            <v>0</v>
          </cell>
        </row>
        <row r="13423">
          <cell r="A13423" t="str">
            <v>SERVYRE</v>
          </cell>
          <cell r="J13423">
            <v>0</v>
          </cell>
        </row>
        <row r="13424">
          <cell r="A13424" t="str">
            <v>SERVYRE</v>
          </cell>
          <cell r="J13424">
            <v>0</v>
          </cell>
        </row>
        <row r="13425">
          <cell r="A13425" t="str">
            <v>SERVYRE</v>
          </cell>
          <cell r="J13425">
            <v>0</v>
          </cell>
        </row>
        <row r="13426">
          <cell r="A13426" t="str">
            <v>SERVYRE</v>
          </cell>
          <cell r="J13426">
            <v>0</v>
          </cell>
        </row>
        <row r="13427">
          <cell r="A13427" t="str">
            <v>SERVYRE</v>
          </cell>
          <cell r="J13427">
            <v>0</v>
          </cell>
        </row>
        <row r="13428">
          <cell r="A13428" t="str">
            <v>SERVYRE</v>
          </cell>
          <cell r="J13428">
            <v>0</v>
          </cell>
        </row>
        <row r="13429">
          <cell r="A13429" t="str">
            <v>SERVYRE</v>
          </cell>
          <cell r="J13429">
            <v>0</v>
          </cell>
        </row>
        <row r="13430">
          <cell r="A13430" t="str">
            <v>SERVYRE</v>
          </cell>
          <cell r="J13430">
            <v>0</v>
          </cell>
        </row>
        <row r="13431">
          <cell r="A13431" t="str">
            <v>SERVYRE</v>
          </cell>
          <cell r="J13431">
            <v>0</v>
          </cell>
        </row>
        <row r="13432">
          <cell r="A13432" t="str">
            <v>SERVYRE</v>
          </cell>
          <cell r="J13432">
            <v>0</v>
          </cell>
        </row>
        <row r="13433">
          <cell r="A13433" t="str">
            <v>SERVYRE</v>
          </cell>
          <cell r="J13433">
            <v>0</v>
          </cell>
        </row>
        <row r="13434">
          <cell r="A13434" t="str">
            <v>SERVYRE</v>
          </cell>
          <cell r="J13434">
            <v>0</v>
          </cell>
        </row>
        <row r="13435">
          <cell r="A13435" t="str">
            <v>SERVYRE</v>
          </cell>
          <cell r="J13435">
            <v>0</v>
          </cell>
        </row>
        <row r="13436">
          <cell r="A13436" t="str">
            <v>SERVYRE</v>
          </cell>
          <cell r="J13436">
            <v>0</v>
          </cell>
        </row>
        <row r="13437">
          <cell r="A13437" t="str">
            <v>SERVYRE</v>
          </cell>
          <cell r="J13437">
            <v>0</v>
          </cell>
        </row>
        <row r="13438">
          <cell r="A13438" t="str">
            <v>SERVYRE</v>
          </cell>
          <cell r="J13438">
            <v>0</v>
          </cell>
        </row>
        <row r="13439">
          <cell r="A13439" t="str">
            <v>SERVYRE</v>
          </cell>
          <cell r="J13439">
            <v>0</v>
          </cell>
        </row>
        <row r="13440">
          <cell r="A13440" t="str">
            <v>SERVYRE</v>
          </cell>
          <cell r="J13440">
            <v>0</v>
          </cell>
        </row>
        <row r="13441">
          <cell r="A13441" t="str">
            <v>SERVYRE</v>
          </cell>
          <cell r="J13441">
            <v>0</v>
          </cell>
        </row>
        <row r="13442">
          <cell r="A13442" t="str">
            <v>SERVYRE</v>
          </cell>
          <cell r="J13442">
            <v>0</v>
          </cell>
        </row>
        <row r="13443">
          <cell r="A13443" t="str">
            <v>SERVYRE</v>
          </cell>
          <cell r="J13443">
            <v>0</v>
          </cell>
        </row>
        <row r="13444">
          <cell r="A13444" t="str">
            <v>SERVYRE</v>
          </cell>
          <cell r="J13444">
            <v>0</v>
          </cell>
        </row>
        <row r="13445">
          <cell r="A13445" t="str">
            <v>SERVYRE</v>
          </cell>
          <cell r="J13445">
            <v>0</v>
          </cell>
        </row>
        <row r="13446">
          <cell r="A13446" t="str">
            <v>SERVYRE</v>
          </cell>
          <cell r="J13446">
            <v>0</v>
          </cell>
        </row>
        <row r="13447">
          <cell r="A13447" t="str">
            <v>SERVYRE</v>
          </cell>
          <cell r="J13447">
            <v>0</v>
          </cell>
        </row>
        <row r="13448">
          <cell r="A13448" t="str">
            <v>SERVYRE</v>
          </cell>
          <cell r="J13448">
            <v>0</v>
          </cell>
        </row>
        <row r="13449">
          <cell r="A13449" t="str">
            <v>SERVYRE</v>
          </cell>
          <cell r="J13449">
            <v>0</v>
          </cell>
        </row>
        <row r="13450">
          <cell r="A13450" t="str">
            <v>SERVYRE</v>
          </cell>
          <cell r="J13450">
            <v>0</v>
          </cell>
        </row>
        <row r="13451">
          <cell r="A13451" t="str">
            <v>SERVYRE</v>
          </cell>
          <cell r="J13451">
            <v>0</v>
          </cell>
        </row>
        <row r="13452">
          <cell r="A13452" t="str">
            <v>SERVYRE</v>
          </cell>
          <cell r="J13452">
            <v>0</v>
          </cell>
        </row>
        <row r="13453">
          <cell r="A13453" t="str">
            <v>SERVYRE</v>
          </cell>
          <cell r="J13453">
            <v>0</v>
          </cell>
        </row>
        <row r="13454">
          <cell r="A13454" t="str">
            <v>SERVYRE</v>
          </cell>
          <cell r="J13454">
            <v>0</v>
          </cell>
        </row>
        <row r="13455">
          <cell r="A13455" t="str">
            <v>SERVYRE</v>
          </cell>
          <cell r="J13455">
            <v>0</v>
          </cell>
        </row>
        <row r="13456">
          <cell r="A13456" t="str">
            <v>SERVYRE</v>
          </cell>
          <cell r="J13456">
            <v>0</v>
          </cell>
        </row>
        <row r="13457">
          <cell r="A13457" t="str">
            <v>SERVYRE</v>
          </cell>
          <cell r="J13457">
            <v>0</v>
          </cell>
        </row>
        <row r="13458">
          <cell r="A13458" t="str">
            <v>SERVYRE</v>
          </cell>
          <cell r="J13458">
            <v>0</v>
          </cell>
        </row>
        <row r="13459">
          <cell r="A13459" t="str">
            <v>SERVYRE</v>
          </cell>
          <cell r="J13459">
            <v>0</v>
          </cell>
        </row>
        <row r="13460">
          <cell r="A13460" t="str">
            <v>SERVYRE</v>
          </cell>
          <cell r="J13460">
            <v>0</v>
          </cell>
        </row>
        <row r="13461">
          <cell r="A13461" t="str">
            <v>SERVYRE</v>
          </cell>
          <cell r="J13461">
            <v>0</v>
          </cell>
        </row>
        <row r="13462">
          <cell r="A13462" t="str">
            <v>SERVYRE</v>
          </cell>
          <cell r="J13462">
            <v>0</v>
          </cell>
        </row>
        <row r="13463">
          <cell r="A13463" t="str">
            <v>SERVYRE</v>
          </cell>
          <cell r="J13463">
            <v>0</v>
          </cell>
        </row>
        <row r="13464">
          <cell r="A13464" t="str">
            <v>SERVYRE</v>
          </cell>
          <cell r="J13464">
            <v>0</v>
          </cell>
        </row>
        <row r="13465">
          <cell r="A13465" t="str">
            <v>SERVYRE</v>
          </cell>
          <cell r="J13465">
            <v>0</v>
          </cell>
        </row>
        <row r="13466">
          <cell r="A13466" t="str">
            <v>SERVYRE</v>
          </cell>
          <cell r="J13466">
            <v>0</v>
          </cell>
        </row>
        <row r="13467">
          <cell r="A13467" t="str">
            <v>SERVYRE</v>
          </cell>
          <cell r="J13467">
            <v>0</v>
          </cell>
        </row>
        <row r="13468">
          <cell r="A13468" t="str">
            <v>SERVYRE</v>
          </cell>
          <cell r="J13468">
            <v>0</v>
          </cell>
        </row>
        <row r="13469">
          <cell r="A13469" t="str">
            <v>SERVYRE</v>
          </cell>
          <cell r="J13469">
            <v>0</v>
          </cell>
        </row>
        <row r="13470">
          <cell r="A13470" t="str">
            <v>SERVYRE</v>
          </cell>
          <cell r="J13470">
            <v>0</v>
          </cell>
        </row>
        <row r="13471">
          <cell r="A13471" t="str">
            <v>SERVYRE</v>
          </cell>
          <cell r="J13471">
            <v>0</v>
          </cell>
        </row>
        <row r="13472">
          <cell r="A13472" t="str">
            <v>SERVYRE</v>
          </cell>
          <cell r="J13472">
            <v>0</v>
          </cell>
        </row>
        <row r="13473">
          <cell r="A13473" t="str">
            <v>SERVYRE</v>
          </cell>
          <cell r="J13473">
            <v>0</v>
          </cell>
        </row>
        <row r="13474">
          <cell r="A13474" t="str">
            <v>SERVYRE</v>
          </cell>
          <cell r="J13474">
            <v>0</v>
          </cell>
        </row>
        <row r="13475">
          <cell r="A13475" t="str">
            <v>SERVYRE</v>
          </cell>
          <cell r="J13475">
            <v>0</v>
          </cell>
        </row>
        <row r="13476">
          <cell r="A13476" t="str">
            <v>SERVYRE</v>
          </cell>
          <cell r="J13476">
            <v>0</v>
          </cell>
        </row>
        <row r="13477">
          <cell r="A13477" t="str">
            <v>SERVYRE</v>
          </cell>
          <cell r="J13477">
            <v>0</v>
          </cell>
        </row>
        <row r="13478">
          <cell r="A13478" t="str">
            <v>SERVYRE</v>
          </cell>
          <cell r="J13478">
            <v>0</v>
          </cell>
        </row>
        <row r="13479">
          <cell r="A13479" t="str">
            <v>SERVYRE</v>
          </cell>
          <cell r="J13479">
            <v>0</v>
          </cell>
        </row>
        <row r="13480">
          <cell r="A13480" t="str">
            <v>SERVYRE</v>
          </cell>
          <cell r="J13480">
            <v>0</v>
          </cell>
        </row>
        <row r="13481">
          <cell r="A13481" t="str">
            <v>SERVYRE</v>
          </cell>
          <cell r="J13481">
            <v>0</v>
          </cell>
        </row>
        <row r="13482">
          <cell r="A13482" t="str">
            <v>SERVYRE</v>
          </cell>
          <cell r="J13482">
            <v>0</v>
          </cell>
        </row>
        <row r="13483">
          <cell r="A13483" t="str">
            <v>SERVYRE</v>
          </cell>
          <cell r="J13483">
            <v>0</v>
          </cell>
        </row>
        <row r="13484">
          <cell r="A13484" t="str">
            <v>SERVYRE</v>
          </cell>
          <cell r="J13484">
            <v>0</v>
          </cell>
        </row>
        <row r="13485">
          <cell r="A13485" t="str">
            <v>SERVYRE</v>
          </cell>
          <cell r="J13485">
            <v>0</v>
          </cell>
        </row>
        <row r="13486">
          <cell r="A13486" t="str">
            <v>SERVYRE</v>
          </cell>
          <cell r="J13486">
            <v>0</v>
          </cell>
        </row>
        <row r="13487">
          <cell r="A13487" t="str">
            <v>SERVYRE</v>
          </cell>
          <cell r="J13487">
            <v>0</v>
          </cell>
        </row>
        <row r="13488">
          <cell r="A13488" t="str">
            <v>SERVYRE</v>
          </cell>
          <cell r="J13488">
            <v>0</v>
          </cell>
        </row>
        <row r="13489">
          <cell r="A13489" t="str">
            <v>SERVYRE</v>
          </cell>
          <cell r="J13489">
            <v>0</v>
          </cell>
        </row>
        <row r="13490">
          <cell r="A13490" t="str">
            <v>SERVYRE</v>
          </cell>
          <cell r="J13490">
            <v>0</v>
          </cell>
        </row>
        <row r="13491">
          <cell r="A13491" t="str">
            <v>SERVYRE</v>
          </cell>
          <cell r="J13491">
            <v>0</v>
          </cell>
        </row>
        <row r="13492">
          <cell r="A13492" t="str">
            <v>SERVYRE</v>
          </cell>
          <cell r="J13492">
            <v>0</v>
          </cell>
        </row>
        <row r="13493">
          <cell r="A13493" t="str">
            <v>SERVYRE</v>
          </cell>
          <cell r="J13493">
            <v>0</v>
          </cell>
        </row>
        <row r="13494">
          <cell r="A13494" t="str">
            <v>SERVYRE</v>
          </cell>
          <cell r="J13494">
            <v>0</v>
          </cell>
        </row>
        <row r="13495">
          <cell r="A13495" t="str">
            <v>SERVYRE</v>
          </cell>
          <cell r="J13495">
            <v>0</v>
          </cell>
        </row>
        <row r="13496">
          <cell r="A13496" t="str">
            <v>SERVYRE</v>
          </cell>
          <cell r="J13496">
            <v>0</v>
          </cell>
        </row>
        <row r="13497">
          <cell r="A13497" t="str">
            <v>SERVYRE</v>
          </cell>
          <cell r="J13497">
            <v>0</v>
          </cell>
        </row>
        <row r="13498">
          <cell r="A13498" t="str">
            <v>SERVYRE</v>
          </cell>
          <cell r="J13498">
            <v>0</v>
          </cell>
        </row>
        <row r="13499">
          <cell r="A13499" t="str">
            <v>SERVYRE</v>
          </cell>
          <cell r="J13499">
            <v>0</v>
          </cell>
        </row>
        <row r="13500">
          <cell r="A13500" t="str">
            <v>SERVYRE</v>
          </cell>
          <cell r="J13500">
            <v>0</v>
          </cell>
        </row>
        <row r="13501">
          <cell r="A13501" t="str">
            <v>SERVYRE</v>
          </cell>
          <cell r="J13501">
            <v>0</v>
          </cell>
        </row>
        <row r="13502">
          <cell r="A13502" t="str">
            <v>SERVYRE</v>
          </cell>
          <cell r="J13502">
            <v>0</v>
          </cell>
        </row>
        <row r="13503">
          <cell r="A13503" t="str">
            <v>SERVYRE</v>
          </cell>
          <cell r="J13503">
            <v>0</v>
          </cell>
        </row>
        <row r="13504">
          <cell r="A13504" t="str">
            <v>SERVYRE</v>
          </cell>
          <cell r="J13504">
            <v>0</v>
          </cell>
        </row>
        <row r="13505">
          <cell r="A13505" t="str">
            <v>SERVYRE</v>
          </cell>
          <cell r="J13505">
            <v>0</v>
          </cell>
        </row>
        <row r="13506">
          <cell r="A13506" t="str">
            <v>SERVYRE</v>
          </cell>
          <cell r="J13506">
            <v>0</v>
          </cell>
        </row>
        <row r="13507">
          <cell r="A13507" t="str">
            <v>SERVYRE</v>
          </cell>
          <cell r="J13507">
            <v>0</v>
          </cell>
        </row>
        <row r="13508">
          <cell r="A13508" t="str">
            <v>SERVYRE</v>
          </cell>
          <cell r="J13508">
            <v>0</v>
          </cell>
        </row>
        <row r="13509">
          <cell r="A13509" t="str">
            <v>SERVYRE</v>
          </cell>
          <cell r="J13509">
            <v>0</v>
          </cell>
        </row>
        <row r="13510">
          <cell r="A13510" t="str">
            <v>SERVYRE</v>
          </cell>
          <cell r="J13510">
            <v>0</v>
          </cell>
        </row>
        <row r="13511">
          <cell r="A13511" t="str">
            <v>SERVYRE</v>
          </cell>
          <cell r="J13511">
            <v>0</v>
          </cell>
        </row>
        <row r="13512">
          <cell r="A13512" t="str">
            <v>SERVYRE</v>
          </cell>
          <cell r="J13512">
            <v>0</v>
          </cell>
        </row>
        <row r="13513">
          <cell r="A13513" t="str">
            <v>SERVYRE</v>
          </cell>
          <cell r="J13513">
            <v>0</v>
          </cell>
        </row>
        <row r="13514">
          <cell r="A13514" t="str">
            <v>SERVYRE</v>
          </cell>
          <cell r="J13514">
            <v>0</v>
          </cell>
        </row>
        <row r="13515">
          <cell r="A13515" t="str">
            <v>SERVYRE</v>
          </cell>
          <cell r="J13515">
            <v>0</v>
          </cell>
        </row>
        <row r="13516">
          <cell r="A13516" t="str">
            <v>SERVYRE</v>
          </cell>
          <cell r="J13516">
            <v>0</v>
          </cell>
        </row>
        <row r="13517">
          <cell r="A13517" t="str">
            <v>SERVYRE</v>
          </cell>
          <cell r="J13517">
            <v>0</v>
          </cell>
        </row>
        <row r="13518">
          <cell r="A13518" t="str">
            <v>SERVYRE</v>
          </cell>
          <cell r="J13518">
            <v>0</v>
          </cell>
        </row>
        <row r="13519">
          <cell r="A13519" t="str">
            <v>SERVYRE</v>
          </cell>
          <cell r="J13519">
            <v>0</v>
          </cell>
        </row>
        <row r="13520">
          <cell r="A13520" t="str">
            <v>SERVYRE</v>
          </cell>
          <cell r="J13520">
            <v>0</v>
          </cell>
        </row>
        <row r="13521">
          <cell r="A13521" t="str">
            <v>SERVYRE</v>
          </cell>
          <cell r="J13521">
            <v>0</v>
          </cell>
        </row>
        <row r="13522">
          <cell r="A13522" t="str">
            <v>SERVYRE</v>
          </cell>
          <cell r="J13522">
            <v>0</v>
          </cell>
        </row>
        <row r="13523">
          <cell r="A13523" t="str">
            <v>SERVYRE</v>
          </cell>
          <cell r="J13523">
            <v>0</v>
          </cell>
        </row>
        <row r="13524">
          <cell r="A13524" t="str">
            <v>SERVYRE</v>
          </cell>
          <cell r="J13524">
            <v>0</v>
          </cell>
        </row>
        <row r="13525">
          <cell r="A13525" t="str">
            <v>SERVYRE</v>
          </cell>
          <cell r="J13525">
            <v>0</v>
          </cell>
        </row>
        <row r="13526">
          <cell r="A13526" t="str">
            <v>SERVYRE</v>
          </cell>
          <cell r="J13526">
            <v>0</v>
          </cell>
        </row>
        <row r="13527">
          <cell r="A13527" t="str">
            <v>SERVYRE</v>
          </cell>
          <cell r="J13527">
            <v>0</v>
          </cell>
        </row>
        <row r="13528">
          <cell r="A13528" t="str">
            <v>SERVYRE</v>
          </cell>
          <cell r="J13528">
            <v>0</v>
          </cell>
        </row>
        <row r="13529">
          <cell r="A13529" t="str">
            <v>SERVYRE</v>
          </cell>
          <cell r="J13529">
            <v>0</v>
          </cell>
        </row>
        <row r="13530">
          <cell r="A13530" t="str">
            <v>SERVYRE</v>
          </cell>
          <cell r="J13530">
            <v>0</v>
          </cell>
        </row>
        <row r="13531">
          <cell r="A13531" t="str">
            <v>SERVYRE</v>
          </cell>
          <cell r="J13531">
            <v>0</v>
          </cell>
        </row>
        <row r="13532">
          <cell r="A13532" t="str">
            <v>SERVYRE</v>
          </cell>
          <cell r="J13532">
            <v>0</v>
          </cell>
        </row>
        <row r="13533">
          <cell r="A13533" t="str">
            <v>SERVYRE</v>
          </cell>
          <cell r="J13533">
            <v>0</v>
          </cell>
        </row>
        <row r="13534">
          <cell r="A13534" t="str">
            <v>SERVYRE</v>
          </cell>
          <cell r="J13534">
            <v>0</v>
          </cell>
        </row>
        <row r="13535">
          <cell r="A13535" t="str">
            <v>SERVYRE</v>
          </cell>
          <cell r="J13535">
            <v>0</v>
          </cell>
        </row>
        <row r="13536">
          <cell r="A13536" t="str">
            <v>SERVYRE</v>
          </cell>
          <cell r="J13536">
            <v>0</v>
          </cell>
        </row>
        <row r="13537">
          <cell r="A13537" t="str">
            <v>SERVYRE</v>
          </cell>
          <cell r="J13537">
            <v>0</v>
          </cell>
        </row>
        <row r="13538">
          <cell r="A13538" t="str">
            <v>SERVYRE</v>
          </cell>
          <cell r="J13538">
            <v>0</v>
          </cell>
        </row>
        <row r="13539">
          <cell r="A13539" t="str">
            <v>SERVYRE</v>
          </cell>
          <cell r="J13539">
            <v>0</v>
          </cell>
        </row>
        <row r="13540">
          <cell r="A13540" t="str">
            <v>SERVYRE</v>
          </cell>
          <cell r="J13540">
            <v>0</v>
          </cell>
        </row>
        <row r="13541">
          <cell r="A13541" t="str">
            <v>SERVYRE</v>
          </cell>
          <cell r="J13541">
            <v>0</v>
          </cell>
        </row>
        <row r="13542">
          <cell r="A13542" t="str">
            <v>SERVYRE</v>
          </cell>
          <cell r="J13542">
            <v>0</v>
          </cell>
        </row>
        <row r="13543">
          <cell r="A13543" t="str">
            <v>SERVYRE</v>
          </cell>
          <cell r="J13543">
            <v>0</v>
          </cell>
        </row>
        <row r="13544">
          <cell r="A13544" t="str">
            <v>SERVYRE</v>
          </cell>
          <cell r="J13544">
            <v>0</v>
          </cell>
        </row>
        <row r="13545">
          <cell r="A13545" t="str">
            <v>SERVYRE</v>
          </cell>
          <cell r="J13545">
            <v>0</v>
          </cell>
        </row>
        <row r="13546">
          <cell r="A13546" t="str">
            <v>SERVYRE</v>
          </cell>
          <cell r="J13546">
            <v>0</v>
          </cell>
        </row>
        <row r="13547">
          <cell r="A13547" t="str">
            <v>SERVYRE</v>
          </cell>
          <cell r="J13547">
            <v>0</v>
          </cell>
        </row>
        <row r="13548">
          <cell r="A13548" t="str">
            <v>SERVYRE</v>
          </cell>
          <cell r="J13548">
            <v>0</v>
          </cell>
        </row>
        <row r="13549">
          <cell r="A13549" t="str">
            <v>SERVYRE</v>
          </cell>
          <cell r="J13549">
            <v>0</v>
          </cell>
        </row>
        <row r="13550">
          <cell r="A13550" t="str">
            <v>SERVYRE</v>
          </cell>
          <cell r="J13550">
            <v>0</v>
          </cell>
        </row>
        <row r="13551">
          <cell r="A13551" t="str">
            <v>SERVYRE</v>
          </cell>
          <cell r="J13551">
            <v>0</v>
          </cell>
        </row>
        <row r="13552">
          <cell r="A13552" t="str">
            <v>SERVYRE</v>
          </cell>
          <cell r="J13552">
            <v>0</v>
          </cell>
        </row>
        <row r="13553">
          <cell r="A13553" t="str">
            <v>SERVYRE</v>
          </cell>
          <cell r="J13553">
            <v>0</v>
          </cell>
        </row>
        <row r="13554">
          <cell r="A13554" t="str">
            <v>SERVYRE</v>
          </cell>
          <cell r="J13554">
            <v>0</v>
          </cell>
        </row>
        <row r="13555">
          <cell r="A13555" t="str">
            <v>SERVYRE</v>
          </cell>
          <cell r="J13555">
            <v>0</v>
          </cell>
        </row>
        <row r="13556">
          <cell r="A13556" t="str">
            <v>SERVYRE</v>
          </cell>
          <cell r="J13556">
            <v>0</v>
          </cell>
        </row>
        <row r="13557">
          <cell r="A13557" t="str">
            <v>SERVYRE</v>
          </cell>
          <cell r="J13557">
            <v>0</v>
          </cell>
        </row>
        <row r="13558">
          <cell r="A13558" t="str">
            <v>SERVYRE</v>
          </cell>
          <cell r="J13558">
            <v>0</v>
          </cell>
        </row>
        <row r="13559">
          <cell r="A13559" t="str">
            <v>SERVYRE</v>
          </cell>
          <cell r="J13559">
            <v>0</v>
          </cell>
        </row>
        <row r="13560">
          <cell r="A13560" t="str">
            <v>SERVYRE</v>
          </cell>
          <cell r="J13560">
            <v>0</v>
          </cell>
        </row>
        <row r="13561">
          <cell r="A13561" t="str">
            <v>SERVYRE</v>
          </cell>
          <cell r="J13561">
            <v>0</v>
          </cell>
        </row>
        <row r="13562">
          <cell r="A13562" t="str">
            <v>SERVYRE</v>
          </cell>
          <cell r="J13562">
            <v>0</v>
          </cell>
        </row>
        <row r="13563">
          <cell r="A13563" t="str">
            <v>SERVYRE</v>
          </cell>
          <cell r="J13563">
            <v>0</v>
          </cell>
        </row>
        <row r="13564">
          <cell r="A13564" t="str">
            <v>SERVYRE</v>
          </cell>
          <cell r="J13564">
            <v>0</v>
          </cell>
        </row>
        <row r="13565">
          <cell r="A13565" t="str">
            <v>SERVYRE</v>
          </cell>
          <cell r="J13565">
            <v>0</v>
          </cell>
        </row>
        <row r="13566">
          <cell r="A13566" t="str">
            <v>SERVYRE</v>
          </cell>
          <cell r="J13566">
            <v>0</v>
          </cell>
        </row>
        <row r="13567">
          <cell r="A13567" t="str">
            <v>SERVYRE</v>
          </cell>
          <cell r="J13567">
            <v>0</v>
          </cell>
        </row>
        <row r="13568">
          <cell r="A13568" t="str">
            <v>SERVYRE</v>
          </cell>
          <cell r="J13568">
            <v>0</v>
          </cell>
        </row>
        <row r="13569">
          <cell r="A13569" t="str">
            <v>SERVYRE</v>
          </cell>
          <cell r="J13569">
            <v>0</v>
          </cell>
        </row>
        <row r="13570">
          <cell r="A13570" t="str">
            <v>SERVYRE</v>
          </cell>
          <cell r="J13570">
            <v>0</v>
          </cell>
        </row>
        <row r="13571">
          <cell r="A13571" t="str">
            <v>SERVYRE</v>
          </cell>
          <cell r="J13571">
            <v>0</v>
          </cell>
        </row>
        <row r="13572">
          <cell r="A13572" t="str">
            <v>SERVYRE</v>
          </cell>
          <cell r="J13572">
            <v>0</v>
          </cell>
        </row>
        <row r="13573">
          <cell r="A13573" t="str">
            <v>SERVYRE</v>
          </cell>
          <cell r="J13573">
            <v>0</v>
          </cell>
        </row>
        <row r="13574">
          <cell r="A13574" t="str">
            <v>SERVYRE</v>
          </cell>
          <cell r="J13574">
            <v>0</v>
          </cell>
        </row>
        <row r="13575">
          <cell r="A13575" t="str">
            <v>SERVYRE</v>
          </cell>
          <cell r="J13575">
            <v>0</v>
          </cell>
        </row>
        <row r="13576">
          <cell r="A13576" t="str">
            <v>SERVYRE</v>
          </cell>
          <cell r="J13576">
            <v>0</v>
          </cell>
        </row>
        <row r="13577">
          <cell r="A13577" t="str">
            <v>SERVYRE</v>
          </cell>
          <cell r="J13577">
            <v>0</v>
          </cell>
        </row>
        <row r="13578">
          <cell r="A13578" t="str">
            <v>SERVYRE</v>
          </cell>
          <cell r="J13578">
            <v>0</v>
          </cell>
        </row>
        <row r="13579">
          <cell r="A13579" t="str">
            <v>SERVYRE</v>
          </cell>
          <cell r="J13579">
            <v>0</v>
          </cell>
        </row>
        <row r="13580">
          <cell r="A13580" t="str">
            <v>SERVYRE</v>
          </cell>
          <cell r="J13580">
            <v>0</v>
          </cell>
        </row>
        <row r="13581">
          <cell r="A13581" t="str">
            <v>SERVYRE</v>
          </cell>
          <cell r="J13581">
            <v>0</v>
          </cell>
        </row>
        <row r="13582">
          <cell r="A13582" t="str">
            <v>SERVYRE</v>
          </cell>
          <cell r="J13582">
            <v>0</v>
          </cell>
        </row>
        <row r="13583">
          <cell r="A13583" t="str">
            <v>SERVYRE</v>
          </cell>
          <cell r="J13583">
            <v>0</v>
          </cell>
        </row>
        <row r="13584">
          <cell r="A13584" t="str">
            <v>SERVYRE</v>
          </cell>
          <cell r="J13584">
            <v>0</v>
          </cell>
        </row>
        <row r="13585">
          <cell r="A13585" t="str">
            <v>SERVYRE</v>
          </cell>
          <cell r="J13585">
            <v>0</v>
          </cell>
        </row>
        <row r="13586">
          <cell r="A13586" t="str">
            <v>SERVYRE</v>
          </cell>
          <cell r="J13586">
            <v>0</v>
          </cell>
        </row>
        <row r="13587">
          <cell r="A13587" t="str">
            <v>SERVYRE</v>
          </cell>
          <cell r="J13587">
            <v>0</v>
          </cell>
        </row>
        <row r="13588">
          <cell r="A13588" t="str">
            <v>SERVYRE</v>
          </cell>
          <cell r="J13588">
            <v>0</v>
          </cell>
        </row>
        <row r="13589">
          <cell r="A13589" t="str">
            <v>SERVYRE</v>
          </cell>
          <cell r="J13589">
            <v>0</v>
          </cell>
        </row>
        <row r="13590">
          <cell r="A13590" t="str">
            <v>SERVYRE</v>
          </cell>
          <cell r="J13590">
            <v>0</v>
          </cell>
        </row>
        <row r="13591">
          <cell r="A13591" t="str">
            <v>SERVYRE</v>
          </cell>
          <cell r="J13591">
            <v>0</v>
          </cell>
        </row>
        <row r="13592">
          <cell r="A13592" t="str">
            <v>SERVYRE</v>
          </cell>
          <cell r="J13592">
            <v>0</v>
          </cell>
        </row>
        <row r="13593">
          <cell r="A13593" t="str">
            <v>SERVYRE</v>
          </cell>
          <cell r="J13593">
            <v>0</v>
          </cell>
        </row>
        <row r="13594">
          <cell r="A13594" t="str">
            <v>SERVYRE</v>
          </cell>
          <cell r="J13594">
            <v>0</v>
          </cell>
        </row>
        <row r="13595">
          <cell r="A13595" t="str">
            <v>SERVYRE</v>
          </cell>
          <cell r="J13595">
            <v>0</v>
          </cell>
        </row>
        <row r="13596">
          <cell r="A13596" t="str">
            <v>SERVYRE</v>
          </cell>
          <cell r="J13596">
            <v>0</v>
          </cell>
        </row>
        <row r="13597">
          <cell r="A13597" t="str">
            <v>SERVYRE</v>
          </cell>
          <cell r="J13597">
            <v>0</v>
          </cell>
        </row>
        <row r="13598">
          <cell r="A13598" t="str">
            <v>SERVYRE</v>
          </cell>
          <cell r="J13598">
            <v>0</v>
          </cell>
        </row>
        <row r="13599">
          <cell r="A13599" t="str">
            <v>SERVYRE</v>
          </cell>
          <cell r="J13599">
            <v>0</v>
          </cell>
        </row>
        <row r="13600">
          <cell r="A13600" t="str">
            <v>SERVYRE</v>
          </cell>
          <cell r="J13600">
            <v>0</v>
          </cell>
        </row>
        <row r="13601">
          <cell r="A13601" t="str">
            <v>SERVYRE</v>
          </cell>
          <cell r="J13601">
            <v>0</v>
          </cell>
        </row>
        <row r="13602">
          <cell r="A13602" t="str">
            <v>SERVYRE</v>
          </cell>
          <cell r="J13602">
            <v>0</v>
          </cell>
        </row>
        <row r="13603">
          <cell r="A13603" t="str">
            <v>SERVYRE</v>
          </cell>
          <cell r="J13603">
            <v>0</v>
          </cell>
        </row>
        <row r="13604">
          <cell r="A13604" t="str">
            <v>SERVYRE</v>
          </cell>
          <cell r="J13604">
            <v>0</v>
          </cell>
        </row>
        <row r="13605">
          <cell r="A13605" t="str">
            <v>SERVYRE</v>
          </cell>
          <cell r="J13605">
            <v>0</v>
          </cell>
        </row>
        <row r="13606">
          <cell r="A13606" t="str">
            <v>SERVYRE</v>
          </cell>
          <cell r="J13606">
            <v>0</v>
          </cell>
        </row>
        <row r="13607">
          <cell r="A13607" t="str">
            <v>SERVYRE</v>
          </cell>
          <cell r="J13607">
            <v>0</v>
          </cell>
        </row>
        <row r="13608">
          <cell r="A13608" t="str">
            <v>SERVYRE</v>
          </cell>
          <cell r="J13608">
            <v>0</v>
          </cell>
        </row>
        <row r="13609">
          <cell r="A13609" t="str">
            <v>SERVYRE</v>
          </cell>
          <cell r="J13609">
            <v>0</v>
          </cell>
        </row>
        <row r="13610">
          <cell r="A13610" t="str">
            <v>SERVYRE</v>
          </cell>
          <cell r="J13610">
            <v>0</v>
          </cell>
        </row>
        <row r="13611">
          <cell r="A13611" t="str">
            <v>SERVYRE</v>
          </cell>
          <cell r="J13611">
            <v>0</v>
          </cell>
        </row>
        <row r="13612">
          <cell r="A13612" t="str">
            <v>SERVYRE</v>
          </cell>
          <cell r="J13612">
            <v>0</v>
          </cell>
        </row>
        <row r="13613">
          <cell r="A13613" t="str">
            <v>SERVYRE</v>
          </cell>
          <cell r="J13613">
            <v>0</v>
          </cell>
        </row>
        <row r="13614">
          <cell r="A13614" t="str">
            <v>SERVYRE</v>
          </cell>
          <cell r="J13614">
            <v>0</v>
          </cell>
        </row>
        <row r="13615">
          <cell r="A13615" t="str">
            <v>SERVYRE</v>
          </cell>
          <cell r="J13615">
            <v>0</v>
          </cell>
        </row>
        <row r="13616">
          <cell r="A13616" t="str">
            <v>SERVYRE</v>
          </cell>
          <cell r="J13616">
            <v>0</v>
          </cell>
        </row>
        <row r="13617">
          <cell r="A13617" t="str">
            <v>SERVYRE</v>
          </cell>
          <cell r="J13617">
            <v>0</v>
          </cell>
        </row>
        <row r="13618">
          <cell r="A13618" t="str">
            <v>SERVYRE</v>
          </cell>
          <cell r="J13618">
            <v>0</v>
          </cell>
        </row>
        <row r="13619">
          <cell r="A13619" t="str">
            <v>SERVYRE</v>
          </cell>
          <cell r="J13619">
            <v>0</v>
          </cell>
        </row>
        <row r="13620">
          <cell r="A13620" t="str">
            <v>SERVYRE</v>
          </cell>
          <cell r="J13620">
            <v>0</v>
          </cell>
        </row>
        <row r="13621">
          <cell r="A13621" t="str">
            <v>SERVYRE</v>
          </cell>
          <cell r="J13621">
            <v>0</v>
          </cell>
        </row>
        <row r="13622">
          <cell r="A13622" t="str">
            <v>SERVYRE</v>
          </cell>
          <cell r="J13622">
            <v>0</v>
          </cell>
        </row>
        <row r="13623">
          <cell r="A13623" t="str">
            <v>SERVYRE</v>
          </cell>
          <cell r="J13623">
            <v>0</v>
          </cell>
        </row>
        <row r="13624">
          <cell r="A13624" t="str">
            <v>SERVYRE</v>
          </cell>
          <cell r="J13624">
            <v>0</v>
          </cell>
        </row>
        <row r="13625">
          <cell r="A13625" t="str">
            <v>SERVYRE</v>
          </cell>
          <cell r="J13625">
            <v>0</v>
          </cell>
        </row>
        <row r="13626">
          <cell r="A13626" t="str">
            <v>SERVYRE</v>
          </cell>
          <cell r="J13626">
            <v>0</v>
          </cell>
        </row>
        <row r="13627">
          <cell r="A13627" t="str">
            <v>SERVYRE</v>
          </cell>
          <cell r="J13627">
            <v>0</v>
          </cell>
        </row>
        <row r="13628">
          <cell r="A13628" t="str">
            <v>SERVYRE</v>
          </cell>
          <cell r="J13628">
            <v>0</v>
          </cell>
        </row>
        <row r="13629">
          <cell r="A13629" t="str">
            <v>SERVYRE</v>
          </cell>
          <cell r="J13629">
            <v>0</v>
          </cell>
        </row>
        <row r="13630">
          <cell r="A13630" t="str">
            <v>SERVYRE</v>
          </cell>
          <cell r="J13630">
            <v>0</v>
          </cell>
        </row>
        <row r="13631">
          <cell r="A13631" t="str">
            <v>SERVYRE</v>
          </cell>
          <cell r="J13631">
            <v>0</v>
          </cell>
        </row>
        <row r="13632">
          <cell r="A13632" t="str">
            <v>SERVYRE</v>
          </cell>
          <cell r="J13632">
            <v>0</v>
          </cell>
        </row>
        <row r="13633">
          <cell r="A13633" t="str">
            <v>SERVYRE</v>
          </cell>
          <cell r="J13633">
            <v>0</v>
          </cell>
        </row>
        <row r="13634">
          <cell r="A13634" t="str">
            <v>SERVYRE</v>
          </cell>
          <cell r="J13634">
            <v>0</v>
          </cell>
        </row>
        <row r="13635">
          <cell r="A13635" t="str">
            <v>SERVYRE</v>
          </cell>
          <cell r="J13635">
            <v>0</v>
          </cell>
        </row>
        <row r="13636">
          <cell r="A13636" t="str">
            <v>SERVYRE</v>
          </cell>
          <cell r="J13636">
            <v>0</v>
          </cell>
        </row>
        <row r="13637">
          <cell r="A13637" t="str">
            <v>SERVYRE</v>
          </cell>
          <cell r="J13637">
            <v>0</v>
          </cell>
        </row>
        <row r="13638">
          <cell r="A13638" t="str">
            <v>SERVYRE</v>
          </cell>
          <cell r="J13638">
            <v>0</v>
          </cell>
        </row>
        <row r="13639">
          <cell r="A13639" t="str">
            <v>SERVYRE</v>
          </cell>
          <cell r="J13639">
            <v>0</v>
          </cell>
        </row>
        <row r="13640">
          <cell r="A13640" t="str">
            <v>SERVYRE</v>
          </cell>
          <cell r="J13640">
            <v>0</v>
          </cell>
        </row>
        <row r="13641">
          <cell r="A13641" t="str">
            <v>SERVYRE</v>
          </cell>
          <cell r="J13641">
            <v>0</v>
          </cell>
        </row>
        <row r="13642">
          <cell r="A13642" t="str">
            <v>SERVYRE</v>
          </cell>
          <cell r="J13642">
            <v>0</v>
          </cell>
        </row>
        <row r="13643">
          <cell r="A13643" t="str">
            <v>SERVYRE</v>
          </cell>
          <cell r="J13643">
            <v>0</v>
          </cell>
        </row>
        <row r="13644">
          <cell r="A13644" t="str">
            <v>SERVYRE</v>
          </cell>
          <cell r="J13644">
            <v>0</v>
          </cell>
        </row>
        <row r="13645">
          <cell r="A13645" t="str">
            <v>SERVYRE</v>
          </cell>
          <cell r="J13645">
            <v>0</v>
          </cell>
        </row>
        <row r="13646">
          <cell r="A13646" t="str">
            <v>SERVYRE</v>
          </cell>
          <cell r="J13646">
            <v>0</v>
          </cell>
        </row>
        <row r="13647">
          <cell r="A13647" t="str">
            <v>SERVYRE</v>
          </cell>
          <cell r="J13647">
            <v>0</v>
          </cell>
        </row>
        <row r="13648">
          <cell r="A13648" t="str">
            <v>SERVYRE</v>
          </cell>
          <cell r="J13648">
            <v>0</v>
          </cell>
        </row>
        <row r="13649">
          <cell r="A13649" t="str">
            <v>SERVYRE</v>
          </cell>
          <cell r="J13649">
            <v>0</v>
          </cell>
        </row>
        <row r="13650">
          <cell r="A13650" t="str">
            <v>SERVYRE</v>
          </cell>
          <cell r="J13650">
            <v>0</v>
          </cell>
        </row>
        <row r="13651">
          <cell r="A13651" t="str">
            <v>SERVYRE</v>
          </cell>
          <cell r="J13651">
            <v>0</v>
          </cell>
        </row>
        <row r="13652">
          <cell r="A13652" t="str">
            <v>SERVYRE</v>
          </cell>
          <cell r="J13652">
            <v>0</v>
          </cell>
        </row>
        <row r="13653">
          <cell r="A13653" t="str">
            <v>SERVYRE</v>
          </cell>
          <cell r="J13653">
            <v>0</v>
          </cell>
        </row>
        <row r="13654">
          <cell r="A13654" t="str">
            <v>SERVYRE</v>
          </cell>
          <cell r="J13654">
            <v>0</v>
          </cell>
        </row>
        <row r="13655">
          <cell r="A13655" t="str">
            <v>SERVYRE</v>
          </cell>
          <cell r="J13655">
            <v>0</v>
          </cell>
        </row>
        <row r="13656">
          <cell r="A13656" t="str">
            <v>SERVYRE</v>
          </cell>
          <cell r="J13656">
            <v>0</v>
          </cell>
        </row>
        <row r="13657">
          <cell r="A13657" t="str">
            <v>SERVYRE</v>
          </cell>
          <cell r="J13657">
            <v>0</v>
          </cell>
        </row>
        <row r="13658">
          <cell r="A13658" t="str">
            <v>SERVYRE</v>
          </cell>
          <cell r="J13658">
            <v>0</v>
          </cell>
        </row>
        <row r="13659">
          <cell r="A13659" t="str">
            <v>SERVYRE</v>
          </cell>
          <cell r="J13659">
            <v>0</v>
          </cell>
        </row>
        <row r="13660">
          <cell r="A13660" t="str">
            <v>SERVYRE</v>
          </cell>
          <cell r="J13660">
            <v>0</v>
          </cell>
        </row>
        <row r="13661">
          <cell r="A13661" t="str">
            <v>SERVYRE</v>
          </cell>
          <cell r="J13661">
            <v>0</v>
          </cell>
        </row>
        <row r="13662">
          <cell r="A13662" t="str">
            <v>SERVYRE</v>
          </cell>
          <cell r="J13662">
            <v>0</v>
          </cell>
        </row>
        <row r="13663">
          <cell r="A13663" t="str">
            <v>SERVYRE</v>
          </cell>
          <cell r="J13663">
            <v>0</v>
          </cell>
        </row>
        <row r="13664">
          <cell r="A13664" t="str">
            <v>SERVYRE</v>
          </cell>
          <cell r="J13664">
            <v>0</v>
          </cell>
        </row>
        <row r="13665">
          <cell r="A13665" t="str">
            <v>SERVYRE</v>
          </cell>
          <cell r="J13665">
            <v>0</v>
          </cell>
        </row>
        <row r="13666">
          <cell r="A13666" t="str">
            <v>SERVYRE</v>
          </cell>
          <cell r="J13666">
            <v>0</v>
          </cell>
        </row>
        <row r="13667">
          <cell r="A13667" t="str">
            <v>SERVYRE</v>
          </cell>
          <cell r="J13667">
            <v>0</v>
          </cell>
        </row>
        <row r="13668">
          <cell r="A13668" t="str">
            <v>SERVYRE</v>
          </cell>
          <cell r="J13668">
            <v>0</v>
          </cell>
        </row>
        <row r="13669">
          <cell r="A13669" t="str">
            <v>SERVYRE</v>
          </cell>
          <cell r="J13669">
            <v>0</v>
          </cell>
        </row>
        <row r="13670">
          <cell r="A13670" t="str">
            <v>SERVYRE</v>
          </cell>
          <cell r="J13670">
            <v>0</v>
          </cell>
        </row>
        <row r="13671">
          <cell r="A13671" t="str">
            <v>SERVYRE</v>
          </cell>
          <cell r="J13671">
            <v>0</v>
          </cell>
        </row>
        <row r="13672">
          <cell r="A13672" t="str">
            <v>SERVYRE</v>
          </cell>
          <cell r="J13672">
            <v>0</v>
          </cell>
        </row>
        <row r="13673">
          <cell r="A13673" t="str">
            <v>SERVYRE</v>
          </cell>
          <cell r="J13673">
            <v>0</v>
          </cell>
        </row>
        <row r="13674">
          <cell r="A13674" t="str">
            <v>SERVYRE</v>
          </cell>
          <cell r="J13674">
            <v>0</v>
          </cell>
        </row>
        <row r="13675">
          <cell r="A13675" t="str">
            <v>SERVYRE</v>
          </cell>
          <cell r="J13675">
            <v>0</v>
          </cell>
        </row>
        <row r="13676">
          <cell r="A13676" t="str">
            <v>SERVYRE</v>
          </cell>
          <cell r="J13676">
            <v>0</v>
          </cell>
        </row>
        <row r="13677">
          <cell r="A13677" t="str">
            <v>SERVYRE</v>
          </cell>
          <cell r="J13677">
            <v>0</v>
          </cell>
        </row>
        <row r="13678">
          <cell r="A13678" t="str">
            <v>SERVYRE</v>
          </cell>
          <cell r="J13678">
            <v>0</v>
          </cell>
        </row>
        <row r="13679">
          <cell r="A13679" t="str">
            <v>SERVYRE</v>
          </cell>
          <cell r="J13679">
            <v>0</v>
          </cell>
        </row>
        <row r="13680">
          <cell r="A13680" t="str">
            <v>SERVYRE</v>
          </cell>
          <cell r="J13680">
            <v>0</v>
          </cell>
        </row>
        <row r="13681">
          <cell r="A13681" t="str">
            <v>SERVYRE</v>
          </cell>
          <cell r="J13681">
            <v>0</v>
          </cell>
        </row>
        <row r="13682">
          <cell r="A13682" t="str">
            <v>SERVYRE</v>
          </cell>
          <cell r="J13682">
            <v>0</v>
          </cell>
        </row>
        <row r="13683">
          <cell r="A13683" t="str">
            <v>SERVYRE</v>
          </cell>
          <cell r="J13683">
            <v>0</v>
          </cell>
        </row>
        <row r="13684">
          <cell r="A13684" t="str">
            <v>SERVYRE</v>
          </cell>
          <cell r="J13684">
            <v>0</v>
          </cell>
        </row>
        <row r="13685">
          <cell r="A13685" t="str">
            <v>SERVYRE</v>
          </cell>
          <cell r="J13685">
            <v>0</v>
          </cell>
        </row>
        <row r="13686">
          <cell r="A13686" t="str">
            <v>SERVYRE</v>
          </cell>
          <cell r="J13686">
            <v>0</v>
          </cell>
        </row>
        <row r="13687">
          <cell r="A13687" t="str">
            <v>SERVYRE</v>
          </cell>
          <cell r="J13687">
            <v>0</v>
          </cell>
        </row>
        <row r="13688">
          <cell r="A13688" t="str">
            <v>SERVYRE</v>
          </cell>
          <cell r="J13688">
            <v>0</v>
          </cell>
        </row>
        <row r="13689">
          <cell r="A13689" t="str">
            <v>SERVYRE</v>
          </cell>
          <cell r="J13689">
            <v>0</v>
          </cell>
        </row>
        <row r="13690">
          <cell r="A13690" t="str">
            <v>SERVYRE</v>
          </cell>
          <cell r="J13690">
            <v>0</v>
          </cell>
        </row>
        <row r="13691">
          <cell r="A13691" t="str">
            <v>SERVYRE</v>
          </cell>
          <cell r="J13691">
            <v>0</v>
          </cell>
        </row>
        <row r="13692">
          <cell r="A13692" t="str">
            <v>SERVYRE</v>
          </cell>
          <cell r="J13692">
            <v>0</v>
          </cell>
        </row>
        <row r="13693">
          <cell r="A13693" t="str">
            <v>SERVYRE</v>
          </cell>
          <cell r="J13693">
            <v>0</v>
          </cell>
        </row>
        <row r="13694">
          <cell r="A13694" t="str">
            <v>SERVYRE</v>
          </cell>
          <cell r="J13694">
            <v>0</v>
          </cell>
        </row>
        <row r="13695">
          <cell r="A13695" t="str">
            <v>SERVYRE</v>
          </cell>
          <cell r="J13695">
            <v>0</v>
          </cell>
        </row>
        <row r="13696">
          <cell r="A13696" t="str">
            <v>SERVYRE</v>
          </cell>
          <cell r="J13696">
            <v>0</v>
          </cell>
        </row>
        <row r="13697">
          <cell r="A13697" t="str">
            <v>SERVYRE</v>
          </cell>
          <cell r="J13697">
            <v>0</v>
          </cell>
        </row>
        <row r="13698">
          <cell r="A13698" t="str">
            <v>SERVYRE</v>
          </cell>
          <cell r="J13698">
            <v>0</v>
          </cell>
        </row>
        <row r="13699">
          <cell r="A13699" t="str">
            <v>SERVYRE</v>
          </cell>
          <cell r="J13699">
            <v>0</v>
          </cell>
        </row>
        <row r="13700">
          <cell r="A13700" t="str">
            <v>SERVYRE</v>
          </cell>
          <cell r="J13700">
            <v>0</v>
          </cell>
        </row>
        <row r="13701">
          <cell r="A13701" t="str">
            <v>SERVYRE</v>
          </cell>
          <cell r="J13701">
            <v>0</v>
          </cell>
        </row>
        <row r="13702">
          <cell r="A13702" t="str">
            <v>SERVYRE</v>
          </cell>
          <cell r="J13702">
            <v>0</v>
          </cell>
        </row>
        <row r="13703">
          <cell r="A13703" t="str">
            <v>SERVYRE</v>
          </cell>
          <cell r="J13703">
            <v>0</v>
          </cell>
        </row>
        <row r="13704">
          <cell r="A13704" t="str">
            <v>SERVYRE</v>
          </cell>
          <cell r="J13704">
            <v>0</v>
          </cell>
        </row>
        <row r="13705">
          <cell r="A13705" t="str">
            <v>SERVYRE</v>
          </cell>
          <cell r="J13705">
            <v>0</v>
          </cell>
        </row>
        <row r="13706">
          <cell r="A13706" t="str">
            <v>SERVYRE</v>
          </cell>
          <cell r="J13706">
            <v>0</v>
          </cell>
        </row>
        <row r="13707">
          <cell r="A13707" t="str">
            <v>SERVYRE</v>
          </cell>
          <cell r="J13707">
            <v>0</v>
          </cell>
        </row>
        <row r="13708">
          <cell r="A13708" t="str">
            <v>SERVYRE</v>
          </cell>
          <cell r="J13708">
            <v>0</v>
          </cell>
        </row>
        <row r="13709">
          <cell r="A13709" t="str">
            <v>SERVYRE</v>
          </cell>
          <cell r="J13709">
            <v>0</v>
          </cell>
        </row>
        <row r="13710">
          <cell r="A13710" t="str">
            <v>SERVYRE</v>
          </cell>
          <cell r="J13710">
            <v>0</v>
          </cell>
        </row>
        <row r="13711">
          <cell r="A13711" t="str">
            <v>SERVYRE</v>
          </cell>
          <cell r="J13711">
            <v>0</v>
          </cell>
        </row>
        <row r="13712">
          <cell r="A13712" t="str">
            <v>SERVYRE</v>
          </cell>
          <cell r="J13712">
            <v>0</v>
          </cell>
        </row>
        <row r="13713">
          <cell r="A13713" t="str">
            <v>SERVYRE</v>
          </cell>
          <cell r="J13713">
            <v>0</v>
          </cell>
        </row>
        <row r="13714">
          <cell r="A13714" t="str">
            <v>SERVYRE</v>
          </cell>
          <cell r="J13714">
            <v>0</v>
          </cell>
        </row>
        <row r="13715">
          <cell r="A13715" t="str">
            <v>SERVYRE</v>
          </cell>
          <cell r="J13715">
            <v>0</v>
          </cell>
        </row>
        <row r="13716">
          <cell r="A13716" t="str">
            <v>SERVYRE</v>
          </cell>
          <cell r="J13716">
            <v>0</v>
          </cell>
        </row>
        <row r="13717">
          <cell r="A13717" t="str">
            <v>SERVYRE</v>
          </cell>
          <cell r="J13717">
            <v>0</v>
          </cell>
        </row>
        <row r="13718">
          <cell r="A13718" t="str">
            <v>SERVYRE</v>
          </cell>
          <cell r="J13718">
            <v>0</v>
          </cell>
        </row>
        <row r="13719">
          <cell r="A13719" t="str">
            <v>SERVYRE</v>
          </cell>
          <cell r="J13719">
            <v>0</v>
          </cell>
        </row>
        <row r="13720">
          <cell r="A13720" t="str">
            <v>SERVYRE</v>
          </cell>
          <cell r="J13720">
            <v>0</v>
          </cell>
        </row>
        <row r="13721">
          <cell r="A13721" t="str">
            <v>SERVYRE</v>
          </cell>
          <cell r="J13721">
            <v>0</v>
          </cell>
        </row>
        <row r="13722">
          <cell r="A13722" t="str">
            <v>SERVYRE</v>
          </cell>
          <cell r="J13722">
            <v>0</v>
          </cell>
        </row>
        <row r="13723">
          <cell r="A13723" t="str">
            <v>SERVYRE</v>
          </cell>
          <cell r="J13723">
            <v>0</v>
          </cell>
        </row>
        <row r="13724">
          <cell r="A13724" t="str">
            <v>SERVYRE</v>
          </cell>
          <cell r="J13724">
            <v>0</v>
          </cell>
        </row>
        <row r="13725">
          <cell r="A13725" t="str">
            <v>SERVYRE</v>
          </cell>
          <cell r="J13725">
            <v>0</v>
          </cell>
        </row>
        <row r="13726">
          <cell r="A13726" t="str">
            <v>SERVYRE</v>
          </cell>
          <cell r="J13726">
            <v>0</v>
          </cell>
        </row>
        <row r="13727">
          <cell r="A13727" t="str">
            <v>SERVYRE</v>
          </cell>
          <cell r="J13727">
            <v>0</v>
          </cell>
        </row>
        <row r="13728">
          <cell r="A13728" t="str">
            <v>SERVYRE</v>
          </cell>
          <cell r="J13728">
            <v>0</v>
          </cell>
        </row>
        <row r="13729">
          <cell r="A13729" t="str">
            <v>SERVYRE</v>
          </cell>
          <cell r="J13729">
            <v>0</v>
          </cell>
        </row>
        <row r="13730">
          <cell r="A13730" t="str">
            <v>SERVYRE</v>
          </cell>
          <cell r="J13730">
            <v>0</v>
          </cell>
        </row>
        <row r="13731">
          <cell r="A13731" t="str">
            <v>SERVYRE</v>
          </cell>
          <cell r="J13731">
            <v>0</v>
          </cell>
        </row>
        <row r="13732">
          <cell r="A13732" t="str">
            <v>SERVYRE</v>
          </cell>
          <cell r="J13732">
            <v>0</v>
          </cell>
        </row>
        <row r="13733">
          <cell r="A13733" t="str">
            <v>SERVYRE</v>
          </cell>
          <cell r="J13733">
            <v>0</v>
          </cell>
        </row>
        <row r="13734">
          <cell r="A13734" t="str">
            <v>SERVYRE</v>
          </cell>
          <cell r="J13734">
            <v>0</v>
          </cell>
        </row>
        <row r="13735">
          <cell r="A13735" t="str">
            <v>SERVYRE</v>
          </cell>
          <cell r="J13735">
            <v>0</v>
          </cell>
        </row>
        <row r="13736">
          <cell r="A13736" t="str">
            <v>SERVYRE</v>
          </cell>
          <cell r="J13736">
            <v>0</v>
          </cell>
        </row>
        <row r="13737">
          <cell r="A13737" t="str">
            <v>SERVYRE</v>
          </cell>
          <cell r="J13737">
            <v>0</v>
          </cell>
        </row>
        <row r="13738">
          <cell r="A13738" t="str">
            <v>SERVYRE</v>
          </cell>
          <cell r="J13738">
            <v>0</v>
          </cell>
        </row>
        <row r="13739">
          <cell r="A13739" t="str">
            <v>SERVYRE</v>
          </cell>
          <cell r="J13739">
            <v>0</v>
          </cell>
        </row>
        <row r="13740">
          <cell r="A13740" t="str">
            <v>SERVYRE</v>
          </cell>
          <cell r="J13740">
            <v>0</v>
          </cell>
        </row>
        <row r="13741">
          <cell r="A13741" t="str">
            <v>SERVYRE</v>
          </cell>
          <cell r="J13741">
            <v>0</v>
          </cell>
        </row>
        <row r="13742">
          <cell r="A13742" t="str">
            <v>SERVYRE</v>
          </cell>
          <cell r="J13742">
            <v>0</v>
          </cell>
        </row>
        <row r="13743">
          <cell r="A13743" t="str">
            <v>SERVYRE</v>
          </cell>
          <cell r="J13743">
            <v>0</v>
          </cell>
        </row>
        <row r="13744">
          <cell r="A13744" t="str">
            <v>SERVYRE</v>
          </cell>
          <cell r="J13744">
            <v>0</v>
          </cell>
        </row>
        <row r="13745">
          <cell r="A13745" t="str">
            <v>SERVYRE</v>
          </cell>
          <cell r="J13745">
            <v>0</v>
          </cell>
        </row>
        <row r="13746">
          <cell r="A13746" t="str">
            <v>SERVYRE</v>
          </cell>
          <cell r="J13746">
            <v>0</v>
          </cell>
        </row>
        <row r="13747">
          <cell r="A13747" t="str">
            <v>SERVYRE</v>
          </cell>
          <cell r="J13747">
            <v>0</v>
          </cell>
        </row>
        <row r="13748">
          <cell r="A13748" t="str">
            <v>SERVYRE</v>
          </cell>
          <cell r="J13748">
            <v>0</v>
          </cell>
        </row>
        <row r="13749">
          <cell r="A13749" t="str">
            <v>SERVYRE</v>
          </cell>
          <cell r="J13749">
            <v>0</v>
          </cell>
        </row>
        <row r="13750">
          <cell r="A13750" t="str">
            <v>SERVYRE</v>
          </cell>
          <cell r="J13750">
            <v>0</v>
          </cell>
        </row>
        <row r="13751">
          <cell r="A13751" t="str">
            <v>SERVYRE</v>
          </cell>
          <cell r="J13751">
            <v>0</v>
          </cell>
        </row>
        <row r="13752">
          <cell r="A13752" t="str">
            <v>SERVYRE</v>
          </cell>
          <cell r="J13752">
            <v>0</v>
          </cell>
        </row>
        <row r="13753">
          <cell r="A13753" t="str">
            <v>SERVYRE</v>
          </cell>
          <cell r="J13753">
            <v>0</v>
          </cell>
        </row>
        <row r="13754">
          <cell r="A13754" t="str">
            <v>SERVYRE</v>
          </cell>
          <cell r="J13754">
            <v>0</v>
          </cell>
        </row>
        <row r="13755">
          <cell r="A13755" t="str">
            <v>SERVYRE</v>
          </cell>
          <cell r="J13755">
            <v>0</v>
          </cell>
        </row>
        <row r="13756">
          <cell r="A13756" t="str">
            <v>SERVYRE</v>
          </cell>
          <cell r="J13756">
            <v>0</v>
          </cell>
        </row>
        <row r="13757">
          <cell r="A13757" t="str">
            <v>SERVYRE</v>
          </cell>
          <cell r="J13757">
            <v>0</v>
          </cell>
        </row>
        <row r="13758">
          <cell r="A13758" t="str">
            <v>SERVYRE</v>
          </cell>
          <cell r="J13758">
            <v>0</v>
          </cell>
        </row>
        <row r="13759">
          <cell r="A13759" t="str">
            <v>SERVYRE</v>
          </cell>
          <cell r="J13759">
            <v>0</v>
          </cell>
        </row>
        <row r="13760">
          <cell r="A13760" t="str">
            <v>SERVYRE</v>
          </cell>
          <cell r="J13760">
            <v>0</v>
          </cell>
        </row>
        <row r="13761">
          <cell r="A13761" t="str">
            <v>SERVYRE</v>
          </cell>
          <cell r="J13761">
            <v>0</v>
          </cell>
        </row>
        <row r="13762">
          <cell r="A13762" t="str">
            <v>SERVYRE</v>
          </cell>
          <cell r="J13762">
            <v>0</v>
          </cell>
        </row>
        <row r="13763">
          <cell r="A13763" t="str">
            <v>SERVYRE</v>
          </cell>
          <cell r="J13763">
            <v>0</v>
          </cell>
        </row>
        <row r="13764">
          <cell r="A13764" t="str">
            <v>SERVYRE</v>
          </cell>
          <cell r="J13764">
            <v>0</v>
          </cell>
        </row>
        <row r="13765">
          <cell r="A13765" t="str">
            <v>SERVYRE</v>
          </cell>
          <cell r="J13765">
            <v>0</v>
          </cell>
        </row>
        <row r="13766">
          <cell r="A13766" t="str">
            <v>SERVYRE</v>
          </cell>
          <cell r="J13766">
            <v>0</v>
          </cell>
        </row>
        <row r="13767">
          <cell r="A13767" t="str">
            <v>SERVYRE</v>
          </cell>
          <cell r="J13767">
            <v>0</v>
          </cell>
        </row>
        <row r="13768">
          <cell r="A13768" t="str">
            <v>SERVYRE</v>
          </cell>
          <cell r="J13768">
            <v>0</v>
          </cell>
        </row>
        <row r="13769">
          <cell r="A13769" t="str">
            <v>SERVYRE</v>
          </cell>
          <cell r="J13769">
            <v>0</v>
          </cell>
        </row>
        <row r="13770">
          <cell r="A13770" t="str">
            <v>SERVYRE</v>
          </cell>
          <cell r="J13770">
            <v>0</v>
          </cell>
        </row>
        <row r="13771">
          <cell r="A13771" t="str">
            <v>SERVYRE</v>
          </cell>
          <cell r="J13771">
            <v>0</v>
          </cell>
        </row>
        <row r="13772">
          <cell r="A13772" t="str">
            <v>SERVYRE</v>
          </cell>
          <cell r="J13772">
            <v>0</v>
          </cell>
        </row>
        <row r="13773">
          <cell r="A13773" t="str">
            <v>SERVYRE</v>
          </cell>
          <cell r="J13773">
            <v>0</v>
          </cell>
        </row>
        <row r="13774">
          <cell r="A13774" t="str">
            <v>SERVYRE</v>
          </cell>
          <cell r="J13774">
            <v>0</v>
          </cell>
        </row>
        <row r="13775">
          <cell r="A13775" t="str">
            <v>SERVYRE</v>
          </cell>
          <cell r="J13775">
            <v>0</v>
          </cell>
        </row>
        <row r="13776">
          <cell r="A13776" t="str">
            <v>SERVYRE</v>
          </cell>
          <cell r="J13776">
            <v>0</v>
          </cell>
        </row>
        <row r="13777">
          <cell r="A13777" t="str">
            <v>SERVYRE</v>
          </cell>
          <cell r="J13777">
            <v>0</v>
          </cell>
        </row>
        <row r="13778">
          <cell r="A13778" t="str">
            <v>SERVYRE</v>
          </cell>
          <cell r="J13778">
            <v>0</v>
          </cell>
        </row>
        <row r="13779">
          <cell r="A13779" t="str">
            <v>SERVYRE</v>
          </cell>
          <cell r="J13779">
            <v>0</v>
          </cell>
        </row>
        <row r="13780">
          <cell r="J13780">
            <v>0</v>
          </cell>
        </row>
        <row r="13781">
          <cell r="J13781">
            <v>0</v>
          </cell>
        </row>
        <row r="13782">
          <cell r="A13782" t="str">
            <v>FERVIC</v>
          </cell>
          <cell r="B13782" t="str">
            <v>101-00000-000-0000</v>
          </cell>
          <cell r="J13782">
            <v>61696313.350000001</v>
          </cell>
        </row>
        <row r="13783">
          <cell r="A13783" t="str">
            <v>FERVIC</v>
          </cell>
          <cell r="B13783" t="str">
            <v>101-00002-000-0000</v>
          </cell>
          <cell r="J13783">
            <v>224157.73</v>
          </cell>
        </row>
        <row r="13784">
          <cell r="A13784" t="str">
            <v>FERVIC</v>
          </cell>
          <cell r="B13784" t="str">
            <v>101-00002-002-0000</v>
          </cell>
          <cell r="J13784">
            <v>24945.17</v>
          </cell>
        </row>
        <row r="13785">
          <cell r="A13785" t="str">
            <v>FERVIC</v>
          </cell>
          <cell r="B13785" t="str">
            <v>101-00002-002-0011</v>
          </cell>
          <cell r="J13785">
            <v>24945.17</v>
          </cell>
        </row>
        <row r="13786">
          <cell r="A13786" t="str">
            <v>FERVIC</v>
          </cell>
          <cell r="B13786" t="str">
            <v>101-00002-003-0000</v>
          </cell>
          <cell r="J13786">
            <v>150318.45000000001</v>
          </cell>
        </row>
        <row r="13787">
          <cell r="A13787" t="str">
            <v>FERVIC</v>
          </cell>
          <cell r="B13787" t="str">
            <v>101-00002-003-0013</v>
          </cell>
          <cell r="J13787">
            <v>120204.85</v>
          </cell>
        </row>
        <row r="13788">
          <cell r="A13788" t="str">
            <v>FERVIC</v>
          </cell>
          <cell r="B13788" t="str">
            <v>101-00002-003-0055</v>
          </cell>
          <cell r="J13788">
            <v>30113.599999999999</v>
          </cell>
        </row>
        <row r="13789">
          <cell r="A13789" t="str">
            <v>FERVIC</v>
          </cell>
          <cell r="B13789" t="str">
            <v>101-00002-009-0000</v>
          </cell>
          <cell r="J13789">
            <v>21364.06</v>
          </cell>
        </row>
        <row r="13790">
          <cell r="A13790" t="str">
            <v>FERVIC</v>
          </cell>
          <cell r="B13790" t="str">
            <v>101-00002-009-0004</v>
          </cell>
          <cell r="J13790">
            <v>21364.06</v>
          </cell>
        </row>
        <row r="13791">
          <cell r="A13791" t="str">
            <v>FERVIC</v>
          </cell>
          <cell r="B13791" t="str">
            <v>101-00002-010-0000</v>
          </cell>
          <cell r="J13791">
            <v>27530.05</v>
          </cell>
        </row>
        <row r="13792">
          <cell r="A13792" t="str">
            <v>FERVIC</v>
          </cell>
          <cell r="B13792" t="str">
            <v>101-00002-010-0002</v>
          </cell>
          <cell r="J13792">
            <v>27530.05</v>
          </cell>
        </row>
        <row r="13793">
          <cell r="A13793" t="str">
            <v>FERVIC</v>
          </cell>
          <cell r="B13793" t="str">
            <v>101-00004-000-0000</v>
          </cell>
          <cell r="J13793">
            <v>29342904.170000002</v>
          </cell>
        </row>
        <row r="13794">
          <cell r="A13794" t="str">
            <v>FERVIC</v>
          </cell>
          <cell r="B13794" t="str">
            <v>101-00004-002-0000</v>
          </cell>
          <cell r="J13794">
            <v>28008904.170000002</v>
          </cell>
        </row>
        <row r="13795">
          <cell r="A13795" t="str">
            <v>FERVIC</v>
          </cell>
          <cell r="B13795" t="str">
            <v>101-00004-002-0956</v>
          </cell>
          <cell r="J13795">
            <v>4270681.7300000004</v>
          </cell>
        </row>
        <row r="13796">
          <cell r="A13796" t="str">
            <v>FERVIC</v>
          </cell>
          <cell r="B13796" t="str">
            <v>101-00004-002-1372</v>
          </cell>
          <cell r="J13796">
            <v>44387.05</v>
          </cell>
        </row>
        <row r="13797">
          <cell r="A13797" t="str">
            <v>FERVIC</v>
          </cell>
          <cell r="B13797" t="str">
            <v>101-00004-002-1421</v>
          </cell>
          <cell r="J13797">
            <v>3775008.43</v>
          </cell>
        </row>
        <row r="13798">
          <cell r="A13798" t="str">
            <v>FERVIC</v>
          </cell>
          <cell r="B13798" t="str">
            <v>101-00004-002-2975</v>
          </cell>
          <cell r="J13798">
            <v>13316690.26</v>
          </cell>
        </row>
        <row r="13799">
          <cell r="A13799" t="str">
            <v>FERVIC</v>
          </cell>
          <cell r="B13799" t="str">
            <v>101-00004-002-3307</v>
          </cell>
          <cell r="J13799">
            <v>6602136.7000000002</v>
          </cell>
        </row>
        <row r="13800">
          <cell r="A13800" t="str">
            <v>FERVIC</v>
          </cell>
          <cell r="B13800" t="str">
            <v>101-00004-004-0000</v>
          </cell>
          <cell r="J13800">
            <v>1334000</v>
          </cell>
        </row>
        <row r="13801">
          <cell r="A13801" t="str">
            <v>FERVIC</v>
          </cell>
          <cell r="B13801" t="str">
            <v>101-00004-004-0942</v>
          </cell>
          <cell r="J13801">
            <v>1334000</v>
          </cell>
        </row>
        <row r="13802">
          <cell r="A13802" t="str">
            <v>FERVIC</v>
          </cell>
          <cell r="B13802" t="str">
            <v>101-00004-004-2872</v>
          </cell>
          <cell r="J13802">
            <v>0</v>
          </cell>
        </row>
        <row r="13803">
          <cell r="A13803" t="str">
            <v>FERVIC</v>
          </cell>
          <cell r="B13803" t="str">
            <v>101-00005-000-0000</v>
          </cell>
          <cell r="J13803">
            <v>141047.07</v>
          </cell>
        </row>
        <row r="13804">
          <cell r="A13804" t="str">
            <v>FERVIC</v>
          </cell>
          <cell r="B13804" t="str">
            <v>101-00005-003-0000</v>
          </cell>
          <cell r="J13804">
            <v>141047.07</v>
          </cell>
        </row>
        <row r="13805">
          <cell r="A13805" t="str">
            <v>FERVIC</v>
          </cell>
          <cell r="B13805" t="str">
            <v>101-00005-003-3339</v>
          </cell>
          <cell r="J13805">
            <v>141047.07</v>
          </cell>
        </row>
        <row r="13806">
          <cell r="A13806" t="str">
            <v>FERVIC</v>
          </cell>
          <cell r="B13806" t="str">
            <v>101-00006-000-0000</v>
          </cell>
          <cell r="J13806">
            <v>41361</v>
          </cell>
        </row>
        <row r="13807">
          <cell r="A13807" t="str">
            <v>FERVIC</v>
          </cell>
          <cell r="B13807" t="str">
            <v>101-00006-001-0000</v>
          </cell>
          <cell r="J13807">
            <v>41361</v>
          </cell>
        </row>
        <row r="13808">
          <cell r="A13808" t="str">
            <v>FERVIC</v>
          </cell>
          <cell r="B13808" t="str">
            <v>101-00006-001-0548</v>
          </cell>
          <cell r="J13808">
            <v>30240</v>
          </cell>
        </row>
        <row r="13809">
          <cell r="A13809" t="str">
            <v>FERVIC</v>
          </cell>
          <cell r="B13809" t="str">
            <v>101-00006-001-1088</v>
          </cell>
          <cell r="J13809">
            <v>2681</v>
          </cell>
        </row>
        <row r="13810">
          <cell r="A13810" t="str">
            <v>FERVIC</v>
          </cell>
          <cell r="B13810" t="str">
            <v>101-00006-001-3305</v>
          </cell>
          <cell r="J13810">
            <v>8440</v>
          </cell>
        </row>
        <row r="13811">
          <cell r="A13811" t="str">
            <v>FERVIC</v>
          </cell>
          <cell r="B13811" t="str">
            <v>101-00008-000-0000</v>
          </cell>
          <cell r="J13811">
            <v>183164.79999999999</v>
          </cell>
        </row>
        <row r="13812">
          <cell r="A13812" t="str">
            <v>FERVIC</v>
          </cell>
          <cell r="B13812" t="str">
            <v>101-00008-001-0000</v>
          </cell>
          <cell r="J13812">
            <v>5317.8</v>
          </cell>
        </row>
        <row r="13813">
          <cell r="A13813" t="str">
            <v>FERVIC</v>
          </cell>
          <cell r="B13813" t="str">
            <v>101-00008-002-0000</v>
          </cell>
          <cell r="J13813">
            <v>108815</v>
          </cell>
        </row>
        <row r="13814">
          <cell r="A13814" t="str">
            <v>FERVIC</v>
          </cell>
          <cell r="B13814" t="str">
            <v>101-00008-012-0000</v>
          </cell>
          <cell r="J13814">
            <v>62134</v>
          </cell>
        </row>
        <row r="13815">
          <cell r="A13815" t="str">
            <v>FERVIC</v>
          </cell>
          <cell r="B13815" t="str">
            <v>101-00008-012-0006</v>
          </cell>
          <cell r="J13815">
            <v>14261</v>
          </cell>
        </row>
        <row r="13816">
          <cell r="A13816" t="str">
            <v>FERVIC</v>
          </cell>
          <cell r="B13816" t="str">
            <v>101-00008-012-0007</v>
          </cell>
          <cell r="J13816">
            <v>36120</v>
          </cell>
        </row>
        <row r="13817">
          <cell r="A13817" t="str">
            <v>FERVIC</v>
          </cell>
          <cell r="B13817" t="str">
            <v>101-00008-012-0008</v>
          </cell>
          <cell r="J13817">
            <v>11753</v>
          </cell>
        </row>
        <row r="13818">
          <cell r="A13818" t="str">
            <v>FERVIC</v>
          </cell>
          <cell r="B13818" t="str">
            <v>101-00008-021-0000</v>
          </cell>
          <cell r="J13818">
            <v>3187</v>
          </cell>
        </row>
        <row r="13819">
          <cell r="A13819" t="str">
            <v>FERVIC</v>
          </cell>
          <cell r="B13819" t="str">
            <v>101-00008-022-0000</v>
          </cell>
          <cell r="J13819">
            <v>3022</v>
          </cell>
        </row>
        <row r="13820">
          <cell r="A13820" t="str">
            <v>FERVIC</v>
          </cell>
          <cell r="B13820" t="str">
            <v>101-00008-023-0000</v>
          </cell>
          <cell r="J13820">
            <v>689</v>
          </cell>
        </row>
        <row r="13821">
          <cell r="A13821" t="str">
            <v>FERVIC</v>
          </cell>
          <cell r="B13821" t="str">
            <v>101-00009-000-0000</v>
          </cell>
          <cell r="J13821">
            <v>26402</v>
          </cell>
        </row>
        <row r="13822">
          <cell r="A13822" t="str">
            <v>FERVIC</v>
          </cell>
          <cell r="B13822" t="str">
            <v>101-00009-006-0000</v>
          </cell>
          <cell r="J13822">
            <v>26402</v>
          </cell>
        </row>
        <row r="13823">
          <cell r="A13823" t="str">
            <v>FERVIC</v>
          </cell>
          <cell r="B13823" t="str">
            <v>101-00010-000-0000</v>
          </cell>
          <cell r="J13823">
            <v>662160.31000000006</v>
          </cell>
        </row>
        <row r="13824">
          <cell r="A13824" t="str">
            <v>FERVIC</v>
          </cell>
          <cell r="B13824" t="str">
            <v>101-00010-001-0000</v>
          </cell>
          <cell r="J13824">
            <v>662160.31000000006</v>
          </cell>
        </row>
        <row r="13825">
          <cell r="A13825" t="str">
            <v>FERVIC</v>
          </cell>
          <cell r="B13825" t="str">
            <v>101-00011-000-0000</v>
          </cell>
          <cell r="J13825">
            <v>878382.38</v>
          </cell>
        </row>
        <row r="13826">
          <cell r="A13826" t="str">
            <v>FERVIC</v>
          </cell>
          <cell r="B13826" t="str">
            <v>101-00011-001-0000</v>
          </cell>
          <cell r="J13826">
            <v>878382.38</v>
          </cell>
        </row>
        <row r="13827">
          <cell r="A13827" t="str">
            <v>FERVIC</v>
          </cell>
          <cell r="B13827" t="str">
            <v>101-00013-000-0000</v>
          </cell>
          <cell r="J13827">
            <v>21352429.640000001</v>
          </cell>
        </row>
        <row r="13828">
          <cell r="A13828" t="str">
            <v>FERVIC</v>
          </cell>
          <cell r="B13828" t="str">
            <v>101-00013-080-0000</v>
          </cell>
          <cell r="J13828">
            <v>21352429.640000001</v>
          </cell>
        </row>
        <row r="13829">
          <cell r="A13829" t="str">
            <v>FERVIC</v>
          </cell>
          <cell r="B13829" t="str">
            <v>101-00015-000-0000</v>
          </cell>
          <cell r="J13829">
            <v>8844304.25</v>
          </cell>
        </row>
        <row r="13830">
          <cell r="A13830" t="str">
            <v>FERVIC</v>
          </cell>
          <cell r="B13830" t="str">
            <v>101-00015-001-0000</v>
          </cell>
          <cell r="J13830">
            <v>8844304.25</v>
          </cell>
        </row>
        <row r="13831">
          <cell r="A13831" t="str">
            <v>FERVIC</v>
          </cell>
          <cell r="B13831" t="str">
            <v>101-00015-001-0468</v>
          </cell>
          <cell r="J13831">
            <v>0.8</v>
          </cell>
        </row>
        <row r="13832">
          <cell r="A13832" t="str">
            <v>FERVIC</v>
          </cell>
          <cell r="B13832" t="str">
            <v>101-00015-001-2300</v>
          </cell>
          <cell r="J13832">
            <v>867333.33</v>
          </cell>
        </row>
        <row r="13833">
          <cell r="A13833" t="str">
            <v>FERVIC</v>
          </cell>
          <cell r="B13833" t="str">
            <v>101-00015-001-2303</v>
          </cell>
          <cell r="J13833">
            <v>5170000</v>
          </cell>
        </row>
        <row r="13834">
          <cell r="A13834" t="str">
            <v>FERVIC</v>
          </cell>
          <cell r="B13834" t="str">
            <v>101-00015-001-2304</v>
          </cell>
          <cell r="J13834">
            <v>500000</v>
          </cell>
        </row>
        <row r="13835">
          <cell r="A13835" t="str">
            <v>FERVIC</v>
          </cell>
          <cell r="B13835" t="str">
            <v>101-00015-001-2305</v>
          </cell>
          <cell r="J13835">
            <v>226970.12</v>
          </cell>
        </row>
        <row r="13836">
          <cell r="A13836" t="str">
            <v>FERVIC</v>
          </cell>
          <cell r="B13836" t="str">
            <v>101-00015-001-2872</v>
          </cell>
          <cell r="J13836">
            <v>100000</v>
          </cell>
        </row>
        <row r="13837">
          <cell r="A13837" t="str">
            <v>FERVIC</v>
          </cell>
          <cell r="B13837" t="str">
            <v>101-00015-001-3141</v>
          </cell>
          <cell r="J13837">
            <v>1980000</v>
          </cell>
        </row>
        <row r="13838">
          <cell r="A13838" t="str">
            <v>FERVIC</v>
          </cell>
          <cell r="B13838" t="str">
            <v>102-00000-000-0000</v>
          </cell>
          <cell r="J13838">
            <v>46672428.039999999</v>
          </cell>
        </row>
        <row r="13839">
          <cell r="A13839" t="str">
            <v>FERVIC</v>
          </cell>
          <cell r="B13839" t="str">
            <v>102-00002-000-0000</v>
          </cell>
          <cell r="J13839">
            <v>542833.97</v>
          </cell>
        </row>
        <row r="13840">
          <cell r="A13840" t="str">
            <v>FERVIC</v>
          </cell>
          <cell r="B13840" t="str">
            <v>102-00002-001-0000</v>
          </cell>
          <cell r="J13840">
            <v>3417601.22</v>
          </cell>
        </row>
        <row r="13841">
          <cell r="A13841" t="str">
            <v>FERVIC</v>
          </cell>
          <cell r="B13841" t="str">
            <v>102-00002-002-0000</v>
          </cell>
          <cell r="J13841">
            <v>-2874767.25</v>
          </cell>
        </row>
        <row r="13842">
          <cell r="A13842" t="str">
            <v>FERVIC</v>
          </cell>
          <cell r="B13842" t="str">
            <v>102-00003-000-0000</v>
          </cell>
          <cell r="J13842">
            <v>805396.18</v>
          </cell>
        </row>
        <row r="13843">
          <cell r="A13843" t="str">
            <v>FERVIC</v>
          </cell>
          <cell r="B13843" t="str">
            <v>102-00003-001-0000</v>
          </cell>
          <cell r="J13843">
            <v>2405487.1</v>
          </cell>
        </row>
        <row r="13844">
          <cell r="A13844" t="str">
            <v>FERVIC</v>
          </cell>
          <cell r="B13844" t="str">
            <v>102-00003-002-0000</v>
          </cell>
          <cell r="J13844">
            <v>-1600090.92</v>
          </cell>
        </row>
        <row r="13845">
          <cell r="A13845" t="str">
            <v>FERVIC</v>
          </cell>
          <cell r="B13845" t="str">
            <v>102-00005-001-0000</v>
          </cell>
          <cell r="J13845">
            <v>383554.56</v>
          </cell>
        </row>
        <row r="13846">
          <cell r="A13846" t="str">
            <v>FERVIC</v>
          </cell>
          <cell r="B13846" t="str">
            <v>102-00005-002-0000</v>
          </cell>
          <cell r="J13846">
            <v>-383554.56</v>
          </cell>
        </row>
        <row r="13847">
          <cell r="A13847" t="str">
            <v>FERVIC</v>
          </cell>
          <cell r="B13847" t="str">
            <v>102-00016-000-0000</v>
          </cell>
          <cell r="J13847">
            <v>45324197.890000001</v>
          </cell>
        </row>
        <row r="13848">
          <cell r="A13848" t="str">
            <v>FERVIC</v>
          </cell>
          <cell r="B13848" t="str">
            <v>102-00016-001-0000</v>
          </cell>
          <cell r="J13848">
            <v>45324197.890000001</v>
          </cell>
        </row>
        <row r="13849">
          <cell r="A13849" t="str">
            <v>FERVIC</v>
          </cell>
          <cell r="B13849" t="str">
            <v>102-00016-001-0251</v>
          </cell>
          <cell r="J13849">
            <v>45324197.890000001</v>
          </cell>
        </row>
        <row r="13850">
          <cell r="A13850" t="str">
            <v>FERVIC</v>
          </cell>
          <cell r="B13850" t="str">
            <v>103-00000-000-0000</v>
          </cell>
          <cell r="J13850">
            <v>6064133.1100000003</v>
          </cell>
        </row>
        <row r="13851">
          <cell r="A13851" t="str">
            <v>FERVIC</v>
          </cell>
          <cell r="B13851" t="str">
            <v>103-00001-000-0000</v>
          </cell>
          <cell r="J13851">
            <v>6064133.1100000003</v>
          </cell>
        </row>
        <row r="13852">
          <cell r="A13852" t="str">
            <v>FERVIC</v>
          </cell>
          <cell r="B13852" t="str">
            <v>103-00001-001-0000</v>
          </cell>
          <cell r="J13852">
            <v>7510810.8700000001</v>
          </cell>
        </row>
        <row r="13853">
          <cell r="A13853" t="str">
            <v>FERVIC</v>
          </cell>
          <cell r="B13853" t="str">
            <v>103-00001-002-0000</v>
          </cell>
          <cell r="J13853">
            <v>-1446677.76</v>
          </cell>
        </row>
        <row r="13854">
          <cell r="A13854" t="str">
            <v>FERVIC</v>
          </cell>
          <cell r="B13854" t="str">
            <v>201-00000-000-0000</v>
          </cell>
          <cell r="J13854">
            <v>-10868883.18</v>
          </cell>
        </row>
        <row r="13855">
          <cell r="A13855" t="str">
            <v>FERVIC</v>
          </cell>
          <cell r="B13855" t="str">
            <v>201-00002-000-0000</v>
          </cell>
          <cell r="J13855">
            <v>-1938219.04</v>
          </cell>
        </row>
        <row r="13856">
          <cell r="A13856" t="str">
            <v>FERVIC</v>
          </cell>
          <cell r="B13856" t="str">
            <v>201-00002-001-0000</v>
          </cell>
          <cell r="J13856">
            <v>-111122.75</v>
          </cell>
        </row>
        <row r="13857">
          <cell r="A13857" t="str">
            <v>FERVIC</v>
          </cell>
          <cell r="B13857" t="str">
            <v>201-00002-001-2353</v>
          </cell>
          <cell r="J13857">
            <v>-27839.83</v>
          </cell>
        </row>
        <row r="13858">
          <cell r="A13858" t="str">
            <v>FERVIC</v>
          </cell>
          <cell r="B13858" t="str">
            <v>201-00002-001-2354</v>
          </cell>
          <cell r="J13858">
            <v>-5567.97</v>
          </cell>
        </row>
        <row r="13859">
          <cell r="A13859" t="str">
            <v>FERVIC</v>
          </cell>
          <cell r="B13859" t="str">
            <v>201-00002-001-2367</v>
          </cell>
          <cell r="J13859">
            <v>-1002.24</v>
          </cell>
        </row>
        <row r="13860">
          <cell r="A13860" t="str">
            <v>FERVIC</v>
          </cell>
          <cell r="B13860" t="str">
            <v>201-00002-001-2918</v>
          </cell>
          <cell r="J13860">
            <v>-76712.710000000006</v>
          </cell>
        </row>
        <row r="13861">
          <cell r="A13861" t="str">
            <v>FERVIC</v>
          </cell>
          <cell r="B13861" t="str">
            <v>201-00002-002-0000</v>
          </cell>
          <cell r="J13861">
            <v>-1827096.29</v>
          </cell>
        </row>
        <row r="13862">
          <cell r="A13862" t="str">
            <v>FERVIC</v>
          </cell>
          <cell r="B13862" t="str">
            <v>201-00002-002-0067</v>
          </cell>
          <cell r="J13862">
            <v>0</v>
          </cell>
        </row>
        <row r="13863">
          <cell r="A13863" t="str">
            <v>FERVIC</v>
          </cell>
          <cell r="B13863" t="str">
            <v>201-00002-002-0092</v>
          </cell>
          <cell r="J13863">
            <v>-9578.52</v>
          </cell>
        </row>
        <row r="13864">
          <cell r="A13864" t="str">
            <v>FERVIC</v>
          </cell>
          <cell r="B13864" t="str">
            <v>201-00002-002-0306</v>
          </cell>
          <cell r="J13864">
            <v>580.38</v>
          </cell>
        </row>
        <row r="13865">
          <cell r="A13865" t="str">
            <v>FERVIC</v>
          </cell>
          <cell r="B13865" t="str">
            <v>201-00002-002-0374</v>
          </cell>
          <cell r="J13865">
            <v>-103027.07</v>
          </cell>
        </row>
        <row r="13866">
          <cell r="A13866" t="str">
            <v>FERVIC</v>
          </cell>
          <cell r="B13866" t="str">
            <v>201-00002-002-0434</v>
          </cell>
          <cell r="J13866">
            <v>-1977.82</v>
          </cell>
        </row>
        <row r="13867">
          <cell r="A13867" t="str">
            <v>FERVIC</v>
          </cell>
          <cell r="B13867" t="str">
            <v>201-00002-002-0548</v>
          </cell>
          <cell r="J13867">
            <v>-92.78</v>
          </cell>
        </row>
        <row r="13868">
          <cell r="A13868" t="str">
            <v>FERVIC</v>
          </cell>
          <cell r="B13868" t="str">
            <v>201-00002-002-0555</v>
          </cell>
          <cell r="J13868">
            <v>-49613.2</v>
          </cell>
        </row>
        <row r="13869">
          <cell r="A13869" t="str">
            <v>FERVIC</v>
          </cell>
          <cell r="B13869" t="str">
            <v>201-00002-002-0559</v>
          </cell>
          <cell r="J13869">
            <v>0</v>
          </cell>
        </row>
        <row r="13870">
          <cell r="A13870" t="str">
            <v>FERVIC</v>
          </cell>
          <cell r="B13870" t="str">
            <v>201-00002-002-0659</v>
          </cell>
          <cell r="J13870">
            <v>-40793.339999999997</v>
          </cell>
        </row>
        <row r="13871">
          <cell r="A13871" t="str">
            <v>FERVIC</v>
          </cell>
          <cell r="B13871" t="str">
            <v>201-00002-002-0736</v>
          </cell>
          <cell r="J13871">
            <v>0</v>
          </cell>
        </row>
        <row r="13872">
          <cell r="A13872" t="str">
            <v>FERVIC</v>
          </cell>
          <cell r="B13872" t="str">
            <v>201-00002-002-0851</v>
          </cell>
          <cell r="J13872">
            <v>-3226.25</v>
          </cell>
        </row>
        <row r="13873">
          <cell r="A13873" t="str">
            <v>FERVIC</v>
          </cell>
          <cell r="B13873" t="str">
            <v>201-00002-002-1081</v>
          </cell>
          <cell r="J13873">
            <v>0</v>
          </cell>
        </row>
        <row r="13874">
          <cell r="A13874" t="str">
            <v>FERVIC</v>
          </cell>
          <cell r="B13874" t="str">
            <v>201-00002-002-1138</v>
          </cell>
          <cell r="J13874">
            <v>0</v>
          </cell>
        </row>
        <row r="13875">
          <cell r="A13875" t="str">
            <v>FERVIC</v>
          </cell>
          <cell r="B13875" t="str">
            <v>201-00002-002-1227</v>
          </cell>
          <cell r="J13875">
            <v>-8392.41</v>
          </cell>
        </row>
        <row r="13876">
          <cell r="A13876" t="str">
            <v>FERVIC</v>
          </cell>
          <cell r="B13876" t="str">
            <v>201-00002-002-1374</v>
          </cell>
          <cell r="J13876">
            <v>-918044.09</v>
          </cell>
        </row>
        <row r="13877">
          <cell r="A13877" t="str">
            <v>FERVIC</v>
          </cell>
          <cell r="B13877" t="str">
            <v>201-00002-002-1417</v>
          </cell>
          <cell r="J13877">
            <v>-142455.25</v>
          </cell>
        </row>
        <row r="13878">
          <cell r="A13878" t="str">
            <v>FERVIC</v>
          </cell>
          <cell r="B13878" t="str">
            <v>201-00002-002-1593</v>
          </cell>
          <cell r="J13878">
            <v>-24762.84</v>
          </cell>
        </row>
        <row r="13879">
          <cell r="A13879" t="str">
            <v>FERVIC</v>
          </cell>
          <cell r="B13879" t="str">
            <v>201-00002-002-1642</v>
          </cell>
          <cell r="J13879">
            <v>0</v>
          </cell>
        </row>
        <row r="13880">
          <cell r="A13880" t="str">
            <v>FERVIC</v>
          </cell>
          <cell r="B13880" t="str">
            <v>201-00002-002-1654</v>
          </cell>
          <cell r="J13880">
            <v>-455058.19</v>
          </cell>
        </row>
        <row r="13881">
          <cell r="A13881" t="str">
            <v>FERVIC</v>
          </cell>
          <cell r="B13881" t="str">
            <v>201-00002-002-2895</v>
          </cell>
          <cell r="J13881">
            <v>0</v>
          </cell>
        </row>
        <row r="13882">
          <cell r="A13882" t="str">
            <v>FERVIC</v>
          </cell>
          <cell r="B13882" t="str">
            <v>201-00002-002-3122</v>
          </cell>
          <cell r="J13882">
            <v>0</v>
          </cell>
        </row>
        <row r="13883">
          <cell r="A13883" t="str">
            <v>FERVIC</v>
          </cell>
          <cell r="B13883" t="str">
            <v>201-00002-002-3149</v>
          </cell>
          <cell r="J13883">
            <v>-16894.91</v>
          </cell>
        </row>
        <row r="13884">
          <cell r="A13884" t="str">
            <v>FERVIC</v>
          </cell>
          <cell r="B13884" t="str">
            <v>201-00002-002-3305</v>
          </cell>
          <cell r="J13884">
            <v>-53760</v>
          </cell>
        </row>
        <row r="13885">
          <cell r="A13885" t="str">
            <v>FERVIC</v>
          </cell>
          <cell r="B13885" t="str">
            <v>201-00002-002-4618</v>
          </cell>
          <cell r="J13885">
            <v>0</v>
          </cell>
        </row>
        <row r="13886">
          <cell r="A13886" t="str">
            <v>FERVIC</v>
          </cell>
          <cell r="B13886" t="str">
            <v>201-00004-000-0000</v>
          </cell>
          <cell r="J13886">
            <v>-3946057.56</v>
          </cell>
        </row>
        <row r="13887">
          <cell r="A13887" t="str">
            <v>FERVIC</v>
          </cell>
          <cell r="B13887" t="str">
            <v>201-00004-001-0000</v>
          </cell>
          <cell r="J13887">
            <v>-3946057.56</v>
          </cell>
        </row>
        <row r="13888">
          <cell r="A13888" t="str">
            <v>FERVIC</v>
          </cell>
          <cell r="B13888" t="str">
            <v>201-00004-001-0468</v>
          </cell>
          <cell r="J13888">
            <v>-0.01</v>
          </cell>
        </row>
        <row r="13889">
          <cell r="A13889" t="str">
            <v>FERVIC</v>
          </cell>
          <cell r="B13889" t="str">
            <v>201-00004-001-2284</v>
          </cell>
          <cell r="J13889">
            <v>-3946057.55</v>
          </cell>
        </row>
        <row r="13890">
          <cell r="A13890" t="str">
            <v>FERVIC</v>
          </cell>
          <cell r="B13890" t="str">
            <v>201-00005-000-0000</v>
          </cell>
          <cell r="J13890">
            <v>-2719.12</v>
          </cell>
        </row>
        <row r="13891">
          <cell r="A13891" t="str">
            <v>FERVIC</v>
          </cell>
          <cell r="B13891" t="str">
            <v>201-00005-002-0000</v>
          </cell>
          <cell r="J13891">
            <v>-1</v>
          </cell>
        </row>
        <row r="13892">
          <cell r="A13892" t="str">
            <v>FERVIC</v>
          </cell>
          <cell r="B13892" t="str">
            <v>201-00005-003-0000</v>
          </cell>
          <cell r="J13892">
            <v>-2718.12</v>
          </cell>
        </row>
        <row r="13893">
          <cell r="A13893" t="str">
            <v>FERVIC</v>
          </cell>
          <cell r="B13893" t="str">
            <v>201-00006-000-0000</v>
          </cell>
          <cell r="J13893">
            <v>-46288.800000000003</v>
          </cell>
        </row>
        <row r="13894">
          <cell r="A13894" t="str">
            <v>FERVIC</v>
          </cell>
          <cell r="B13894" t="str">
            <v>201-00006-001-0000</v>
          </cell>
          <cell r="J13894">
            <v>-7628.85</v>
          </cell>
        </row>
        <row r="13895">
          <cell r="A13895" t="str">
            <v>FERVIC</v>
          </cell>
          <cell r="B13895" t="str">
            <v>201-00006-001-0002</v>
          </cell>
          <cell r="J13895">
            <v>-7628.85</v>
          </cell>
        </row>
        <row r="13896">
          <cell r="A13896" t="str">
            <v>FERVIC</v>
          </cell>
          <cell r="B13896" t="str">
            <v>201-00006-002-0000</v>
          </cell>
          <cell r="J13896">
            <v>-10689.06</v>
          </cell>
        </row>
        <row r="13897">
          <cell r="A13897" t="str">
            <v>FERVIC</v>
          </cell>
          <cell r="B13897" t="str">
            <v>201-00006-003-0000</v>
          </cell>
          <cell r="J13897">
            <v>-17659.54</v>
          </cell>
        </row>
        <row r="13898">
          <cell r="A13898" t="str">
            <v>FERVIC</v>
          </cell>
          <cell r="B13898" t="str">
            <v>201-00006-004-0000</v>
          </cell>
          <cell r="J13898">
            <v>-9078.0499999999993</v>
          </cell>
        </row>
        <row r="13899">
          <cell r="A13899" t="str">
            <v>FERVIC</v>
          </cell>
          <cell r="B13899" t="str">
            <v>201-00006-008-0000</v>
          </cell>
          <cell r="J13899">
            <v>-1777.26</v>
          </cell>
        </row>
        <row r="13900">
          <cell r="A13900" t="str">
            <v>FERVIC</v>
          </cell>
          <cell r="B13900" t="str">
            <v>201-00006-011-0000</v>
          </cell>
          <cell r="J13900">
            <v>543.96</v>
          </cell>
        </row>
        <row r="13901">
          <cell r="A13901" t="str">
            <v>FERVIC</v>
          </cell>
          <cell r="B13901" t="str">
            <v>201-00007-000-0000</v>
          </cell>
          <cell r="J13901">
            <v>-15956</v>
          </cell>
        </row>
        <row r="13902">
          <cell r="A13902" t="str">
            <v>FERVIC</v>
          </cell>
          <cell r="B13902" t="str">
            <v>201-00008-000-0000</v>
          </cell>
          <cell r="J13902">
            <v>-168885.36</v>
          </cell>
        </row>
        <row r="13903">
          <cell r="A13903" t="str">
            <v>FERVIC</v>
          </cell>
          <cell r="B13903" t="str">
            <v>201-00009-000-0000</v>
          </cell>
          <cell r="J13903">
            <v>-4059469.47</v>
          </cell>
        </row>
        <row r="13904">
          <cell r="A13904" t="str">
            <v>FERVIC</v>
          </cell>
          <cell r="B13904" t="str">
            <v>201-00009-001-0000</v>
          </cell>
          <cell r="J13904">
            <v>-4059469.47</v>
          </cell>
        </row>
        <row r="13905">
          <cell r="A13905" t="str">
            <v>FERVIC</v>
          </cell>
          <cell r="B13905" t="str">
            <v>201-00010-000-0000</v>
          </cell>
          <cell r="J13905">
            <v>-691287.83</v>
          </cell>
        </row>
        <row r="13906">
          <cell r="A13906" t="str">
            <v>FERVIC</v>
          </cell>
          <cell r="B13906" t="str">
            <v>201-00010-001-0000</v>
          </cell>
          <cell r="J13906">
            <v>-691287.83</v>
          </cell>
        </row>
        <row r="13907">
          <cell r="A13907" t="str">
            <v>FERVIC</v>
          </cell>
          <cell r="B13907" t="str">
            <v>202-00000-000-0000</v>
          </cell>
          <cell r="J13907">
            <v>-46206157.920000002</v>
          </cell>
        </row>
        <row r="13908">
          <cell r="A13908" t="str">
            <v>FERVIC</v>
          </cell>
          <cell r="B13908" t="str">
            <v>202-00001-000-0000</v>
          </cell>
          <cell r="J13908">
            <v>-46206157.920000002</v>
          </cell>
        </row>
        <row r="13909">
          <cell r="A13909" t="str">
            <v>FERVIC</v>
          </cell>
          <cell r="B13909" t="str">
            <v>202-00001-009-0000</v>
          </cell>
          <cell r="J13909">
            <v>-46206157.920000002</v>
          </cell>
        </row>
        <row r="13910">
          <cell r="A13910" t="str">
            <v>FERVIC</v>
          </cell>
          <cell r="B13910" t="str">
            <v>202-00001-009-0468</v>
          </cell>
          <cell r="J13910">
            <v>-464613.8</v>
          </cell>
        </row>
        <row r="13911">
          <cell r="A13911" t="str">
            <v>FERVIC</v>
          </cell>
          <cell r="B13911" t="str">
            <v>202-00001-009-0533</v>
          </cell>
          <cell r="J13911">
            <v>-45324196.890000001</v>
          </cell>
        </row>
        <row r="13912">
          <cell r="A13912" t="str">
            <v>FERVIC</v>
          </cell>
          <cell r="B13912" t="str">
            <v>202-00001-009-2872</v>
          </cell>
          <cell r="J13912">
            <v>-417347.23</v>
          </cell>
        </row>
        <row r="13913">
          <cell r="A13913" t="str">
            <v>FERVIC</v>
          </cell>
          <cell r="B13913" t="str">
            <v>301-00000-000-0000</v>
          </cell>
          <cell r="J13913">
            <v>-36723057.590000004</v>
          </cell>
        </row>
        <row r="13914">
          <cell r="A13914" t="str">
            <v>FERVIC</v>
          </cell>
          <cell r="B13914" t="str">
            <v>301-00001-000-0000</v>
          </cell>
          <cell r="J13914">
            <v>-6745000</v>
          </cell>
        </row>
        <row r="13915">
          <cell r="A13915" t="str">
            <v>FERVIC</v>
          </cell>
          <cell r="B13915" t="str">
            <v>301-00001-001-0000</v>
          </cell>
          <cell r="J13915">
            <v>-50000</v>
          </cell>
        </row>
        <row r="13916">
          <cell r="A13916" t="str">
            <v>FERVIC</v>
          </cell>
          <cell r="B13916" t="str">
            <v>301-00001-002-0000</v>
          </cell>
          <cell r="J13916">
            <v>-6695000</v>
          </cell>
        </row>
        <row r="13917">
          <cell r="A13917" t="str">
            <v>FERVIC</v>
          </cell>
          <cell r="B13917" t="str">
            <v>301-00004-000-0000</v>
          </cell>
          <cell r="J13917">
            <v>-29978057.59</v>
          </cell>
        </row>
        <row r="13918">
          <cell r="A13918" t="str">
            <v>FERVIC</v>
          </cell>
          <cell r="B13918" t="str">
            <v>301-00004-005-0000</v>
          </cell>
          <cell r="J13918">
            <v>-959.83</v>
          </cell>
        </row>
        <row r="13919">
          <cell r="A13919" t="str">
            <v>FERVIC</v>
          </cell>
          <cell r="B13919" t="str">
            <v>301-00004-006-0000</v>
          </cell>
          <cell r="J13919">
            <v>-4484454.28</v>
          </cell>
        </row>
        <row r="13920">
          <cell r="A13920" t="str">
            <v>FERVIC</v>
          </cell>
          <cell r="B13920" t="str">
            <v>301-00004-007-0000</v>
          </cell>
          <cell r="J13920">
            <v>-2544560.91</v>
          </cell>
        </row>
        <row r="13921">
          <cell r="A13921" t="str">
            <v>FERVIC</v>
          </cell>
          <cell r="B13921" t="str">
            <v>301-00004-008-0000</v>
          </cell>
          <cell r="J13921">
            <v>-7860572.6500000004</v>
          </cell>
        </row>
        <row r="13922">
          <cell r="A13922" t="str">
            <v>FERVIC</v>
          </cell>
          <cell r="B13922" t="str">
            <v>301-00004-009-0000</v>
          </cell>
          <cell r="J13922">
            <v>-910062.5</v>
          </cell>
        </row>
        <row r="13923">
          <cell r="A13923" t="str">
            <v>FERVIC</v>
          </cell>
          <cell r="B13923" t="str">
            <v>301-00004-010-0000</v>
          </cell>
          <cell r="J13923">
            <v>-4429880.71</v>
          </cell>
        </row>
        <row r="13924">
          <cell r="A13924" t="str">
            <v>FERVIC</v>
          </cell>
          <cell r="B13924" t="str">
            <v>301-00004-011-0000</v>
          </cell>
          <cell r="J13924">
            <v>-665187.49</v>
          </cell>
        </row>
        <row r="13925">
          <cell r="A13925" t="str">
            <v>FERVIC</v>
          </cell>
          <cell r="B13925" t="str">
            <v>301-00004-012-0000</v>
          </cell>
          <cell r="J13925">
            <v>-1584271.81</v>
          </cell>
        </row>
        <row r="13926">
          <cell r="A13926" t="str">
            <v>FERVIC</v>
          </cell>
          <cell r="B13926" t="str">
            <v>301-00004-013-0000</v>
          </cell>
          <cell r="J13926">
            <v>-5276533.18</v>
          </cell>
        </row>
        <row r="13927">
          <cell r="A13927" t="str">
            <v>FERVIC</v>
          </cell>
          <cell r="B13927" t="str">
            <v>301-00004-014-0000</v>
          </cell>
          <cell r="J13927">
            <v>-891030.25</v>
          </cell>
        </row>
        <row r="13928">
          <cell r="A13928" t="str">
            <v>FERVIC</v>
          </cell>
          <cell r="B13928" t="str">
            <v>301-00004-015-0000</v>
          </cell>
          <cell r="J13928">
            <v>-481207.8</v>
          </cell>
        </row>
        <row r="13929">
          <cell r="A13929" t="str">
            <v>FERVIC</v>
          </cell>
          <cell r="B13929" t="str">
            <v>301-00004-016-0000</v>
          </cell>
          <cell r="J13929">
            <v>-230726.98</v>
          </cell>
        </row>
        <row r="13930">
          <cell r="A13930" t="str">
            <v>FERVIC</v>
          </cell>
          <cell r="B13930" t="str">
            <v>301-00004-017-0000</v>
          </cell>
          <cell r="J13930">
            <v>-618609.19999999995</v>
          </cell>
        </row>
        <row r="13931">
          <cell r="A13931" t="str">
            <v>FERVIC</v>
          </cell>
          <cell r="B13931" t="str">
            <v>410-00000-000-0000</v>
          </cell>
          <cell r="J13931">
            <v>-69049337.849999994</v>
          </cell>
        </row>
        <row r="13932">
          <cell r="A13932" t="str">
            <v>FERVIC</v>
          </cell>
          <cell r="B13932" t="str">
            <v>410-25034-000-0000</v>
          </cell>
          <cell r="J13932">
            <v>-12564707.310000001</v>
          </cell>
        </row>
        <row r="13933">
          <cell r="A13933" t="str">
            <v>FERVIC</v>
          </cell>
          <cell r="B13933" t="str">
            <v>410-25034-002-0000</v>
          </cell>
          <cell r="J13933">
            <v>-12564707.310000001</v>
          </cell>
        </row>
        <row r="13934">
          <cell r="A13934" t="str">
            <v>FERVIC</v>
          </cell>
          <cell r="B13934" t="str">
            <v>410-25034-002-3306</v>
          </cell>
          <cell r="J13934">
            <v>-3402922.07</v>
          </cell>
        </row>
        <row r="13935">
          <cell r="A13935" t="str">
            <v>FERVIC</v>
          </cell>
          <cell r="B13935" t="str">
            <v>410-25034-002-3307</v>
          </cell>
          <cell r="J13935">
            <v>-9161785.2400000002</v>
          </cell>
        </row>
        <row r="13936">
          <cell r="A13936" t="str">
            <v>FERVIC</v>
          </cell>
          <cell r="B13936" t="str">
            <v>410-25040-000-0000</v>
          </cell>
          <cell r="J13936">
            <v>-30712038.109999999</v>
          </cell>
        </row>
        <row r="13937">
          <cell r="A13937" t="str">
            <v>FERVIC</v>
          </cell>
          <cell r="B13937" t="str">
            <v>410-25040-002-0000</v>
          </cell>
          <cell r="J13937">
            <v>-30712038.109999999</v>
          </cell>
        </row>
        <row r="13938">
          <cell r="A13938" t="str">
            <v>FERVIC</v>
          </cell>
          <cell r="B13938" t="str">
            <v>410-25040-002-0956</v>
          </cell>
          <cell r="J13938">
            <v>-30712038.109999999</v>
          </cell>
        </row>
        <row r="13939">
          <cell r="A13939" t="str">
            <v>FERVIC</v>
          </cell>
          <cell r="B13939" t="str">
            <v>410-26001-000-0000</v>
          </cell>
          <cell r="J13939">
            <v>-9340732.7599999998</v>
          </cell>
        </row>
        <row r="13940">
          <cell r="A13940" t="str">
            <v>FERVIC</v>
          </cell>
          <cell r="B13940" t="str">
            <v>410-26001-002-0000</v>
          </cell>
          <cell r="J13940">
            <v>-9340732.7599999998</v>
          </cell>
        </row>
        <row r="13941">
          <cell r="A13941" t="str">
            <v>FERVIC</v>
          </cell>
          <cell r="B13941" t="str">
            <v>410-26001-002-3312</v>
          </cell>
          <cell r="J13941">
            <v>-9340732.7599999998</v>
          </cell>
        </row>
        <row r="13942">
          <cell r="A13942" t="str">
            <v>FERVIC</v>
          </cell>
          <cell r="B13942" t="str">
            <v>410-26019-000-0000</v>
          </cell>
          <cell r="J13942">
            <v>-12798307.23</v>
          </cell>
        </row>
        <row r="13943">
          <cell r="A13943" t="str">
            <v>FERVIC</v>
          </cell>
          <cell r="B13943" t="str">
            <v>410-26019-002-0000</v>
          </cell>
          <cell r="J13943">
            <v>-12798307.23</v>
          </cell>
        </row>
        <row r="13944">
          <cell r="A13944" t="str">
            <v>FERVIC</v>
          </cell>
          <cell r="B13944" t="str">
            <v>410-26019-002-2975</v>
          </cell>
          <cell r="J13944">
            <v>-12798307.23</v>
          </cell>
        </row>
        <row r="13945">
          <cell r="A13945" t="str">
            <v>FERVIC</v>
          </cell>
          <cell r="B13945" t="str">
            <v>410-26027-000-0000</v>
          </cell>
          <cell r="J13945">
            <v>-627256.93999999994</v>
          </cell>
        </row>
        <row r="13946">
          <cell r="A13946" t="str">
            <v>FERVIC</v>
          </cell>
          <cell r="B13946" t="str">
            <v>410-26027-002-0000</v>
          </cell>
          <cell r="J13946">
            <v>-627256.93999999994</v>
          </cell>
        </row>
        <row r="13947">
          <cell r="A13947" t="str">
            <v>FERVIC</v>
          </cell>
          <cell r="B13947" t="str">
            <v>410-26027-002-0956</v>
          </cell>
          <cell r="J13947">
            <v>-627256.93999999994</v>
          </cell>
        </row>
        <row r="13948">
          <cell r="A13948" t="str">
            <v>FERVIC</v>
          </cell>
          <cell r="B13948" t="str">
            <v>410-26028-000-0000</v>
          </cell>
          <cell r="J13948">
            <v>-1369943.5</v>
          </cell>
        </row>
        <row r="13949">
          <cell r="A13949" t="str">
            <v>FERVIC</v>
          </cell>
          <cell r="B13949" t="str">
            <v>410-26028-002-0000</v>
          </cell>
          <cell r="J13949">
            <v>-1369943.5</v>
          </cell>
        </row>
        <row r="13950">
          <cell r="A13950" t="str">
            <v>FERVIC</v>
          </cell>
          <cell r="B13950" t="str">
            <v>410-26028-002-0956</v>
          </cell>
          <cell r="J13950">
            <v>-1369943.5</v>
          </cell>
        </row>
        <row r="13951">
          <cell r="A13951" t="str">
            <v>FERVIC</v>
          </cell>
          <cell r="B13951" t="str">
            <v>410-26031-000-0000</v>
          </cell>
          <cell r="J13951">
            <v>-1636352</v>
          </cell>
        </row>
        <row r="13952">
          <cell r="A13952" t="str">
            <v>FERVIC</v>
          </cell>
          <cell r="B13952" t="str">
            <v>410-26031-002-0000</v>
          </cell>
          <cell r="J13952">
            <v>-1636352</v>
          </cell>
        </row>
        <row r="13953">
          <cell r="A13953" t="str">
            <v>FERVIC</v>
          </cell>
          <cell r="B13953" t="str">
            <v>410-26031-002-0956</v>
          </cell>
          <cell r="J13953">
            <v>-1636352</v>
          </cell>
        </row>
        <row r="13954">
          <cell r="A13954" t="str">
            <v>FERVIC</v>
          </cell>
          <cell r="B13954" t="str">
            <v>411-00000-000-0000</v>
          </cell>
          <cell r="J13954">
            <v>-689655.17</v>
          </cell>
        </row>
        <row r="13955">
          <cell r="A13955" t="str">
            <v>FERVIC</v>
          </cell>
          <cell r="B13955" t="str">
            <v>411-26777-000-0000</v>
          </cell>
          <cell r="J13955">
            <v>-689655.17</v>
          </cell>
        </row>
        <row r="13956">
          <cell r="A13956" t="str">
            <v>FERVIC</v>
          </cell>
          <cell r="B13956" t="str">
            <v>411-26777-004-0000</v>
          </cell>
          <cell r="J13956">
            <v>-689655.17</v>
          </cell>
        </row>
        <row r="13957">
          <cell r="A13957" t="str">
            <v>FERVIC</v>
          </cell>
          <cell r="B13957" t="str">
            <v>411-26777-004-2872</v>
          </cell>
          <cell r="J13957">
            <v>-689655.17</v>
          </cell>
        </row>
        <row r="13958">
          <cell r="A13958" t="str">
            <v>FERVIC</v>
          </cell>
          <cell r="B13958" t="str">
            <v>430-00000-000-0000</v>
          </cell>
          <cell r="J13958">
            <v>-530.78</v>
          </cell>
        </row>
        <row r="13959">
          <cell r="A13959" t="str">
            <v>FERVIC</v>
          </cell>
          <cell r="B13959" t="str">
            <v>430-00001-000-0000</v>
          </cell>
          <cell r="J13959">
            <v>-530.78</v>
          </cell>
        </row>
        <row r="13960">
          <cell r="A13960" t="str">
            <v>FERVIC</v>
          </cell>
          <cell r="B13960" t="str">
            <v>720-00000-000-0000</v>
          </cell>
          <cell r="J13960">
            <v>-39954.71</v>
          </cell>
        </row>
        <row r="13961">
          <cell r="A13961" t="str">
            <v>FERVIC</v>
          </cell>
          <cell r="B13961" t="str">
            <v>720-99999-000-0000</v>
          </cell>
          <cell r="J13961">
            <v>-39954.71</v>
          </cell>
        </row>
        <row r="13962">
          <cell r="A13962" t="str">
            <v>FERVIC</v>
          </cell>
          <cell r="B13962" t="str">
            <v>720-99999-001-0000</v>
          </cell>
          <cell r="J13962">
            <v>-39954.71</v>
          </cell>
        </row>
        <row r="13963">
          <cell r="A13963" t="str">
            <v>FERVIC</v>
          </cell>
          <cell r="B13963" t="str">
            <v>720-99999-001-0001</v>
          </cell>
          <cell r="J13963">
            <v>-39954.71</v>
          </cell>
        </row>
        <row r="13964">
          <cell r="A13964" t="str">
            <v>FERVIC</v>
          </cell>
          <cell r="B13964" t="str">
            <v>730-00000-000-0000</v>
          </cell>
          <cell r="J13964">
            <v>-8031.81</v>
          </cell>
        </row>
        <row r="13965">
          <cell r="A13965" t="str">
            <v>FERVIC</v>
          </cell>
          <cell r="B13965" t="str">
            <v>730-99999-000-0000</v>
          </cell>
          <cell r="J13965">
            <v>-8031.81</v>
          </cell>
        </row>
        <row r="13966">
          <cell r="A13966" t="str">
            <v>FERVIC</v>
          </cell>
          <cell r="B13966" t="str">
            <v>730-99999-002-0000</v>
          </cell>
          <cell r="J13966">
            <v>-8031.81</v>
          </cell>
        </row>
        <row r="13967">
          <cell r="A13967" t="str">
            <v>FERVIC</v>
          </cell>
          <cell r="B13967" t="str">
            <v>420-00000-000-0000</v>
          </cell>
          <cell r="J13967">
            <v>6888150.9699999997</v>
          </cell>
        </row>
        <row r="13968">
          <cell r="A13968" t="str">
            <v>FERVIC</v>
          </cell>
          <cell r="B13968" t="str">
            <v>420-25030-000-0000</v>
          </cell>
          <cell r="J13968">
            <v>0.86</v>
          </cell>
        </row>
        <row r="13969">
          <cell r="A13969" t="str">
            <v>FERVIC</v>
          </cell>
          <cell r="B13969" t="str">
            <v>420-25030-002-0000</v>
          </cell>
          <cell r="J13969">
            <v>0.86</v>
          </cell>
        </row>
        <row r="13970">
          <cell r="A13970" t="str">
            <v>FERVIC</v>
          </cell>
          <cell r="B13970" t="str">
            <v>420-25030-002-3305</v>
          </cell>
          <cell r="J13970">
            <v>0.86</v>
          </cell>
        </row>
        <row r="13971">
          <cell r="A13971" t="str">
            <v>FERVIC</v>
          </cell>
          <cell r="B13971" t="str">
            <v>420-25040-000-0000</v>
          </cell>
          <cell r="J13971">
            <v>6888150.1100000003</v>
          </cell>
        </row>
        <row r="13972">
          <cell r="A13972" t="str">
            <v>FERVIC</v>
          </cell>
          <cell r="B13972" t="str">
            <v>420-25040-002-0000</v>
          </cell>
          <cell r="J13972">
            <v>6888150.1100000003</v>
          </cell>
        </row>
        <row r="13973">
          <cell r="A13973" t="str">
            <v>FERVIC</v>
          </cell>
          <cell r="B13973" t="str">
            <v>420-25040-002-0956</v>
          </cell>
          <cell r="J13973">
            <v>6888150.1100000003</v>
          </cell>
        </row>
        <row r="13974">
          <cell r="A13974" t="str">
            <v>FERVIC</v>
          </cell>
          <cell r="B13974" t="str">
            <v>423-00000-000-0000</v>
          </cell>
          <cell r="J13974">
            <v>1832357.05</v>
          </cell>
        </row>
        <row r="13975">
          <cell r="A13975" t="str">
            <v>FERVIC</v>
          </cell>
          <cell r="B13975" t="str">
            <v>423-25034-000-0000</v>
          </cell>
          <cell r="J13975">
            <v>1832357.05</v>
          </cell>
        </row>
        <row r="13976">
          <cell r="A13976" t="str">
            <v>FERVIC</v>
          </cell>
          <cell r="B13976" t="str">
            <v>423-25034-002-0000</v>
          </cell>
          <cell r="J13976">
            <v>1832357.05</v>
          </cell>
        </row>
        <row r="13977">
          <cell r="A13977" t="str">
            <v>FERVIC</v>
          </cell>
          <cell r="B13977" t="str">
            <v>423-25034-002-3307</v>
          </cell>
          <cell r="J13977">
            <v>1832357.05</v>
          </cell>
        </row>
        <row r="13978">
          <cell r="A13978" t="str">
            <v>FERVIC</v>
          </cell>
          <cell r="B13978" t="str">
            <v>530-00000-000-0000</v>
          </cell>
          <cell r="J13978">
            <v>22582135.59</v>
          </cell>
        </row>
        <row r="13979">
          <cell r="A13979" t="str">
            <v>FERVIC</v>
          </cell>
          <cell r="B13979" t="str">
            <v>530-25025-000-0000</v>
          </cell>
          <cell r="J13979">
            <v>1.06</v>
          </cell>
        </row>
        <row r="13980">
          <cell r="A13980" t="str">
            <v>FERVIC</v>
          </cell>
          <cell r="B13980" t="str">
            <v>530-25025-001-0000</v>
          </cell>
          <cell r="J13980">
            <v>6036.7</v>
          </cell>
        </row>
        <row r="13981">
          <cell r="A13981" t="str">
            <v>FERVIC</v>
          </cell>
          <cell r="B13981" t="str">
            <v>530-25025-001-0001</v>
          </cell>
          <cell r="J13981">
            <v>4332.3100000000004</v>
          </cell>
        </row>
        <row r="13982">
          <cell r="A13982" t="str">
            <v>FERVIC</v>
          </cell>
          <cell r="B13982" t="str">
            <v>530-25025-001-0002</v>
          </cell>
          <cell r="J13982">
            <v>596.84</v>
          </cell>
        </row>
        <row r="13983">
          <cell r="A13983" t="str">
            <v>FERVIC</v>
          </cell>
          <cell r="B13983" t="str">
            <v>530-25025-001-0005</v>
          </cell>
          <cell r="J13983">
            <v>464.34</v>
          </cell>
        </row>
        <row r="13984">
          <cell r="A13984" t="str">
            <v>FERVIC</v>
          </cell>
          <cell r="B13984" t="str">
            <v>530-25025-001-0006</v>
          </cell>
          <cell r="J13984">
            <v>464.34</v>
          </cell>
        </row>
        <row r="13985">
          <cell r="A13985" t="str">
            <v>FERVIC</v>
          </cell>
          <cell r="B13985" t="str">
            <v>530-25025-001-0011</v>
          </cell>
          <cell r="J13985">
            <v>178.87</v>
          </cell>
        </row>
        <row r="13986">
          <cell r="A13986" t="str">
            <v>FERVIC</v>
          </cell>
          <cell r="B13986" t="str">
            <v>530-25025-002-0000</v>
          </cell>
          <cell r="J13986">
            <v>1156.5</v>
          </cell>
        </row>
        <row r="13987">
          <cell r="A13987" t="str">
            <v>FERVIC</v>
          </cell>
          <cell r="B13987" t="str">
            <v>530-25025-002-0001</v>
          </cell>
          <cell r="J13987">
            <v>439.58</v>
          </cell>
        </row>
        <row r="13988">
          <cell r="A13988" t="str">
            <v>FERVIC</v>
          </cell>
          <cell r="B13988" t="str">
            <v>530-25025-002-0002</v>
          </cell>
          <cell r="J13988">
            <v>347.22</v>
          </cell>
        </row>
        <row r="13989">
          <cell r="A13989" t="str">
            <v>FERVIC</v>
          </cell>
          <cell r="B13989" t="str">
            <v>530-25025-002-0003</v>
          </cell>
          <cell r="J13989">
            <v>211.66</v>
          </cell>
        </row>
        <row r="13990">
          <cell r="A13990" t="str">
            <v>FERVIC</v>
          </cell>
          <cell r="B13990" t="str">
            <v>530-25025-002-0004</v>
          </cell>
          <cell r="J13990">
            <v>158.04</v>
          </cell>
        </row>
        <row r="13991">
          <cell r="A13991" t="str">
            <v>FERVIC</v>
          </cell>
          <cell r="B13991" t="str">
            <v>530-25025-054-0000</v>
          </cell>
          <cell r="J13991">
            <v>-7192.14</v>
          </cell>
        </row>
        <row r="13992">
          <cell r="A13992" t="str">
            <v>FERVIC</v>
          </cell>
          <cell r="B13992" t="str">
            <v>530-25025-054-0006</v>
          </cell>
          <cell r="J13992">
            <v>-7192.14</v>
          </cell>
        </row>
        <row r="13993">
          <cell r="A13993" t="str">
            <v>FERVIC</v>
          </cell>
          <cell r="B13993" t="str">
            <v>530-25026-000-0000</v>
          </cell>
          <cell r="J13993">
            <v>-48003.78</v>
          </cell>
        </row>
        <row r="13994">
          <cell r="A13994" t="str">
            <v>FERVIC</v>
          </cell>
          <cell r="B13994" t="str">
            <v>530-25026-016-0000</v>
          </cell>
          <cell r="J13994">
            <v>9135.36</v>
          </cell>
        </row>
        <row r="13995">
          <cell r="A13995" t="str">
            <v>FERVIC</v>
          </cell>
          <cell r="B13995" t="str">
            <v>530-25026-017-0000</v>
          </cell>
          <cell r="J13995">
            <v>-57139.14</v>
          </cell>
        </row>
        <row r="13996">
          <cell r="A13996" t="str">
            <v>FERVIC</v>
          </cell>
          <cell r="B13996" t="str">
            <v>530-25030-000-0000</v>
          </cell>
          <cell r="J13996">
            <v>-21593.11</v>
          </cell>
        </row>
        <row r="13997">
          <cell r="A13997" t="str">
            <v>FERVIC</v>
          </cell>
          <cell r="B13997" t="str">
            <v>530-25030-016-0000</v>
          </cell>
          <cell r="J13997">
            <v>16251.86</v>
          </cell>
        </row>
        <row r="13998">
          <cell r="A13998" t="str">
            <v>FERVIC</v>
          </cell>
          <cell r="B13998" t="str">
            <v>530-25030-017-0000</v>
          </cell>
          <cell r="J13998">
            <v>208364.75</v>
          </cell>
        </row>
        <row r="13999">
          <cell r="A13999" t="str">
            <v>FERVIC</v>
          </cell>
          <cell r="B13999" t="str">
            <v>530-25030-055-0000</v>
          </cell>
          <cell r="J13999">
            <v>-246209.72</v>
          </cell>
        </row>
        <row r="14000">
          <cell r="A14000" t="str">
            <v>FERVIC</v>
          </cell>
          <cell r="B14000" t="str">
            <v>530-25031-000-0000</v>
          </cell>
          <cell r="J14000">
            <v>62544.71</v>
          </cell>
        </row>
        <row r="14001">
          <cell r="A14001" t="str">
            <v>FERVIC</v>
          </cell>
          <cell r="B14001" t="str">
            <v>530-25031-016-0000</v>
          </cell>
          <cell r="J14001">
            <v>8443.8799999999992</v>
          </cell>
        </row>
        <row r="14002">
          <cell r="A14002" t="str">
            <v>FERVIC</v>
          </cell>
          <cell r="B14002" t="str">
            <v>530-25031-017-0000</v>
          </cell>
          <cell r="J14002">
            <v>54100.83</v>
          </cell>
        </row>
        <row r="14003">
          <cell r="A14003" t="str">
            <v>FERVIC</v>
          </cell>
          <cell r="B14003" t="str">
            <v>530-25034-000-0000</v>
          </cell>
          <cell r="J14003">
            <v>8060623.0599999996</v>
          </cell>
        </row>
        <row r="14004">
          <cell r="A14004" t="str">
            <v>FERVIC</v>
          </cell>
          <cell r="B14004" t="str">
            <v>530-25034-001-0000</v>
          </cell>
          <cell r="J14004">
            <v>155634.06</v>
          </cell>
        </row>
        <row r="14005">
          <cell r="A14005" t="str">
            <v>FERVIC</v>
          </cell>
          <cell r="B14005" t="str">
            <v>530-25034-001-0001</v>
          </cell>
          <cell r="J14005">
            <v>146244.79999999999</v>
          </cell>
        </row>
        <row r="14006">
          <cell r="A14006" t="str">
            <v>FERVIC</v>
          </cell>
          <cell r="B14006" t="str">
            <v>530-25034-001-0002</v>
          </cell>
          <cell r="J14006">
            <v>9389.26</v>
          </cell>
        </row>
        <row r="14007">
          <cell r="A14007" t="str">
            <v>FERVIC</v>
          </cell>
          <cell r="B14007" t="str">
            <v>530-25034-002-0000</v>
          </cell>
          <cell r="J14007">
            <v>39743.269999999997</v>
          </cell>
        </row>
        <row r="14008">
          <cell r="A14008" t="str">
            <v>FERVIC</v>
          </cell>
          <cell r="B14008" t="str">
            <v>530-25034-002-0001</v>
          </cell>
          <cell r="J14008">
            <v>15672.07</v>
          </cell>
        </row>
        <row r="14009">
          <cell r="A14009" t="str">
            <v>FERVIC</v>
          </cell>
          <cell r="B14009" t="str">
            <v>530-25034-002-0002</v>
          </cell>
          <cell r="J14009">
            <v>12122.79</v>
          </cell>
        </row>
        <row r="14010">
          <cell r="A14010" t="str">
            <v>FERVIC</v>
          </cell>
          <cell r="B14010" t="str">
            <v>530-25034-002-0003</v>
          </cell>
          <cell r="J14010">
            <v>7552.21</v>
          </cell>
        </row>
        <row r="14011">
          <cell r="A14011" t="str">
            <v>FERVIC</v>
          </cell>
          <cell r="B14011" t="str">
            <v>530-25034-002-0004</v>
          </cell>
          <cell r="J14011">
            <v>4396.2</v>
          </cell>
        </row>
        <row r="14012">
          <cell r="A14012" t="str">
            <v>FERVIC</v>
          </cell>
          <cell r="B14012" t="str">
            <v>530-25034-016-0000</v>
          </cell>
          <cell r="J14012">
            <v>-5342.98</v>
          </cell>
        </row>
        <row r="14013">
          <cell r="A14013" t="str">
            <v>FERVIC</v>
          </cell>
          <cell r="B14013" t="str">
            <v>530-25034-017-0000</v>
          </cell>
          <cell r="J14013">
            <v>7833604.25</v>
          </cell>
        </row>
        <row r="14014">
          <cell r="A14014" t="str">
            <v>FERVIC</v>
          </cell>
          <cell r="B14014" t="str">
            <v>530-25034-038-0000</v>
          </cell>
          <cell r="J14014">
            <v>368588.79999999999</v>
          </cell>
        </row>
        <row r="14015">
          <cell r="A14015" t="str">
            <v>FERVIC</v>
          </cell>
          <cell r="B14015" t="str">
            <v>530-25034-055-0000</v>
          </cell>
          <cell r="J14015">
            <v>-331604.34000000003</v>
          </cell>
        </row>
        <row r="14016">
          <cell r="A14016" t="str">
            <v>FERVIC</v>
          </cell>
          <cell r="B14016" t="str">
            <v>530-25035-000-0000</v>
          </cell>
          <cell r="J14016">
            <v>0.14000000000000001</v>
          </cell>
        </row>
        <row r="14017">
          <cell r="A14017" t="str">
            <v>FERVIC</v>
          </cell>
          <cell r="B14017" t="str">
            <v>530-25035-001-0000</v>
          </cell>
          <cell r="J14017">
            <v>661.03</v>
          </cell>
        </row>
        <row r="14018">
          <cell r="A14018" t="str">
            <v>FERVIC</v>
          </cell>
          <cell r="B14018" t="str">
            <v>530-25035-001-0001</v>
          </cell>
          <cell r="J14018">
            <v>471.66</v>
          </cell>
        </row>
        <row r="14019">
          <cell r="A14019" t="str">
            <v>FERVIC</v>
          </cell>
          <cell r="B14019" t="str">
            <v>530-25035-001-0002</v>
          </cell>
          <cell r="J14019">
            <v>66.319999999999993</v>
          </cell>
        </row>
        <row r="14020">
          <cell r="A14020" t="str">
            <v>FERVIC</v>
          </cell>
          <cell r="B14020" t="str">
            <v>530-25035-001-0005</v>
          </cell>
          <cell r="J14020">
            <v>51.59</v>
          </cell>
        </row>
        <row r="14021">
          <cell r="A14021" t="str">
            <v>FERVIC</v>
          </cell>
          <cell r="B14021" t="str">
            <v>530-25035-001-0006</v>
          </cell>
          <cell r="J14021">
            <v>51.59</v>
          </cell>
        </row>
        <row r="14022">
          <cell r="A14022" t="str">
            <v>FERVIC</v>
          </cell>
          <cell r="B14022" t="str">
            <v>530-25035-001-0011</v>
          </cell>
          <cell r="J14022">
            <v>19.87</v>
          </cell>
        </row>
        <row r="14023">
          <cell r="A14023" t="str">
            <v>FERVIC</v>
          </cell>
          <cell r="B14023" t="str">
            <v>530-25035-002-0000</v>
          </cell>
          <cell r="J14023">
            <v>202.4</v>
          </cell>
        </row>
        <row r="14024">
          <cell r="A14024" t="str">
            <v>FERVIC</v>
          </cell>
          <cell r="B14024" t="str">
            <v>530-25035-002-0001</v>
          </cell>
          <cell r="J14024">
            <v>45.38</v>
          </cell>
        </row>
        <row r="14025">
          <cell r="A14025" t="str">
            <v>FERVIC</v>
          </cell>
          <cell r="B14025" t="str">
            <v>530-25035-002-0002</v>
          </cell>
          <cell r="J14025">
            <v>86.8</v>
          </cell>
        </row>
        <row r="14026">
          <cell r="A14026" t="str">
            <v>FERVIC</v>
          </cell>
          <cell r="B14026" t="str">
            <v>530-25035-002-0003</v>
          </cell>
          <cell r="J14026">
            <v>52.92</v>
          </cell>
        </row>
        <row r="14027">
          <cell r="A14027" t="str">
            <v>FERVIC</v>
          </cell>
          <cell r="B14027" t="str">
            <v>530-25035-002-0004</v>
          </cell>
          <cell r="J14027">
            <v>17.3</v>
          </cell>
        </row>
        <row r="14028">
          <cell r="A14028" t="str">
            <v>FERVIC</v>
          </cell>
          <cell r="B14028" t="str">
            <v>530-25035-054-0000</v>
          </cell>
          <cell r="J14028">
            <v>-863.29</v>
          </cell>
        </row>
        <row r="14029">
          <cell r="A14029" t="str">
            <v>FERVIC</v>
          </cell>
          <cell r="B14029" t="str">
            <v>530-25035-054-0006</v>
          </cell>
          <cell r="J14029">
            <v>-863.29</v>
          </cell>
        </row>
        <row r="14030">
          <cell r="A14030" t="str">
            <v>FERVIC</v>
          </cell>
          <cell r="B14030" t="str">
            <v>530-25036-002-0000</v>
          </cell>
          <cell r="J14030">
            <v>2.46</v>
          </cell>
        </row>
        <row r="14031">
          <cell r="A14031" t="str">
            <v>FERVIC</v>
          </cell>
          <cell r="B14031" t="str">
            <v>530-25036-002-0002</v>
          </cell>
          <cell r="J14031">
            <v>1.52</v>
          </cell>
        </row>
        <row r="14032">
          <cell r="A14032" t="str">
            <v>FERVIC</v>
          </cell>
          <cell r="B14032" t="str">
            <v>530-25036-002-0003</v>
          </cell>
          <cell r="J14032">
            <v>0.94</v>
          </cell>
        </row>
        <row r="14033">
          <cell r="A14033" t="str">
            <v>FERVIC</v>
          </cell>
          <cell r="B14033" t="str">
            <v>530-25036-054-0000</v>
          </cell>
          <cell r="J14033">
            <v>-2.46</v>
          </cell>
        </row>
        <row r="14034">
          <cell r="A14034" t="str">
            <v>FERVIC</v>
          </cell>
          <cell r="B14034" t="str">
            <v>530-25036-054-0006</v>
          </cell>
          <cell r="J14034">
            <v>-2.46</v>
          </cell>
        </row>
        <row r="14035">
          <cell r="A14035" t="str">
            <v>FERVIC</v>
          </cell>
          <cell r="B14035" t="str">
            <v>530-25038-000-0000</v>
          </cell>
          <cell r="J14035">
            <v>0.95</v>
          </cell>
        </row>
        <row r="14036">
          <cell r="A14036" t="str">
            <v>FERVIC</v>
          </cell>
          <cell r="B14036" t="str">
            <v>530-25038-001-0000</v>
          </cell>
          <cell r="J14036">
            <v>8945.86</v>
          </cell>
        </row>
        <row r="14037">
          <cell r="A14037" t="str">
            <v>FERVIC</v>
          </cell>
          <cell r="B14037" t="str">
            <v>530-25038-001-0001</v>
          </cell>
          <cell r="J14037">
            <v>6419.04</v>
          </cell>
        </row>
        <row r="14038">
          <cell r="A14038" t="str">
            <v>FERVIC</v>
          </cell>
          <cell r="B14038" t="str">
            <v>530-25038-001-0002</v>
          </cell>
          <cell r="J14038">
            <v>948.32</v>
          </cell>
        </row>
        <row r="14039">
          <cell r="A14039" t="str">
            <v>FERVIC</v>
          </cell>
          <cell r="B14039" t="str">
            <v>530-25038-001-0005</v>
          </cell>
          <cell r="J14039">
            <v>709.75</v>
          </cell>
        </row>
        <row r="14040">
          <cell r="A14040" t="str">
            <v>FERVIC</v>
          </cell>
          <cell r="B14040" t="str">
            <v>530-25038-001-0006</v>
          </cell>
          <cell r="J14040">
            <v>709.75</v>
          </cell>
        </row>
        <row r="14041">
          <cell r="A14041" t="str">
            <v>FERVIC</v>
          </cell>
          <cell r="B14041" t="str">
            <v>530-25038-001-0011</v>
          </cell>
          <cell r="J14041">
            <v>159</v>
          </cell>
        </row>
        <row r="14042">
          <cell r="A14042" t="str">
            <v>FERVIC</v>
          </cell>
          <cell r="B14042" t="str">
            <v>530-25038-002-0000</v>
          </cell>
          <cell r="J14042">
            <v>1967.92</v>
          </cell>
        </row>
        <row r="14043">
          <cell r="A14043" t="str">
            <v>FERVIC</v>
          </cell>
          <cell r="B14043" t="str">
            <v>530-25038-002-0001</v>
          </cell>
          <cell r="J14043">
            <v>478.33</v>
          </cell>
        </row>
        <row r="14044">
          <cell r="A14044" t="str">
            <v>FERVIC</v>
          </cell>
          <cell r="B14044" t="str">
            <v>530-25038-002-0002</v>
          </cell>
          <cell r="J14044">
            <v>770.72</v>
          </cell>
        </row>
        <row r="14045">
          <cell r="A14045" t="str">
            <v>FERVIC</v>
          </cell>
          <cell r="B14045" t="str">
            <v>530-25038-002-0003</v>
          </cell>
          <cell r="J14045">
            <v>480.14</v>
          </cell>
        </row>
        <row r="14046">
          <cell r="A14046" t="str">
            <v>FERVIC</v>
          </cell>
          <cell r="B14046" t="str">
            <v>530-25038-002-0004</v>
          </cell>
          <cell r="J14046">
            <v>238.73</v>
          </cell>
        </row>
        <row r="14047">
          <cell r="A14047" t="str">
            <v>FERVIC</v>
          </cell>
          <cell r="B14047" t="str">
            <v>530-25038-054-0000</v>
          </cell>
          <cell r="J14047">
            <v>-10912.83</v>
          </cell>
        </row>
        <row r="14048">
          <cell r="A14048" t="str">
            <v>FERVIC</v>
          </cell>
          <cell r="B14048" t="str">
            <v>530-25038-054-0006</v>
          </cell>
          <cell r="J14048">
            <v>-10912.83</v>
          </cell>
        </row>
        <row r="14049">
          <cell r="A14049" t="str">
            <v>FERVIC</v>
          </cell>
          <cell r="B14049" t="str">
            <v>530-25040-000-0000</v>
          </cell>
          <cell r="J14049">
            <v>12872151.74</v>
          </cell>
        </row>
        <row r="14050">
          <cell r="A14050" t="str">
            <v>FERVIC</v>
          </cell>
          <cell r="B14050" t="str">
            <v>530-25040-001-0000</v>
          </cell>
          <cell r="J14050">
            <v>645.65</v>
          </cell>
        </row>
        <row r="14051">
          <cell r="A14051" t="str">
            <v>FERVIC</v>
          </cell>
          <cell r="B14051" t="str">
            <v>530-25040-001-0001</v>
          </cell>
          <cell r="J14051">
            <v>464.68</v>
          </cell>
        </row>
        <row r="14052">
          <cell r="A14052" t="str">
            <v>FERVIC</v>
          </cell>
          <cell r="B14052" t="str">
            <v>530-25040-001-0002</v>
          </cell>
          <cell r="J14052">
            <v>63</v>
          </cell>
        </row>
        <row r="14053">
          <cell r="A14053" t="str">
            <v>FERVIC</v>
          </cell>
          <cell r="B14053" t="str">
            <v>530-25040-001-0005</v>
          </cell>
          <cell r="J14053">
            <v>49.05</v>
          </cell>
        </row>
        <row r="14054">
          <cell r="A14054" t="str">
            <v>FERVIC</v>
          </cell>
          <cell r="B14054" t="str">
            <v>530-25040-001-0006</v>
          </cell>
          <cell r="J14054">
            <v>49.05</v>
          </cell>
        </row>
        <row r="14055">
          <cell r="A14055" t="str">
            <v>FERVIC</v>
          </cell>
          <cell r="B14055" t="str">
            <v>530-25040-001-0011</v>
          </cell>
          <cell r="J14055">
            <v>19.87</v>
          </cell>
        </row>
        <row r="14056">
          <cell r="A14056" t="str">
            <v>FERVIC</v>
          </cell>
          <cell r="B14056" t="str">
            <v>530-25040-002-0000</v>
          </cell>
          <cell r="J14056">
            <v>65.92</v>
          </cell>
        </row>
        <row r="14057">
          <cell r="A14057" t="str">
            <v>FERVIC</v>
          </cell>
          <cell r="B14057" t="str">
            <v>530-25040-002-0001</v>
          </cell>
          <cell r="J14057">
            <v>49.04</v>
          </cell>
        </row>
        <row r="14058">
          <cell r="A14058" t="str">
            <v>FERVIC</v>
          </cell>
          <cell r="B14058" t="str">
            <v>530-25040-002-0004</v>
          </cell>
          <cell r="J14058">
            <v>16.88</v>
          </cell>
        </row>
        <row r="14059">
          <cell r="A14059" t="str">
            <v>FERVIC</v>
          </cell>
          <cell r="B14059" t="str">
            <v>530-25040-017-0000</v>
          </cell>
          <cell r="J14059">
            <v>9747989.1300000008</v>
          </cell>
        </row>
        <row r="14060">
          <cell r="A14060" t="str">
            <v>FERVIC</v>
          </cell>
          <cell r="B14060" t="str">
            <v>530-25040-018-0000</v>
          </cell>
          <cell r="J14060">
            <v>125059.08</v>
          </cell>
        </row>
        <row r="14061">
          <cell r="A14061" t="str">
            <v>FERVIC</v>
          </cell>
          <cell r="B14061" t="str">
            <v>530-25040-018-0002</v>
          </cell>
          <cell r="J14061">
            <v>125059.08</v>
          </cell>
        </row>
        <row r="14062">
          <cell r="A14062" t="str">
            <v>FERVIC</v>
          </cell>
          <cell r="B14062" t="str">
            <v>530-25040-054-0000</v>
          </cell>
          <cell r="J14062">
            <v>2998391.96</v>
          </cell>
        </row>
        <row r="14063">
          <cell r="A14063" t="str">
            <v>FERVIC</v>
          </cell>
          <cell r="B14063" t="str">
            <v>530-25040-054-0006</v>
          </cell>
          <cell r="J14063">
            <v>2998391.96</v>
          </cell>
        </row>
        <row r="14064">
          <cell r="A14064" t="str">
            <v>FERVIC</v>
          </cell>
          <cell r="B14064" t="str">
            <v>530-25042-000-0000</v>
          </cell>
          <cell r="J14064">
            <v>0.11</v>
          </cell>
        </row>
        <row r="14065">
          <cell r="A14065" t="str">
            <v>FERVIC</v>
          </cell>
          <cell r="B14065" t="str">
            <v>530-25042-001-0000</v>
          </cell>
          <cell r="J14065">
            <v>615.78</v>
          </cell>
        </row>
        <row r="14066">
          <cell r="A14066" t="str">
            <v>FERVIC</v>
          </cell>
          <cell r="B14066" t="str">
            <v>530-25042-001-0001</v>
          </cell>
          <cell r="J14066">
            <v>442.55</v>
          </cell>
        </row>
        <row r="14067">
          <cell r="A14067" t="str">
            <v>FERVIC</v>
          </cell>
          <cell r="B14067" t="str">
            <v>530-25042-001-0002</v>
          </cell>
          <cell r="J14067">
            <v>60</v>
          </cell>
        </row>
        <row r="14068">
          <cell r="A14068" t="str">
            <v>FERVIC</v>
          </cell>
          <cell r="B14068" t="str">
            <v>530-25042-001-0005</v>
          </cell>
          <cell r="J14068">
            <v>46.68</v>
          </cell>
        </row>
        <row r="14069">
          <cell r="A14069" t="str">
            <v>FERVIC</v>
          </cell>
          <cell r="B14069" t="str">
            <v>530-25042-001-0006</v>
          </cell>
          <cell r="J14069">
            <v>46.68</v>
          </cell>
        </row>
        <row r="14070">
          <cell r="A14070" t="str">
            <v>FERVIC</v>
          </cell>
          <cell r="B14070" t="str">
            <v>530-25042-001-0011</v>
          </cell>
          <cell r="J14070">
            <v>19.87</v>
          </cell>
        </row>
        <row r="14071">
          <cell r="A14071" t="str">
            <v>FERVIC</v>
          </cell>
          <cell r="B14071" t="str">
            <v>530-25042-002-0000</v>
          </cell>
          <cell r="J14071">
            <v>277.66000000000003</v>
          </cell>
        </row>
        <row r="14072">
          <cell r="A14072" t="str">
            <v>FERVIC</v>
          </cell>
          <cell r="B14072" t="str">
            <v>530-25042-002-0001</v>
          </cell>
          <cell r="J14072">
            <v>45.19</v>
          </cell>
        </row>
        <row r="14073">
          <cell r="A14073" t="str">
            <v>FERVIC</v>
          </cell>
          <cell r="B14073" t="str">
            <v>530-25042-002-0002</v>
          </cell>
          <cell r="J14073">
            <v>133.32</v>
          </cell>
        </row>
        <row r="14074">
          <cell r="A14074" t="str">
            <v>FERVIC</v>
          </cell>
          <cell r="B14074" t="str">
            <v>530-25042-002-0003</v>
          </cell>
          <cell r="J14074">
            <v>83.07</v>
          </cell>
        </row>
        <row r="14075">
          <cell r="A14075" t="str">
            <v>FERVIC</v>
          </cell>
          <cell r="B14075" t="str">
            <v>530-25042-002-0004</v>
          </cell>
          <cell r="J14075">
            <v>16.079999999999998</v>
          </cell>
        </row>
        <row r="14076">
          <cell r="A14076" t="str">
            <v>FERVIC</v>
          </cell>
          <cell r="B14076" t="str">
            <v>530-25042-054-0000</v>
          </cell>
          <cell r="J14076">
            <v>-896.66</v>
          </cell>
        </row>
        <row r="14077">
          <cell r="A14077" t="str">
            <v>FERVIC</v>
          </cell>
          <cell r="B14077" t="str">
            <v>530-25042-054-0006</v>
          </cell>
          <cell r="J14077">
            <v>-896.66</v>
          </cell>
        </row>
        <row r="14078">
          <cell r="A14078" t="str">
            <v>FERVIC</v>
          </cell>
          <cell r="B14078" t="str">
            <v>530-25042-061-0000</v>
          </cell>
          <cell r="J14078">
            <v>3.33</v>
          </cell>
        </row>
        <row r="14079">
          <cell r="A14079" t="str">
            <v>FERVIC</v>
          </cell>
          <cell r="B14079" t="str">
            <v>530-25043-000-0000</v>
          </cell>
          <cell r="J14079">
            <v>0.3</v>
          </cell>
        </row>
        <row r="14080">
          <cell r="A14080" t="str">
            <v>FERVIC</v>
          </cell>
          <cell r="B14080" t="str">
            <v>530-25043-001-0000</v>
          </cell>
          <cell r="J14080">
            <v>39.75</v>
          </cell>
        </row>
        <row r="14081">
          <cell r="A14081" t="str">
            <v>FERVIC</v>
          </cell>
          <cell r="B14081" t="str">
            <v>530-25043-001-0011</v>
          </cell>
          <cell r="J14081">
            <v>39.75</v>
          </cell>
        </row>
        <row r="14082">
          <cell r="A14082" t="str">
            <v>FERVIC</v>
          </cell>
          <cell r="B14082" t="str">
            <v>530-25043-054-0000</v>
          </cell>
          <cell r="J14082">
            <v>-39.450000000000003</v>
          </cell>
        </row>
        <row r="14083">
          <cell r="A14083" t="str">
            <v>FERVIC</v>
          </cell>
          <cell r="B14083" t="str">
            <v>530-25043-054-0006</v>
          </cell>
          <cell r="J14083">
            <v>-39.450000000000003</v>
          </cell>
        </row>
        <row r="14084">
          <cell r="A14084" t="str">
            <v>FERVIC</v>
          </cell>
          <cell r="B14084" t="str">
            <v>530-25044-000-0000</v>
          </cell>
          <cell r="J14084">
            <v>-10.220000000000001</v>
          </cell>
        </row>
        <row r="14085">
          <cell r="A14085" t="str">
            <v>FERVIC</v>
          </cell>
          <cell r="B14085" t="str">
            <v>530-25044-001-0000</v>
          </cell>
          <cell r="J14085">
            <v>1291.28</v>
          </cell>
        </row>
        <row r="14086">
          <cell r="A14086" t="str">
            <v>FERVIC</v>
          </cell>
          <cell r="B14086" t="str">
            <v>530-25044-001-0001</v>
          </cell>
          <cell r="J14086">
            <v>929.35</v>
          </cell>
        </row>
        <row r="14087">
          <cell r="A14087" t="str">
            <v>FERVIC</v>
          </cell>
          <cell r="B14087" t="str">
            <v>530-25044-001-0002</v>
          </cell>
          <cell r="J14087">
            <v>126</v>
          </cell>
        </row>
        <row r="14088">
          <cell r="A14088" t="str">
            <v>FERVIC</v>
          </cell>
          <cell r="B14088" t="str">
            <v>530-25044-001-0005</v>
          </cell>
          <cell r="J14088">
            <v>98.09</v>
          </cell>
        </row>
        <row r="14089">
          <cell r="A14089" t="str">
            <v>FERVIC</v>
          </cell>
          <cell r="B14089" t="str">
            <v>530-25044-001-0006</v>
          </cell>
          <cell r="J14089">
            <v>98.09</v>
          </cell>
        </row>
        <row r="14090">
          <cell r="A14090" t="str">
            <v>FERVIC</v>
          </cell>
          <cell r="B14090" t="str">
            <v>530-25044-001-0011</v>
          </cell>
          <cell r="J14090">
            <v>39.75</v>
          </cell>
        </row>
        <row r="14091">
          <cell r="A14091" t="str">
            <v>FERVIC</v>
          </cell>
          <cell r="B14091" t="str">
            <v>530-25044-002-0000</v>
          </cell>
          <cell r="J14091">
            <v>131.84</v>
          </cell>
        </row>
        <row r="14092">
          <cell r="A14092" t="str">
            <v>FERVIC</v>
          </cell>
          <cell r="B14092" t="str">
            <v>530-25044-002-0001</v>
          </cell>
          <cell r="J14092">
            <v>98.07</v>
          </cell>
        </row>
        <row r="14093">
          <cell r="A14093" t="str">
            <v>FERVIC</v>
          </cell>
          <cell r="B14093" t="str">
            <v>530-25044-002-0004</v>
          </cell>
          <cell r="J14093">
            <v>33.770000000000003</v>
          </cell>
        </row>
        <row r="14094">
          <cell r="A14094" t="str">
            <v>FERVIC</v>
          </cell>
          <cell r="B14094" t="str">
            <v>530-25044-054-0000</v>
          </cell>
          <cell r="J14094">
            <v>-1433.34</v>
          </cell>
        </row>
        <row r="14095">
          <cell r="A14095" t="str">
            <v>FERVIC</v>
          </cell>
          <cell r="B14095" t="str">
            <v>530-25044-054-0006</v>
          </cell>
          <cell r="J14095">
            <v>-1433.34</v>
          </cell>
        </row>
        <row r="14096">
          <cell r="A14096" t="str">
            <v>FERVIC</v>
          </cell>
          <cell r="B14096" t="str">
            <v>530-25045-002-0000</v>
          </cell>
          <cell r="J14096">
            <v>31.7</v>
          </cell>
        </row>
        <row r="14097">
          <cell r="A14097" t="str">
            <v>FERVIC</v>
          </cell>
          <cell r="B14097" t="str">
            <v>530-25045-002-0001</v>
          </cell>
          <cell r="J14097">
            <v>31.7</v>
          </cell>
        </row>
        <row r="14098">
          <cell r="A14098" t="str">
            <v>FERVIC</v>
          </cell>
          <cell r="B14098" t="str">
            <v>530-25045-054-0000</v>
          </cell>
          <cell r="J14098">
            <v>-31.7</v>
          </cell>
        </row>
        <row r="14099">
          <cell r="A14099" t="str">
            <v>FERVIC</v>
          </cell>
          <cell r="B14099" t="str">
            <v>530-25045-054-0006</v>
          </cell>
          <cell r="J14099">
            <v>-31.7</v>
          </cell>
        </row>
        <row r="14100">
          <cell r="A14100" t="str">
            <v>FERVIC</v>
          </cell>
          <cell r="B14100" t="str">
            <v>530-25047-000-0000</v>
          </cell>
          <cell r="J14100">
            <v>-10.220000000000001</v>
          </cell>
        </row>
        <row r="14101">
          <cell r="A14101" t="str">
            <v>FERVIC</v>
          </cell>
          <cell r="B14101" t="str">
            <v>530-25047-001-0000</v>
          </cell>
          <cell r="J14101">
            <v>1291.28</v>
          </cell>
        </row>
        <row r="14102">
          <cell r="A14102" t="str">
            <v>FERVIC</v>
          </cell>
          <cell r="B14102" t="str">
            <v>530-25047-001-0001</v>
          </cell>
          <cell r="J14102">
            <v>929.35</v>
          </cell>
        </row>
        <row r="14103">
          <cell r="A14103" t="str">
            <v>FERVIC</v>
          </cell>
          <cell r="B14103" t="str">
            <v>530-25047-001-0002</v>
          </cell>
          <cell r="J14103">
            <v>126</v>
          </cell>
        </row>
        <row r="14104">
          <cell r="A14104" t="str">
            <v>FERVIC</v>
          </cell>
          <cell r="B14104" t="str">
            <v>530-25047-001-0005</v>
          </cell>
          <cell r="J14104">
            <v>98.09</v>
          </cell>
        </row>
        <row r="14105">
          <cell r="A14105" t="str">
            <v>FERVIC</v>
          </cell>
          <cell r="B14105" t="str">
            <v>530-25047-001-0006</v>
          </cell>
          <cell r="J14105">
            <v>98.09</v>
          </cell>
        </row>
        <row r="14106">
          <cell r="A14106" t="str">
            <v>FERVIC</v>
          </cell>
          <cell r="B14106" t="str">
            <v>530-25047-001-0011</v>
          </cell>
          <cell r="J14106">
            <v>39.75</v>
          </cell>
        </row>
        <row r="14107">
          <cell r="A14107" t="str">
            <v>FERVIC</v>
          </cell>
          <cell r="B14107" t="str">
            <v>530-25047-002-0000</v>
          </cell>
          <cell r="J14107">
            <v>131.84</v>
          </cell>
        </row>
        <row r="14108">
          <cell r="A14108" t="str">
            <v>FERVIC</v>
          </cell>
          <cell r="B14108" t="str">
            <v>530-25047-002-0001</v>
          </cell>
          <cell r="J14108">
            <v>98.07</v>
          </cell>
        </row>
        <row r="14109">
          <cell r="A14109" t="str">
            <v>FERVIC</v>
          </cell>
          <cell r="B14109" t="str">
            <v>530-25047-002-0004</v>
          </cell>
          <cell r="J14109">
            <v>33.770000000000003</v>
          </cell>
        </row>
        <row r="14110">
          <cell r="A14110" t="str">
            <v>FERVIC</v>
          </cell>
          <cell r="B14110" t="str">
            <v>530-25047-054-0000</v>
          </cell>
          <cell r="J14110">
            <v>-1433.34</v>
          </cell>
        </row>
        <row r="14111">
          <cell r="A14111" t="str">
            <v>FERVIC</v>
          </cell>
          <cell r="B14111" t="str">
            <v>530-25047-054-0006</v>
          </cell>
          <cell r="J14111">
            <v>-1433.34</v>
          </cell>
        </row>
        <row r="14112">
          <cell r="A14112" t="str">
            <v>FERVIC</v>
          </cell>
          <cell r="B14112" t="str">
            <v>530-26019-000-0000</v>
          </cell>
          <cell r="J14112">
            <v>583988.5</v>
          </cell>
        </row>
        <row r="14113">
          <cell r="A14113" t="str">
            <v>FERVIC</v>
          </cell>
          <cell r="B14113" t="str">
            <v>530-26019-017-0000</v>
          </cell>
          <cell r="J14113">
            <v>519996.5</v>
          </cell>
        </row>
        <row r="14114">
          <cell r="A14114" t="str">
            <v>FERVIC</v>
          </cell>
          <cell r="B14114" t="str">
            <v>530-26019-018-0000</v>
          </cell>
          <cell r="J14114">
            <v>63992</v>
          </cell>
        </row>
        <row r="14115">
          <cell r="A14115" t="str">
            <v>FERVIC</v>
          </cell>
          <cell r="B14115" t="str">
            <v>530-26019-018-0001</v>
          </cell>
          <cell r="J14115">
            <v>63992</v>
          </cell>
        </row>
        <row r="14116">
          <cell r="A14116" t="str">
            <v>FERVIC</v>
          </cell>
          <cell r="B14116" t="str">
            <v>530-26027-000-0000</v>
          </cell>
          <cell r="J14116">
            <v>4644.26</v>
          </cell>
        </row>
        <row r="14117">
          <cell r="A14117" t="str">
            <v>FERVIC</v>
          </cell>
          <cell r="B14117" t="str">
            <v>530-26027-018-0000</v>
          </cell>
          <cell r="J14117">
            <v>4644.26</v>
          </cell>
        </row>
        <row r="14118">
          <cell r="A14118" t="str">
            <v>FERVIC</v>
          </cell>
          <cell r="B14118" t="str">
            <v>530-26027-018-0002</v>
          </cell>
          <cell r="J14118">
            <v>3317.33</v>
          </cell>
        </row>
        <row r="14119">
          <cell r="A14119" t="str">
            <v>FERVIC</v>
          </cell>
          <cell r="B14119" t="str">
            <v>530-26027-018-0008</v>
          </cell>
          <cell r="J14119">
            <v>1326.93</v>
          </cell>
        </row>
        <row r="14120">
          <cell r="A14120" t="str">
            <v>FERVIC</v>
          </cell>
          <cell r="B14120" t="str">
            <v>530-26028-000-0000</v>
          </cell>
          <cell r="J14120">
            <v>1050025.1299999999</v>
          </cell>
        </row>
        <row r="14121">
          <cell r="A14121" t="str">
            <v>FERVIC</v>
          </cell>
          <cell r="B14121" t="str">
            <v>530-26028-001-0000</v>
          </cell>
          <cell r="J14121">
            <v>2813.64</v>
          </cell>
        </row>
        <row r="14122">
          <cell r="A14122" t="str">
            <v>FERVIC</v>
          </cell>
          <cell r="B14122" t="str">
            <v>530-26028-001-0001</v>
          </cell>
          <cell r="J14122">
            <v>1908.49</v>
          </cell>
        </row>
        <row r="14123">
          <cell r="A14123" t="str">
            <v>FERVIC</v>
          </cell>
          <cell r="B14123" t="str">
            <v>530-26028-001-0002</v>
          </cell>
          <cell r="J14123">
            <v>315</v>
          </cell>
        </row>
        <row r="14124">
          <cell r="A14124" t="str">
            <v>FERVIC</v>
          </cell>
          <cell r="B14124" t="str">
            <v>530-26028-001-0005</v>
          </cell>
          <cell r="J14124">
            <v>245.39</v>
          </cell>
        </row>
        <row r="14125">
          <cell r="A14125" t="str">
            <v>FERVIC</v>
          </cell>
          <cell r="B14125" t="str">
            <v>530-26028-001-0006</v>
          </cell>
          <cell r="J14125">
            <v>245.39</v>
          </cell>
        </row>
        <row r="14126">
          <cell r="A14126" t="str">
            <v>FERVIC</v>
          </cell>
          <cell r="B14126" t="str">
            <v>530-26028-001-0011</v>
          </cell>
          <cell r="J14126">
            <v>99.37</v>
          </cell>
        </row>
        <row r="14127">
          <cell r="A14127" t="str">
            <v>FERVIC</v>
          </cell>
          <cell r="B14127" t="str">
            <v>530-26028-002-0000</v>
          </cell>
          <cell r="J14127">
            <v>929.48</v>
          </cell>
        </row>
        <row r="14128">
          <cell r="A14128" t="str">
            <v>FERVIC</v>
          </cell>
          <cell r="B14128" t="str">
            <v>530-26028-002-0001</v>
          </cell>
          <cell r="J14128">
            <v>212.72</v>
          </cell>
        </row>
        <row r="14129">
          <cell r="A14129" t="str">
            <v>FERVIC</v>
          </cell>
          <cell r="B14129" t="str">
            <v>530-26028-002-0002</v>
          </cell>
          <cell r="J14129">
            <v>378.11</v>
          </cell>
        </row>
        <row r="14130">
          <cell r="A14130" t="str">
            <v>FERVIC</v>
          </cell>
          <cell r="B14130" t="str">
            <v>530-26028-002-0003</v>
          </cell>
          <cell r="J14130">
            <v>235.55</v>
          </cell>
        </row>
        <row r="14131">
          <cell r="A14131" t="str">
            <v>FERVIC</v>
          </cell>
          <cell r="B14131" t="str">
            <v>530-26028-002-0004</v>
          </cell>
          <cell r="J14131">
            <v>103.1</v>
          </cell>
        </row>
        <row r="14132">
          <cell r="A14132" t="str">
            <v>FERVIC</v>
          </cell>
          <cell r="B14132" t="str">
            <v>530-26028-016-0000</v>
          </cell>
          <cell r="J14132">
            <v>17076.419999999998</v>
          </cell>
        </row>
        <row r="14133">
          <cell r="A14133" t="str">
            <v>FERVIC</v>
          </cell>
          <cell r="B14133" t="str">
            <v>530-26028-017-0000</v>
          </cell>
          <cell r="J14133">
            <v>883626.75</v>
          </cell>
        </row>
        <row r="14134">
          <cell r="A14134" t="str">
            <v>FERVIC</v>
          </cell>
          <cell r="B14134" t="str">
            <v>530-26028-018-0000</v>
          </cell>
          <cell r="J14134">
            <v>9866.84</v>
          </cell>
        </row>
        <row r="14135">
          <cell r="A14135" t="str">
            <v>FERVIC</v>
          </cell>
          <cell r="B14135" t="str">
            <v>530-26028-018-0002</v>
          </cell>
          <cell r="J14135">
            <v>7047.74</v>
          </cell>
        </row>
        <row r="14136">
          <cell r="A14136" t="str">
            <v>FERVIC</v>
          </cell>
          <cell r="B14136" t="str">
            <v>530-26028-018-0008</v>
          </cell>
          <cell r="J14136">
            <v>2819.1</v>
          </cell>
        </row>
        <row r="14137">
          <cell r="A14137" t="str">
            <v>FERVIC</v>
          </cell>
          <cell r="B14137" t="str">
            <v>530-26028-038-0000</v>
          </cell>
          <cell r="J14137">
            <v>620165</v>
          </cell>
        </row>
        <row r="14138">
          <cell r="A14138" t="str">
            <v>FERVIC</v>
          </cell>
          <cell r="B14138" t="str">
            <v>530-26028-054-0000</v>
          </cell>
          <cell r="J14138">
            <v>-484453</v>
          </cell>
        </row>
        <row r="14139">
          <cell r="A14139" t="str">
            <v>FERVIC</v>
          </cell>
          <cell r="B14139" t="str">
            <v>530-26028-054-0006</v>
          </cell>
          <cell r="J14139">
            <v>-484453</v>
          </cell>
        </row>
        <row r="14140">
          <cell r="A14140" t="str">
            <v>FERVIC</v>
          </cell>
          <cell r="B14140" t="str">
            <v>530-26031-000-0000</v>
          </cell>
          <cell r="J14140">
            <v>17772.96</v>
          </cell>
        </row>
        <row r="14141">
          <cell r="A14141" t="str">
            <v>FERVIC</v>
          </cell>
          <cell r="B14141" t="str">
            <v>530-26031-016-0000</v>
          </cell>
          <cell r="J14141">
            <v>6318.5</v>
          </cell>
        </row>
        <row r="14142">
          <cell r="A14142" t="str">
            <v>FERVIC</v>
          </cell>
          <cell r="B14142" t="str">
            <v>530-26031-018-0000</v>
          </cell>
          <cell r="J14142">
            <v>11454.46</v>
          </cell>
        </row>
        <row r="14143">
          <cell r="A14143" t="str">
            <v>FERVIC</v>
          </cell>
          <cell r="B14143" t="str">
            <v>530-26031-018-0002</v>
          </cell>
          <cell r="J14143">
            <v>8181.76</v>
          </cell>
        </row>
        <row r="14144">
          <cell r="A14144" t="str">
            <v>FERVIC</v>
          </cell>
          <cell r="B14144" t="str">
            <v>530-26031-018-0008</v>
          </cell>
          <cell r="J14144">
            <v>3272.7</v>
          </cell>
        </row>
        <row r="14145">
          <cell r="A14145" t="str">
            <v>FERVIC</v>
          </cell>
          <cell r="B14145" t="str">
            <v>530-26701-017-0000</v>
          </cell>
          <cell r="J14145">
            <v>671622.79</v>
          </cell>
        </row>
        <row r="14146">
          <cell r="A14146" t="str">
            <v>FERVIC</v>
          </cell>
          <cell r="B14146" t="str">
            <v>530-26701-054-0000</v>
          </cell>
          <cell r="J14146">
            <v>-671622.79</v>
          </cell>
        </row>
        <row r="14147">
          <cell r="A14147" t="str">
            <v>FERVIC</v>
          </cell>
          <cell r="B14147" t="str">
            <v>530-26701-054-0006</v>
          </cell>
          <cell r="J14147">
            <v>-671622.79</v>
          </cell>
        </row>
        <row r="14148">
          <cell r="A14148" t="str">
            <v>FERVIC</v>
          </cell>
          <cell r="B14148" t="str">
            <v>530-26702-017-0000</v>
          </cell>
          <cell r="J14148">
            <v>385612.52</v>
          </cell>
        </row>
        <row r="14149">
          <cell r="A14149" t="str">
            <v>FERVIC</v>
          </cell>
          <cell r="B14149" t="str">
            <v>530-26702-054-0000</v>
          </cell>
          <cell r="J14149">
            <v>-385612.52</v>
          </cell>
        </row>
        <row r="14150">
          <cell r="A14150" t="str">
            <v>FERVIC</v>
          </cell>
          <cell r="B14150" t="str">
            <v>530-26702-054-0006</v>
          </cell>
          <cell r="J14150">
            <v>-385612.52</v>
          </cell>
        </row>
        <row r="14151">
          <cell r="A14151" t="str">
            <v>FERVIC</v>
          </cell>
          <cell r="B14151" t="str">
            <v>531-00000-000-0000</v>
          </cell>
          <cell r="J14151">
            <v>11391088.76</v>
          </cell>
        </row>
        <row r="14152">
          <cell r="A14152" t="str">
            <v>FERVIC</v>
          </cell>
          <cell r="B14152" t="str">
            <v>531-25026-000-0000</v>
          </cell>
          <cell r="J14152">
            <v>403.45</v>
          </cell>
        </row>
        <row r="14153">
          <cell r="A14153" t="str">
            <v>FERVIC</v>
          </cell>
          <cell r="B14153" t="str">
            <v>531-25026-004-0000</v>
          </cell>
          <cell r="J14153">
            <v>403.45</v>
          </cell>
        </row>
        <row r="14154">
          <cell r="A14154" t="str">
            <v>FERVIC</v>
          </cell>
          <cell r="B14154" t="str">
            <v>531-25026-004-0005</v>
          </cell>
          <cell r="J14154">
            <v>403.45</v>
          </cell>
        </row>
        <row r="14155">
          <cell r="A14155" t="str">
            <v>FERVIC</v>
          </cell>
          <cell r="B14155" t="str">
            <v>531-25031-000-0000</v>
          </cell>
          <cell r="J14155">
            <v>10480.15</v>
          </cell>
        </row>
        <row r="14156">
          <cell r="A14156" t="str">
            <v>FERVIC</v>
          </cell>
          <cell r="B14156" t="str">
            <v>531-25031-004-0000</v>
          </cell>
          <cell r="J14156">
            <v>10480.15</v>
          </cell>
        </row>
        <row r="14157">
          <cell r="A14157" t="str">
            <v>FERVIC</v>
          </cell>
          <cell r="B14157" t="str">
            <v>531-25031-004-0001</v>
          </cell>
          <cell r="J14157">
            <v>4745.32</v>
          </cell>
        </row>
        <row r="14158">
          <cell r="A14158" t="str">
            <v>FERVIC</v>
          </cell>
          <cell r="B14158" t="str">
            <v>531-25031-004-0002</v>
          </cell>
          <cell r="J14158">
            <v>3118.63</v>
          </cell>
        </row>
        <row r="14159">
          <cell r="A14159" t="str">
            <v>FERVIC</v>
          </cell>
          <cell r="B14159" t="str">
            <v>531-25031-004-0005</v>
          </cell>
          <cell r="J14159">
            <v>2528.2399999999998</v>
          </cell>
        </row>
        <row r="14160">
          <cell r="A14160" t="str">
            <v>FERVIC</v>
          </cell>
          <cell r="B14160" t="str">
            <v>531-25031-004-0013</v>
          </cell>
          <cell r="J14160">
            <v>87.96</v>
          </cell>
        </row>
        <row r="14161">
          <cell r="A14161" t="str">
            <v>FERVIC</v>
          </cell>
          <cell r="B14161" t="str">
            <v>531-25034-000-0000</v>
          </cell>
          <cell r="J14161">
            <v>256948.4</v>
          </cell>
        </row>
        <row r="14162">
          <cell r="A14162" t="str">
            <v>FERVIC</v>
          </cell>
          <cell r="B14162" t="str">
            <v>531-25034-004-0000</v>
          </cell>
          <cell r="J14162">
            <v>212188.64</v>
          </cell>
        </row>
        <row r="14163">
          <cell r="A14163" t="str">
            <v>FERVIC</v>
          </cell>
          <cell r="B14163" t="str">
            <v>531-25034-004-0001</v>
          </cell>
          <cell r="J14163">
            <v>39401.910000000003</v>
          </cell>
        </row>
        <row r="14164">
          <cell r="A14164" t="str">
            <v>FERVIC</v>
          </cell>
          <cell r="B14164" t="str">
            <v>531-25034-004-0002</v>
          </cell>
          <cell r="J14164">
            <v>56233.25</v>
          </cell>
        </row>
        <row r="14165">
          <cell r="A14165" t="str">
            <v>FERVIC</v>
          </cell>
          <cell r="B14165" t="str">
            <v>531-25034-004-0003</v>
          </cell>
          <cell r="J14165">
            <v>37673.74</v>
          </cell>
        </row>
        <row r="14166">
          <cell r="A14166" t="str">
            <v>FERVIC</v>
          </cell>
          <cell r="B14166" t="str">
            <v>531-25034-004-0004</v>
          </cell>
          <cell r="J14166">
            <v>21725</v>
          </cell>
        </row>
        <row r="14167">
          <cell r="A14167" t="str">
            <v>FERVIC</v>
          </cell>
          <cell r="B14167" t="str">
            <v>531-25034-004-0005</v>
          </cell>
          <cell r="J14167">
            <v>9230.52</v>
          </cell>
        </row>
        <row r="14168">
          <cell r="A14168" t="str">
            <v>FERVIC</v>
          </cell>
          <cell r="B14168" t="str">
            <v>531-25034-004-0011</v>
          </cell>
          <cell r="J14168">
            <v>482.76</v>
          </cell>
        </row>
        <row r="14169">
          <cell r="A14169" t="str">
            <v>FERVIC</v>
          </cell>
          <cell r="B14169" t="str">
            <v>531-25034-004-0013</v>
          </cell>
          <cell r="J14169">
            <v>47441.46</v>
          </cell>
        </row>
        <row r="14170">
          <cell r="A14170" t="str">
            <v>FERVIC</v>
          </cell>
          <cell r="B14170" t="str">
            <v>531-25034-007-0000</v>
          </cell>
          <cell r="J14170">
            <v>42188.4</v>
          </cell>
        </row>
        <row r="14171">
          <cell r="A14171" t="str">
            <v>FERVIC</v>
          </cell>
          <cell r="B14171" t="str">
            <v>531-25034-007-0010</v>
          </cell>
          <cell r="J14171">
            <v>22048.81</v>
          </cell>
        </row>
        <row r="14172">
          <cell r="A14172" t="str">
            <v>FERVIC</v>
          </cell>
          <cell r="B14172" t="str">
            <v>531-25034-007-0030</v>
          </cell>
          <cell r="J14172">
            <v>6229.45</v>
          </cell>
        </row>
        <row r="14173">
          <cell r="A14173" t="str">
            <v>FERVIC</v>
          </cell>
          <cell r="B14173" t="str">
            <v>531-25034-007-0060</v>
          </cell>
          <cell r="J14173">
            <v>13910.14</v>
          </cell>
        </row>
        <row r="14174">
          <cell r="A14174" t="str">
            <v>FERVIC</v>
          </cell>
          <cell r="B14174" t="str">
            <v>531-25034-031-0000</v>
          </cell>
          <cell r="J14174">
            <v>2571.36</v>
          </cell>
        </row>
        <row r="14175">
          <cell r="A14175" t="str">
            <v>FERVIC</v>
          </cell>
          <cell r="B14175" t="str">
            <v>531-25034-031-0002</v>
          </cell>
          <cell r="J14175">
            <v>1954.23</v>
          </cell>
        </row>
        <row r="14176">
          <cell r="A14176" t="str">
            <v>FERVIC</v>
          </cell>
          <cell r="B14176" t="str">
            <v>531-25034-031-0005</v>
          </cell>
          <cell r="J14176">
            <v>617.13</v>
          </cell>
        </row>
        <row r="14177">
          <cell r="A14177" t="str">
            <v>FERVIC</v>
          </cell>
          <cell r="B14177" t="str">
            <v>531-25040-000-0000</v>
          </cell>
          <cell r="J14177">
            <v>7878222.5899999999</v>
          </cell>
        </row>
        <row r="14178">
          <cell r="A14178" t="str">
            <v>FERVIC</v>
          </cell>
          <cell r="B14178" t="str">
            <v>531-25040-004-0000</v>
          </cell>
          <cell r="J14178">
            <v>194222.81</v>
          </cell>
        </row>
        <row r="14179">
          <cell r="A14179" t="str">
            <v>FERVIC</v>
          </cell>
          <cell r="B14179" t="str">
            <v>531-25040-004-0001</v>
          </cell>
          <cell r="J14179">
            <v>34500.39</v>
          </cell>
        </row>
        <row r="14180">
          <cell r="A14180" t="str">
            <v>FERVIC</v>
          </cell>
          <cell r="B14180" t="str">
            <v>531-25040-004-0002</v>
          </cell>
          <cell r="J14180">
            <v>38802.879999999997</v>
          </cell>
        </row>
        <row r="14181">
          <cell r="A14181" t="str">
            <v>FERVIC</v>
          </cell>
          <cell r="B14181" t="str">
            <v>531-25040-004-0003</v>
          </cell>
          <cell r="J14181">
            <v>81103.490000000005</v>
          </cell>
        </row>
        <row r="14182">
          <cell r="A14182" t="str">
            <v>FERVIC</v>
          </cell>
          <cell r="B14182" t="str">
            <v>531-25040-004-0004</v>
          </cell>
          <cell r="J14182">
            <v>387.94</v>
          </cell>
        </row>
        <row r="14183">
          <cell r="A14183" t="str">
            <v>FERVIC</v>
          </cell>
          <cell r="B14183" t="str">
            <v>531-25040-004-0005</v>
          </cell>
          <cell r="J14183">
            <v>28944.63</v>
          </cell>
        </row>
        <row r="14184">
          <cell r="A14184" t="str">
            <v>FERVIC</v>
          </cell>
          <cell r="B14184" t="str">
            <v>531-25040-004-0009</v>
          </cell>
          <cell r="J14184">
            <v>85.35</v>
          </cell>
        </row>
        <row r="14185">
          <cell r="A14185" t="str">
            <v>FERVIC</v>
          </cell>
          <cell r="B14185" t="str">
            <v>531-25040-004-0011</v>
          </cell>
          <cell r="J14185">
            <v>2898.29</v>
          </cell>
        </row>
        <row r="14186">
          <cell r="A14186" t="str">
            <v>FERVIC</v>
          </cell>
          <cell r="B14186" t="str">
            <v>531-25040-004-0013</v>
          </cell>
          <cell r="J14186">
            <v>7466.51</v>
          </cell>
        </row>
        <row r="14187">
          <cell r="A14187" t="str">
            <v>FERVIC</v>
          </cell>
          <cell r="B14187" t="str">
            <v>531-25040-004-0014</v>
          </cell>
          <cell r="J14187">
            <v>33.33</v>
          </cell>
        </row>
        <row r="14188">
          <cell r="A14188" t="str">
            <v>FERVIC</v>
          </cell>
          <cell r="B14188" t="str">
            <v>531-25040-007-0000</v>
          </cell>
          <cell r="J14188">
            <v>7363906.5499999998</v>
          </cell>
        </row>
        <row r="14189">
          <cell r="A14189" t="str">
            <v>FERVIC</v>
          </cell>
          <cell r="B14189" t="str">
            <v>531-25040-007-0010</v>
          </cell>
          <cell r="J14189">
            <v>7175744.3300000001</v>
          </cell>
        </row>
        <row r="14190">
          <cell r="A14190" t="str">
            <v>FERVIC</v>
          </cell>
          <cell r="B14190" t="str">
            <v>531-25040-007-0020</v>
          </cell>
          <cell r="J14190">
            <v>4.08</v>
          </cell>
        </row>
        <row r="14191">
          <cell r="A14191" t="str">
            <v>FERVIC</v>
          </cell>
          <cell r="B14191" t="str">
            <v>531-25040-007-0030</v>
          </cell>
          <cell r="J14191">
            <v>366.9</v>
          </cell>
        </row>
        <row r="14192">
          <cell r="A14192" t="str">
            <v>FERVIC</v>
          </cell>
          <cell r="B14192" t="str">
            <v>531-25040-007-0050</v>
          </cell>
          <cell r="J14192">
            <v>152733.56</v>
          </cell>
        </row>
        <row r="14193">
          <cell r="A14193" t="str">
            <v>FERVIC</v>
          </cell>
          <cell r="B14193" t="str">
            <v>531-25040-007-0060</v>
          </cell>
          <cell r="J14193">
            <v>5519.79</v>
          </cell>
        </row>
        <row r="14194">
          <cell r="A14194" t="str">
            <v>FERVIC</v>
          </cell>
          <cell r="B14194" t="str">
            <v>531-25040-007-0070</v>
          </cell>
          <cell r="J14194">
            <v>29537.89</v>
          </cell>
        </row>
        <row r="14195">
          <cell r="A14195" t="str">
            <v>FERVIC</v>
          </cell>
          <cell r="B14195" t="str">
            <v>531-25040-031-0000</v>
          </cell>
          <cell r="J14195">
            <v>2177.6</v>
          </cell>
        </row>
        <row r="14196">
          <cell r="A14196" t="str">
            <v>FERVIC</v>
          </cell>
          <cell r="B14196" t="str">
            <v>531-25040-031-0002</v>
          </cell>
          <cell r="J14196">
            <v>1654.98</v>
          </cell>
        </row>
        <row r="14197">
          <cell r="A14197" t="str">
            <v>FERVIC</v>
          </cell>
          <cell r="B14197" t="str">
            <v>531-25040-031-0005</v>
          </cell>
          <cell r="J14197">
            <v>522.62</v>
          </cell>
        </row>
        <row r="14198">
          <cell r="A14198" t="str">
            <v>FERVIC</v>
          </cell>
          <cell r="B14198" t="str">
            <v>531-25040-054-0000</v>
          </cell>
          <cell r="J14198">
            <v>317915.63</v>
          </cell>
        </row>
        <row r="14199">
          <cell r="A14199" t="str">
            <v>FERVIC</v>
          </cell>
          <cell r="B14199" t="str">
            <v>531-25040-054-0006</v>
          </cell>
          <cell r="J14199">
            <v>317915.63</v>
          </cell>
        </row>
        <row r="14200">
          <cell r="A14200" t="str">
            <v>FERVIC</v>
          </cell>
          <cell r="B14200" t="str">
            <v>531-26019-000-0000</v>
          </cell>
          <cell r="J14200">
            <v>1982953.25</v>
          </cell>
        </row>
        <row r="14201">
          <cell r="A14201" t="str">
            <v>FERVIC</v>
          </cell>
          <cell r="B14201" t="str">
            <v>531-26019-004-0000</v>
          </cell>
          <cell r="J14201">
            <v>63752.22</v>
          </cell>
        </row>
        <row r="14202">
          <cell r="A14202" t="str">
            <v>FERVIC</v>
          </cell>
          <cell r="B14202" t="str">
            <v>531-26019-004-0001</v>
          </cell>
          <cell r="J14202">
            <v>6876.12</v>
          </cell>
        </row>
        <row r="14203">
          <cell r="A14203" t="str">
            <v>FERVIC</v>
          </cell>
          <cell r="B14203" t="str">
            <v>531-26019-004-0002</v>
          </cell>
          <cell r="J14203">
            <v>13320.3</v>
          </cell>
        </row>
        <row r="14204">
          <cell r="A14204" t="str">
            <v>FERVIC</v>
          </cell>
          <cell r="B14204" t="str">
            <v>531-26019-004-0003</v>
          </cell>
          <cell r="J14204">
            <v>19383.63</v>
          </cell>
        </row>
        <row r="14205">
          <cell r="A14205" t="str">
            <v>FERVIC</v>
          </cell>
          <cell r="B14205" t="str">
            <v>531-26019-004-0004</v>
          </cell>
          <cell r="J14205">
            <v>636.91999999999996</v>
          </cell>
        </row>
        <row r="14206">
          <cell r="A14206" t="str">
            <v>FERVIC</v>
          </cell>
          <cell r="B14206" t="str">
            <v>531-26019-004-0005</v>
          </cell>
          <cell r="J14206">
            <v>16621.55</v>
          </cell>
        </row>
        <row r="14207">
          <cell r="A14207" t="str">
            <v>FERVIC</v>
          </cell>
          <cell r="B14207" t="str">
            <v>531-26019-004-0009</v>
          </cell>
          <cell r="J14207">
            <v>416.38</v>
          </cell>
        </row>
        <row r="14208">
          <cell r="A14208" t="str">
            <v>FERVIC</v>
          </cell>
          <cell r="B14208" t="str">
            <v>531-26019-004-0013</v>
          </cell>
          <cell r="J14208">
            <v>6497.32</v>
          </cell>
        </row>
        <row r="14209">
          <cell r="A14209" t="str">
            <v>FERVIC</v>
          </cell>
          <cell r="B14209" t="str">
            <v>531-26019-007-0000</v>
          </cell>
          <cell r="J14209">
            <v>1645254.47</v>
          </cell>
        </row>
        <row r="14210">
          <cell r="A14210" t="str">
            <v>FERVIC</v>
          </cell>
          <cell r="B14210" t="str">
            <v>531-26019-007-0010</v>
          </cell>
          <cell r="J14210">
            <v>783616.29</v>
          </cell>
        </row>
        <row r="14211">
          <cell r="A14211" t="str">
            <v>FERVIC</v>
          </cell>
          <cell r="B14211" t="str">
            <v>531-26019-007-0030</v>
          </cell>
          <cell r="J14211">
            <v>591690.85</v>
          </cell>
        </row>
        <row r="14212">
          <cell r="A14212" t="str">
            <v>FERVIC</v>
          </cell>
          <cell r="B14212" t="str">
            <v>531-26019-007-0060</v>
          </cell>
          <cell r="J14212">
            <v>269886.94</v>
          </cell>
        </row>
        <row r="14213">
          <cell r="A14213" t="str">
            <v>FERVIC</v>
          </cell>
          <cell r="B14213" t="str">
            <v>531-26019-007-0070</v>
          </cell>
          <cell r="J14213">
            <v>60.39</v>
          </cell>
        </row>
        <row r="14214">
          <cell r="A14214" t="str">
            <v>FERVIC</v>
          </cell>
          <cell r="B14214" t="str">
            <v>531-26019-009-0000</v>
          </cell>
          <cell r="J14214">
            <v>273946.56</v>
          </cell>
        </row>
        <row r="14215">
          <cell r="A14215" t="str">
            <v>FERVIC</v>
          </cell>
          <cell r="B14215" t="str">
            <v>531-26028-000-0000</v>
          </cell>
          <cell r="J14215">
            <v>11681.08</v>
          </cell>
        </row>
        <row r="14216">
          <cell r="A14216" t="str">
            <v>FERVIC</v>
          </cell>
          <cell r="B14216" t="str">
            <v>531-26028-004-0000</v>
          </cell>
          <cell r="J14216">
            <v>54374.48</v>
          </cell>
        </row>
        <row r="14217">
          <cell r="A14217" t="str">
            <v>FERVIC</v>
          </cell>
          <cell r="B14217" t="str">
            <v>531-26028-004-0001</v>
          </cell>
          <cell r="J14217">
            <v>5356</v>
          </cell>
        </row>
        <row r="14218">
          <cell r="A14218" t="str">
            <v>FERVIC</v>
          </cell>
          <cell r="B14218" t="str">
            <v>531-26028-004-0002</v>
          </cell>
          <cell r="J14218">
            <v>15547.96</v>
          </cell>
        </row>
        <row r="14219">
          <cell r="A14219" t="str">
            <v>FERVIC</v>
          </cell>
          <cell r="B14219" t="str">
            <v>531-26028-004-0003</v>
          </cell>
          <cell r="J14219">
            <v>13036.92</v>
          </cell>
        </row>
        <row r="14220">
          <cell r="A14220" t="str">
            <v>FERVIC</v>
          </cell>
          <cell r="B14220" t="str">
            <v>531-26028-004-0004</v>
          </cell>
          <cell r="J14220">
            <v>732.76</v>
          </cell>
        </row>
        <row r="14221">
          <cell r="A14221" t="str">
            <v>FERVIC</v>
          </cell>
          <cell r="B14221" t="str">
            <v>531-26028-004-0005</v>
          </cell>
          <cell r="J14221">
            <v>8645.42</v>
          </cell>
        </row>
        <row r="14222">
          <cell r="A14222" t="str">
            <v>FERVIC</v>
          </cell>
          <cell r="B14222" t="str">
            <v>531-26028-004-0009</v>
          </cell>
          <cell r="J14222">
            <v>523.44000000000005</v>
          </cell>
        </row>
        <row r="14223">
          <cell r="A14223" t="str">
            <v>FERVIC</v>
          </cell>
          <cell r="B14223" t="str">
            <v>531-26028-004-0011</v>
          </cell>
          <cell r="J14223">
            <v>3188.96</v>
          </cell>
        </row>
        <row r="14224">
          <cell r="A14224" t="str">
            <v>FERVIC</v>
          </cell>
          <cell r="B14224" t="str">
            <v>531-26028-004-0013</v>
          </cell>
          <cell r="J14224">
            <v>6896.72</v>
          </cell>
        </row>
        <row r="14225">
          <cell r="A14225" t="str">
            <v>FERVIC</v>
          </cell>
          <cell r="B14225" t="str">
            <v>531-26028-004-0014</v>
          </cell>
          <cell r="J14225">
            <v>446.3</v>
          </cell>
        </row>
        <row r="14226">
          <cell r="A14226" t="str">
            <v>FERVIC</v>
          </cell>
          <cell r="B14226" t="str">
            <v>531-26028-007-0000</v>
          </cell>
          <cell r="J14226">
            <v>1064070.74</v>
          </cell>
        </row>
        <row r="14227">
          <cell r="A14227" t="str">
            <v>FERVIC</v>
          </cell>
          <cell r="B14227" t="str">
            <v>531-26028-007-0010</v>
          </cell>
          <cell r="J14227">
            <v>13937.17</v>
          </cell>
        </row>
        <row r="14228">
          <cell r="A14228" t="str">
            <v>FERVIC</v>
          </cell>
          <cell r="B14228" t="str">
            <v>531-26028-007-0030</v>
          </cell>
          <cell r="J14228">
            <v>46408.68</v>
          </cell>
        </row>
        <row r="14229">
          <cell r="A14229" t="str">
            <v>FERVIC</v>
          </cell>
          <cell r="B14229" t="str">
            <v>531-26028-007-0050</v>
          </cell>
          <cell r="J14229">
            <v>997042.82</v>
          </cell>
        </row>
        <row r="14230">
          <cell r="A14230" t="str">
            <v>FERVIC</v>
          </cell>
          <cell r="B14230" t="str">
            <v>531-26028-007-0060</v>
          </cell>
          <cell r="J14230">
            <v>5975.92</v>
          </cell>
        </row>
        <row r="14231">
          <cell r="A14231" t="str">
            <v>FERVIC</v>
          </cell>
          <cell r="B14231" t="str">
            <v>531-26028-007-0070</v>
          </cell>
          <cell r="J14231">
            <v>706.15</v>
          </cell>
        </row>
        <row r="14232">
          <cell r="A14232" t="str">
            <v>FERVIC</v>
          </cell>
          <cell r="B14232" t="str">
            <v>531-26028-031-0000</v>
          </cell>
          <cell r="J14232">
            <v>64901.14</v>
          </cell>
        </row>
        <row r="14233">
          <cell r="A14233" t="str">
            <v>FERVIC</v>
          </cell>
          <cell r="B14233" t="str">
            <v>531-26028-031-0002</v>
          </cell>
          <cell r="J14233">
            <v>49324.87</v>
          </cell>
        </row>
        <row r="14234">
          <cell r="A14234" t="str">
            <v>FERVIC</v>
          </cell>
          <cell r="B14234" t="str">
            <v>531-26028-031-0005</v>
          </cell>
          <cell r="J14234">
            <v>15576.27</v>
          </cell>
        </row>
        <row r="14235">
          <cell r="A14235" t="str">
            <v>FERVIC</v>
          </cell>
          <cell r="B14235" t="str">
            <v>531-26028-054-0000</v>
          </cell>
          <cell r="J14235">
            <v>-1171665.28</v>
          </cell>
        </row>
        <row r="14236">
          <cell r="A14236" t="str">
            <v>FERVIC</v>
          </cell>
          <cell r="B14236" t="str">
            <v>531-26028-054-0006</v>
          </cell>
          <cell r="J14236">
            <v>-1171665.28</v>
          </cell>
        </row>
        <row r="14237">
          <cell r="A14237" t="str">
            <v>FERVIC</v>
          </cell>
          <cell r="B14237" t="str">
            <v>531-26031-000-0000</v>
          </cell>
          <cell r="J14237">
            <v>1250399.8400000001</v>
          </cell>
        </row>
        <row r="14238">
          <cell r="A14238" t="str">
            <v>FERVIC</v>
          </cell>
          <cell r="B14238" t="str">
            <v>531-26031-004-0000</v>
          </cell>
          <cell r="J14238">
            <v>228133.3</v>
          </cell>
        </row>
        <row r="14239">
          <cell r="A14239" t="str">
            <v>FERVIC</v>
          </cell>
          <cell r="B14239" t="str">
            <v>531-26031-004-0001</v>
          </cell>
          <cell r="J14239">
            <v>44689.02</v>
          </cell>
        </row>
        <row r="14240">
          <cell r="A14240" t="str">
            <v>FERVIC</v>
          </cell>
          <cell r="B14240" t="str">
            <v>531-26031-004-0002</v>
          </cell>
          <cell r="J14240">
            <v>87559.55</v>
          </cell>
        </row>
        <row r="14241">
          <cell r="A14241" t="str">
            <v>FERVIC</v>
          </cell>
          <cell r="B14241" t="str">
            <v>531-26031-004-0003</v>
          </cell>
          <cell r="J14241">
            <v>67887.960000000006</v>
          </cell>
        </row>
        <row r="14242">
          <cell r="A14242" t="str">
            <v>FERVIC</v>
          </cell>
          <cell r="B14242" t="str">
            <v>531-26031-004-0004</v>
          </cell>
          <cell r="J14242">
            <v>581.9</v>
          </cell>
        </row>
        <row r="14243">
          <cell r="A14243" t="str">
            <v>FERVIC</v>
          </cell>
          <cell r="B14243" t="str">
            <v>531-26031-004-0005</v>
          </cell>
          <cell r="J14243">
            <v>20425.28</v>
          </cell>
        </row>
        <row r="14244">
          <cell r="A14244" t="str">
            <v>FERVIC</v>
          </cell>
          <cell r="B14244" t="str">
            <v>531-26031-004-0009</v>
          </cell>
          <cell r="J14244">
            <v>863.6</v>
          </cell>
        </row>
        <row r="14245">
          <cell r="A14245" t="str">
            <v>FERVIC</v>
          </cell>
          <cell r="B14245" t="str">
            <v>531-26031-004-0013</v>
          </cell>
          <cell r="J14245">
            <v>6079.69</v>
          </cell>
        </row>
        <row r="14246">
          <cell r="A14246" t="str">
            <v>FERVIC</v>
          </cell>
          <cell r="B14246" t="str">
            <v>531-26031-004-0014</v>
          </cell>
          <cell r="J14246">
            <v>46.3</v>
          </cell>
        </row>
        <row r="14247">
          <cell r="A14247" t="str">
            <v>FERVIC</v>
          </cell>
          <cell r="B14247" t="str">
            <v>531-26031-007-0000</v>
          </cell>
          <cell r="J14247">
            <v>1666338.55</v>
          </cell>
        </row>
        <row r="14248">
          <cell r="A14248" t="str">
            <v>FERVIC</v>
          </cell>
          <cell r="B14248" t="str">
            <v>531-26031-007-0010</v>
          </cell>
          <cell r="J14248">
            <v>14097.44</v>
          </cell>
        </row>
        <row r="14249">
          <cell r="A14249" t="str">
            <v>FERVIC</v>
          </cell>
          <cell r="B14249" t="str">
            <v>531-26031-007-0020</v>
          </cell>
          <cell r="J14249">
            <v>982529.98</v>
          </cell>
        </row>
        <row r="14250">
          <cell r="A14250" t="str">
            <v>FERVIC</v>
          </cell>
          <cell r="B14250" t="str">
            <v>531-26031-007-0030</v>
          </cell>
          <cell r="J14250">
            <v>15800.4</v>
          </cell>
        </row>
        <row r="14251">
          <cell r="A14251" t="str">
            <v>FERVIC</v>
          </cell>
          <cell r="B14251" t="str">
            <v>531-26031-007-0050</v>
          </cell>
          <cell r="J14251">
            <v>109672.85</v>
          </cell>
        </row>
        <row r="14252">
          <cell r="A14252" t="str">
            <v>FERVIC</v>
          </cell>
          <cell r="B14252" t="str">
            <v>531-26031-007-0060</v>
          </cell>
          <cell r="J14252">
            <v>543295.39</v>
          </cell>
        </row>
        <row r="14253">
          <cell r="A14253" t="str">
            <v>FERVIC</v>
          </cell>
          <cell r="B14253" t="str">
            <v>531-26031-007-0070</v>
          </cell>
          <cell r="J14253">
            <v>942.49</v>
          </cell>
        </row>
        <row r="14254">
          <cell r="A14254" t="str">
            <v>FERVIC</v>
          </cell>
          <cell r="B14254" t="str">
            <v>531-26031-009-0000</v>
          </cell>
          <cell r="J14254">
            <v>199690.4</v>
          </cell>
        </row>
        <row r="14255">
          <cell r="A14255" t="str">
            <v>FERVIC</v>
          </cell>
          <cell r="B14255" t="str">
            <v>531-26031-031-0000</v>
          </cell>
          <cell r="J14255">
            <v>35043.61</v>
          </cell>
        </row>
        <row r="14256">
          <cell r="A14256" t="str">
            <v>FERVIC</v>
          </cell>
          <cell r="B14256" t="str">
            <v>531-26031-031-0002</v>
          </cell>
          <cell r="J14256">
            <v>26633.14</v>
          </cell>
        </row>
        <row r="14257">
          <cell r="A14257" t="str">
            <v>FERVIC</v>
          </cell>
          <cell r="B14257" t="str">
            <v>531-26031-031-0005</v>
          </cell>
          <cell r="J14257">
            <v>8410.4699999999993</v>
          </cell>
        </row>
        <row r="14258">
          <cell r="A14258" t="str">
            <v>FERVIC</v>
          </cell>
          <cell r="B14258" t="str">
            <v>531-26031-054-0000</v>
          </cell>
          <cell r="J14258">
            <v>-878806.02</v>
          </cell>
        </row>
        <row r="14259">
          <cell r="A14259" t="str">
            <v>FERVIC</v>
          </cell>
          <cell r="B14259" t="str">
            <v>531-26031-054-0006</v>
          </cell>
          <cell r="J14259">
            <v>-878806.02</v>
          </cell>
        </row>
        <row r="14260">
          <cell r="A14260" t="str">
            <v>FERVIC</v>
          </cell>
          <cell r="B14260" t="str">
            <v>531-26701-004-0000</v>
          </cell>
          <cell r="J14260">
            <v>7245.97</v>
          </cell>
        </row>
        <row r="14261">
          <cell r="A14261" t="str">
            <v>FERVIC</v>
          </cell>
          <cell r="B14261" t="str">
            <v>531-26701-004-0001</v>
          </cell>
          <cell r="J14261">
            <v>624.52</v>
          </cell>
        </row>
        <row r="14262">
          <cell r="A14262" t="str">
            <v>FERVIC</v>
          </cell>
          <cell r="B14262" t="str">
            <v>531-26701-004-0002</v>
          </cell>
          <cell r="J14262">
            <v>1250.0999999999999</v>
          </cell>
        </row>
        <row r="14263">
          <cell r="A14263" t="str">
            <v>FERVIC</v>
          </cell>
          <cell r="B14263" t="str">
            <v>531-26701-004-0003</v>
          </cell>
          <cell r="J14263">
            <v>1328.64</v>
          </cell>
        </row>
        <row r="14264">
          <cell r="A14264" t="str">
            <v>FERVIC</v>
          </cell>
          <cell r="B14264" t="str">
            <v>531-26701-004-0004</v>
          </cell>
          <cell r="J14264">
            <v>190.52</v>
          </cell>
        </row>
        <row r="14265">
          <cell r="A14265" t="str">
            <v>FERVIC</v>
          </cell>
          <cell r="B14265" t="str">
            <v>531-26701-004-0005</v>
          </cell>
          <cell r="J14265">
            <v>1907.75</v>
          </cell>
        </row>
        <row r="14266">
          <cell r="A14266" t="str">
            <v>FERVIC</v>
          </cell>
          <cell r="B14266" t="str">
            <v>531-26701-004-0013</v>
          </cell>
          <cell r="J14266">
            <v>1944.44</v>
          </cell>
        </row>
        <row r="14267">
          <cell r="A14267" t="str">
            <v>FERVIC</v>
          </cell>
          <cell r="B14267" t="str">
            <v>531-26701-007-0000</v>
          </cell>
          <cell r="J14267">
            <v>1276.74</v>
          </cell>
        </row>
        <row r="14268">
          <cell r="A14268" t="str">
            <v>FERVIC</v>
          </cell>
          <cell r="B14268" t="str">
            <v>531-26701-007-0010</v>
          </cell>
          <cell r="J14268">
            <v>877.13</v>
          </cell>
        </row>
        <row r="14269">
          <cell r="A14269" t="str">
            <v>FERVIC</v>
          </cell>
          <cell r="B14269" t="str">
            <v>531-26701-007-0060</v>
          </cell>
          <cell r="J14269">
            <v>399.61</v>
          </cell>
        </row>
        <row r="14270">
          <cell r="A14270" t="str">
            <v>FERVIC</v>
          </cell>
          <cell r="B14270" t="str">
            <v>531-26701-054-0000</v>
          </cell>
          <cell r="J14270">
            <v>-8522.7099999999991</v>
          </cell>
        </row>
        <row r="14271">
          <cell r="A14271" t="str">
            <v>FERVIC</v>
          </cell>
          <cell r="B14271" t="str">
            <v>531-26701-054-0006</v>
          </cell>
          <cell r="J14271">
            <v>-8522.7099999999991</v>
          </cell>
        </row>
        <row r="14272">
          <cell r="A14272" t="str">
            <v>FERVIC</v>
          </cell>
          <cell r="B14272" t="str">
            <v>531-26702-004-0000</v>
          </cell>
          <cell r="J14272">
            <v>7441.37</v>
          </cell>
        </row>
        <row r="14273">
          <cell r="A14273" t="str">
            <v>FERVIC</v>
          </cell>
          <cell r="B14273" t="str">
            <v>531-26702-004-0001</v>
          </cell>
          <cell r="J14273">
            <v>234.04</v>
          </cell>
        </row>
        <row r="14274">
          <cell r="A14274" t="str">
            <v>FERVIC</v>
          </cell>
          <cell r="B14274" t="str">
            <v>531-26702-004-0002</v>
          </cell>
          <cell r="J14274">
            <v>1852.21</v>
          </cell>
        </row>
        <row r="14275">
          <cell r="A14275" t="str">
            <v>FERVIC</v>
          </cell>
          <cell r="B14275" t="str">
            <v>531-26702-004-0003</v>
          </cell>
          <cell r="J14275">
            <v>950.83</v>
          </cell>
        </row>
        <row r="14276">
          <cell r="A14276" t="str">
            <v>FERVIC</v>
          </cell>
          <cell r="B14276" t="str">
            <v>531-26702-004-0005</v>
          </cell>
          <cell r="J14276">
            <v>4345.96</v>
          </cell>
        </row>
        <row r="14277">
          <cell r="A14277" t="str">
            <v>FERVIC</v>
          </cell>
          <cell r="B14277" t="str">
            <v>531-26702-004-0013</v>
          </cell>
          <cell r="J14277">
            <v>58.33</v>
          </cell>
        </row>
        <row r="14278">
          <cell r="A14278" t="str">
            <v>FERVIC</v>
          </cell>
          <cell r="B14278" t="str">
            <v>531-26702-054-0000</v>
          </cell>
          <cell r="J14278">
            <v>-7441.37</v>
          </cell>
        </row>
        <row r="14279">
          <cell r="A14279" t="str">
            <v>FERVIC</v>
          </cell>
          <cell r="B14279" t="str">
            <v>531-26702-054-0006</v>
          </cell>
          <cell r="J14279">
            <v>-7441.37</v>
          </cell>
        </row>
        <row r="14280">
          <cell r="A14280" t="str">
            <v>FERVIC</v>
          </cell>
          <cell r="B14280" t="str">
            <v>560-00000-000-0000</v>
          </cell>
          <cell r="J14280">
            <v>760493.67</v>
          </cell>
        </row>
        <row r="14281">
          <cell r="A14281" t="str">
            <v>FERVIC</v>
          </cell>
          <cell r="B14281" t="str">
            <v>560-99999-000-0000</v>
          </cell>
          <cell r="J14281">
            <v>760493.67</v>
          </cell>
        </row>
        <row r="14282">
          <cell r="A14282" t="str">
            <v>FERVIC</v>
          </cell>
          <cell r="B14282" t="str">
            <v>560-99999-001-0000</v>
          </cell>
          <cell r="J14282">
            <v>-213826.3</v>
          </cell>
        </row>
        <row r="14283">
          <cell r="A14283" t="str">
            <v>FERVIC</v>
          </cell>
          <cell r="B14283" t="str">
            <v>560-99999-001-0001</v>
          </cell>
          <cell r="J14283">
            <v>-176064.32</v>
          </cell>
        </row>
        <row r="14284">
          <cell r="A14284" t="str">
            <v>FERVIC</v>
          </cell>
          <cell r="B14284" t="str">
            <v>560-99999-001-0002</v>
          </cell>
          <cell r="J14284">
            <v>-12076.35</v>
          </cell>
        </row>
        <row r="14285">
          <cell r="A14285" t="str">
            <v>FERVIC</v>
          </cell>
          <cell r="B14285" t="str">
            <v>560-99999-001-0005</v>
          </cell>
          <cell r="J14285">
            <v>-10550.48</v>
          </cell>
        </row>
        <row r="14286">
          <cell r="A14286" t="str">
            <v>FERVIC</v>
          </cell>
          <cell r="B14286" t="str">
            <v>560-99999-001-0006</v>
          </cell>
          <cell r="J14286">
            <v>-10550.48</v>
          </cell>
        </row>
        <row r="14287">
          <cell r="A14287" t="str">
            <v>FERVIC</v>
          </cell>
          <cell r="B14287" t="str">
            <v>560-99999-001-0009</v>
          </cell>
          <cell r="J14287">
            <v>-9611.0300000000007</v>
          </cell>
        </row>
        <row r="14288">
          <cell r="A14288" t="str">
            <v>FERVIC</v>
          </cell>
          <cell r="B14288" t="str">
            <v>560-99999-001-0010</v>
          </cell>
          <cell r="J14288">
            <v>2323.37</v>
          </cell>
        </row>
        <row r="14289">
          <cell r="A14289" t="str">
            <v>FERVIC</v>
          </cell>
          <cell r="B14289" t="str">
            <v>560-99999-001-0011</v>
          </cell>
          <cell r="J14289">
            <v>2702.99</v>
          </cell>
        </row>
        <row r="14290">
          <cell r="A14290" t="str">
            <v>FERVIC</v>
          </cell>
          <cell r="B14290" t="str">
            <v>560-99999-002-0000</v>
          </cell>
          <cell r="J14290">
            <v>198487.89</v>
          </cell>
        </row>
        <row r="14291">
          <cell r="A14291" t="str">
            <v>FERVIC</v>
          </cell>
          <cell r="B14291" t="str">
            <v>560-99999-002-0001</v>
          </cell>
          <cell r="J14291">
            <v>94369.87</v>
          </cell>
        </row>
        <row r="14292">
          <cell r="A14292" t="str">
            <v>FERVIC</v>
          </cell>
          <cell r="B14292" t="str">
            <v>560-99999-002-0002</v>
          </cell>
          <cell r="J14292">
            <v>76988.960000000006</v>
          </cell>
        </row>
        <row r="14293">
          <cell r="A14293" t="str">
            <v>FERVIC</v>
          </cell>
          <cell r="B14293" t="str">
            <v>560-99999-002-0003</v>
          </cell>
          <cell r="J14293">
            <v>33449.620000000003</v>
          </cell>
        </row>
        <row r="14294">
          <cell r="A14294" t="str">
            <v>FERVIC</v>
          </cell>
          <cell r="B14294" t="str">
            <v>560-99999-002-0004</v>
          </cell>
          <cell r="J14294">
            <v>-6320.56</v>
          </cell>
        </row>
        <row r="14295">
          <cell r="A14295" t="str">
            <v>FERVIC</v>
          </cell>
          <cell r="B14295" t="str">
            <v>560-99999-006-0000</v>
          </cell>
          <cell r="J14295">
            <v>320000</v>
          </cell>
        </row>
        <row r="14296">
          <cell r="A14296" t="str">
            <v>FERVIC</v>
          </cell>
          <cell r="B14296" t="str">
            <v>560-99999-037-0000</v>
          </cell>
          <cell r="J14296">
            <v>455000</v>
          </cell>
        </row>
        <row r="14297">
          <cell r="A14297" t="str">
            <v>FERVIC</v>
          </cell>
          <cell r="B14297" t="str">
            <v>560-99999-061-0000</v>
          </cell>
          <cell r="J14297">
            <v>832.08</v>
          </cell>
        </row>
        <row r="14298">
          <cell r="A14298" t="str">
            <v>FERVIC</v>
          </cell>
          <cell r="B14298" t="str">
            <v>561-00000-000-0000</v>
          </cell>
          <cell r="J14298">
            <v>3525046.66</v>
          </cell>
        </row>
        <row r="14299">
          <cell r="A14299" t="str">
            <v>FERVIC</v>
          </cell>
          <cell r="B14299" t="str">
            <v>561-99999-000-0000</v>
          </cell>
          <cell r="J14299">
            <v>3525046.66</v>
          </cell>
        </row>
        <row r="14300">
          <cell r="A14300" t="str">
            <v>FERVIC</v>
          </cell>
          <cell r="B14300" t="str">
            <v>561-99999-021-0000</v>
          </cell>
          <cell r="J14300">
            <v>3525046.66</v>
          </cell>
        </row>
        <row r="14301">
          <cell r="A14301" t="str">
            <v>FERVIC</v>
          </cell>
          <cell r="B14301" t="str">
            <v>620-00000-000-0000</v>
          </cell>
          <cell r="J14301">
            <v>191021.09</v>
          </cell>
        </row>
        <row r="14302">
          <cell r="A14302" t="str">
            <v>FERVIC</v>
          </cell>
          <cell r="B14302" t="str">
            <v>620-99999-000-0000</v>
          </cell>
          <cell r="J14302">
            <v>191021.09</v>
          </cell>
        </row>
        <row r="14303">
          <cell r="A14303" t="str">
            <v>FERVIC</v>
          </cell>
          <cell r="B14303" t="str">
            <v>620-99999-001-0000</v>
          </cell>
          <cell r="J14303">
            <v>153517.22</v>
          </cell>
        </row>
        <row r="14304">
          <cell r="A14304" t="str">
            <v>FERVIC</v>
          </cell>
          <cell r="B14304" t="str">
            <v>620-99999-001-0001</v>
          </cell>
          <cell r="J14304">
            <v>125994.97</v>
          </cell>
        </row>
        <row r="14305">
          <cell r="A14305" t="str">
            <v>FERVIC</v>
          </cell>
          <cell r="B14305" t="str">
            <v>620-99999-001-0002</v>
          </cell>
          <cell r="J14305">
            <v>9270.7999999999993</v>
          </cell>
        </row>
        <row r="14306">
          <cell r="A14306" t="str">
            <v>FERVIC</v>
          </cell>
          <cell r="B14306" t="str">
            <v>620-99999-001-0005</v>
          </cell>
          <cell r="J14306">
            <v>4367.75</v>
          </cell>
        </row>
        <row r="14307">
          <cell r="A14307" t="str">
            <v>FERVIC</v>
          </cell>
          <cell r="B14307" t="str">
            <v>620-99999-001-0006</v>
          </cell>
          <cell r="J14307">
            <v>4367.75</v>
          </cell>
        </row>
        <row r="14308">
          <cell r="A14308" t="str">
            <v>FERVIC</v>
          </cell>
          <cell r="B14308" t="str">
            <v>620-99999-001-0009</v>
          </cell>
          <cell r="J14308">
            <v>3948.94</v>
          </cell>
        </row>
        <row r="14309">
          <cell r="A14309" t="str">
            <v>FERVIC</v>
          </cell>
          <cell r="B14309" t="str">
            <v>620-99999-001-0010</v>
          </cell>
          <cell r="J14309">
            <v>2407.0100000000002</v>
          </cell>
        </row>
        <row r="14310">
          <cell r="A14310" t="str">
            <v>FERVIC</v>
          </cell>
          <cell r="B14310" t="str">
            <v>620-99999-001-0011</v>
          </cell>
          <cell r="J14310">
            <v>3160</v>
          </cell>
        </row>
        <row r="14311">
          <cell r="A14311" t="str">
            <v>FERVIC</v>
          </cell>
          <cell r="B14311" t="str">
            <v>620-99999-002-0000</v>
          </cell>
          <cell r="J14311">
            <v>40917.129999999997</v>
          </cell>
        </row>
        <row r="14312">
          <cell r="A14312" t="str">
            <v>FERVIC</v>
          </cell>
          <cell r="B14312" t="str">
            <v>620-99999-002-0001</v>
          </cell>
          <cell r="J14312">
            <v>14139.58</v>
          </cell>
        </row>
        <row r="14313">
          <cell r="A14313" t="str">
            <v>FERVIC</v>
          </cell>
          <cell r="B14313" t="str">
            <v>620-99999-002-0002</v>
          </cell>
          <cell r="J14313">
            <v>14124.93</v>
          </cell>
        </row>
        <row r="14314">
          <cell r="A14314" t="str">
            <v>FERVIC</v>
          </cell>
          <cell r="B14314" t="str">
            <v>620-99999-002-0003</v>
          </cell>
          <cell r="J14314">
            <v>8211.83</v>
          </cell>
        </row>
        <row r="14315">
          <cell r="A14315" t="str">
            <v>FERVIC</v>
          </cell>
          <cell r="B14315" t="str">
            <v>620-99999-002-0004</v>
          </cell>
          <cell r="J14315">
            <v>4440.79</v>
          </cell>
        </row>
        <row r="14316">
          <cell r="A14316" t="str">
            <v>FERVIC</v>
          </cell>
          <cell r="B14316" t="str">
            <v>620-99999-061-0000</v>
          </cell>
          <cell r="J14316">
            <v>-3413.26</v>
          </cell>
        </row>
        <row r="14317">
          <cell r="A14317" t="str">
            <v>FERVIC</v>
          </cell>
          <cell r="B14317" t="str">
            <v>630-00000-000-0000</v>
          </cell>
          <cell r="J14317">
            <v>713950.02</v>
          </cell>
        </row>
        <row r="14318">
          <cell r="A14318" t="str">
            <v>FERVIC</v>
          </cell>
          <cell r="B14318" t="str">
            <v>630-99999-000-0000</v>
          </cell>
          <cell r="J14318">
            <v>713950.02</v>
          </cell>
        </row>
        <row r="14319">
          <cell r="A14319" t="str">
            <v>FERVIC</v>
          </cell>
          <cell r="B14319" t="str">
            <v>630-99999-001-0000</v>
          </cell>
          <cell r="J14319">
            <v>583588.43999999994</v>
          </cell>
        </row>
        <row r="14320">
          <cell r="A14320" t="str">
            <v>FERVIC</v>
          </cell>
          <cell r="B14320" t="str">
            <v>630-99999-001-0001</v>
          </cell>
          <cell r="J14320">
            <v>421479.48</v>
          </cell>
        </row>
        <row r="14321">
          <cell r="A14321" t="str">
            <v>FERVIC</v>
          </cell>
          <cell r="B14321" t="str">
            <v>630-99999-001-0002</v>
          </cell>
          <cell r="J14321">
            <v>43823.78</v>
          </cell>
        </row>
        <row r="14322">
          <cell r="A14322" t="str">
            <v>FERVIC</v>
          </cell>
          <cell r="B14322" t="str">
            <v>630-99999-001-0005</v>
          </cell>
          <cell r="J14322">
            <v>36064.629999999997</v>
          </cell>
        </row>
        <row r="14323">
          <cell r="A14323" t="str">
            <v>FERVIC</v>
          </cell>
          <cell r="B14323" t="str">
            <v>630-99999-001-0006</v>
          </cell>
          <cell r="J14323">
            <v>36064.629999999997</v>
          </cell>
        </row>
        <row r="14324">
          <cell r="A14324" t="str">
            <v>FERVIC</v>
          </cell>
          <cell r="B14324" t="str">
            <v>630-99999-001-0009</v>
          </cell>
          <cell r="J14324">
            <v>23077.57</v>
          </cell>
        </row>
        <row r="14325">
          <cell r="A14325" t="str">
            <v>FERVIC</v>
          </cell>
          <cell r="B14325" t="str">
            <v>630-99999-001-0010</v>
          </cell>
          <cell r="J14325">
            <v>7675.31</v>
          </cell>
        </row>
        <row r="14326">
          <cell r="A14326" t="str">
            <v>FERVIC</v>
          </cell>
          <cell r="B14326" t="str">
            <v>630-99999-001-0011</v>
          </cell>
          <cell r="J14326">
            <v>15403.04</v>
          </cell>
        </row>
        <row r="14327">
          <cell r="A14327" t="str">
            <v>FERVIC</v>
          </cell>
          <cell r="B14327" t="str">
            <v>630-99999-002-0000</v>
          </cell>
          <cell r="J14327">
            <v>135423.65</v>
          </cell>
        </row>
        <row r="14328">
          <cell r="A14328" t="str">
            <v>FERVIC</v>
          </cell>
          <cell r="B14328" t="str">
            <v>630-99999-002-0001</v>
          </cell>
          <cell r="J14328">
            <v>50081.72</v>
          </cell>
        </row>
        <row r="14329">
          <cell r="A14329" t="str">
            <v>FERVIC</v>
          </cell>
          <cell r="B14329" t="str">
            <v>630-99999-002-0002</v>
          </cell>
          <cell r="J14329">
            <v>43478.36</v>
          </cell>
        </row>
        <row r="14330">
          <cell r="A14330" t="str">
            <v>FERVIC</v>
          </cell>
          <cell r="B14330" t="str">
            <v>630-99999-002-0003</v>
          </cell>
          <cell r="J14330">
            <v>25654.65</v>
          </cell>
        </row>
        <row r="14331">
          <cell r="A14331" t="str">
            <v>FERVIC</v>
          </cell>
          <cell r="B14331" t="str">
            <v>630-99999-002-0004</v>
          </cell>
          <cell r="J14331">
            <v>16208.92</v>
          </cell>
        </row>
        <row r="14332">
          <cell r="A14332" t="str">
            <v>FERVIC</v>
          </cell>
          <cell r="B14332" t="str">
            <v>630-99999-061-0000</v>
          </cell>
          <cell r="J14332">
            <v>-5062.07</v>
          </cell>
        </row>
        <row r="14333">
          <cell r="A14333" t="str">
            <v>FERVIC</v>
          </cell>
          <cell r="B14333" t="str">
            <v>640-00000-000-0000</v>
          </cell>
          <cell r="J14333">
            <v>281842.76</v>
          </cell>
        </row>
        <row r="14334">
          <cell r="A14334" t="str">
            <v>FERVIC</v>
          </cell>
          <cell r="B14334" t="str">
            <v>640-99999-000-0000</v>
          </cell>
          <cell r="J14334">
            <v>281842.76</v>
          </cell>
        </row>
        <row r="14335">
          <cell r="A14335" t="str">
            <v>FERVIC</v>
          </cell>
          <cell r="B14335" t="str">
            <v>640-99999-001-0000</v>
          </cell>
          <cell r="J14335">
            <v>229366.11</v>
          </cell>
        </row>
        <row r="14336">
          <cell r="A14336" t="str">
            <v>FERVIC</v>
          </cell>
          <cell r="B14336" t="str">
            <v>640-99999-001-0001</v>
          </cell>
          <cell r="J14336">
            <v>156068.41</v>
          </cell>
        </row>
        <row r="14337">
          <cell r="A14337" t="str">
            <v>FERVIC</v>
          </cell>
          <cell r="B14337" t="str">
            <v>640-99999-001-0002</v>
          </cell>
          <cell r="J14337">
            <v>13860</v>
          </cell>
        </row>
        <row r="14338">
          <cell r="A14338" t="str">
            <v>FERVIC</v>
          </cell>
          <cell r="B14338" t="str">
            <v>640-99999-001-0005</v>
          </cell>
          <cell r="J14338">
            <v>18072.13</v>
          </cell>
        </row>
        <row r="14339">
          <cell r="A14339" t="str">
            <v>FERVIC</v>
          </cell>
          <cell r="B14339" t="str">
            <v>640-99999-001-0006</v>
          </cell>
          <cell r="J14339">
            <v>18072.13</v>
          </cell>
        </row>
        <row r="14340">
          <cell r="A14340" t="str">
            <v>FERVIC</v>
          </cell>
          <cell r="B14340" t="str">
            <v>640-99999-001-0009</v>
          </cell>
          <cell r="J14340">
            <v>16144.2</v>
          </cell>
        </row>
        <row r="14341">
          <cell r="A14341" t="str">
            <v>FERVIC</v>
          </cell>
          <cell r="B14341" t="str">
            <v>640-99999-001-0010</v>
          </cell>
          <cell r="J14341">
            <v>1191.54</v>
          </cell>
        </row>
        <row r="14342">
          <cell r="A14342" t="str">
            <v>FERVIC</v>
          </cell>
          <cell r="B14342" t="str">
            <v>640-99999-001-0011</v>
          </cell>
          <cell r="J14342">
            <v>5957.7</v>
          </cell>
        </row>
        <row r="14343">
          <cell r="A14343" t="str">
            <v>FERVIC</v>
          </cell>
          <cell r="B14343" t="str">
            <v>640-99999-002-0000</v>
          </cell>
          <cell r="J14343">
            <v>52746.65</v>
          </cell>
        </row>
        <row r="14344">
          <cell r="A14344" t="str">
            <v>FERVIC</v>
          </cell>
          <cell r="B14344" t="str">
            <v>640-99999-002-0001</v>
          </cell>
          <cell r="J14344">
            <v>16638.5</v>
          </cell>
        </row>
        <row r="14345">
          <cell r="A14345" t="str">
            <v>FERVIC</v>
          </cell>
          <cell r="B14345" t="str">
            <v>640-99999-002-0002</v>
          </cell>
          <cell r="J14345">
            <v>19285.830000000002</v>
          </cell>
        </row>
        <row r="14346">
          <cell r="A14346" t="str">
            <v>FERVIC</v>
          </cell>
          <cell r="B14346" t="str">
            <v>640-99999-002-0003</v>
          </cell>
          <cell r="J14346">
            <v>10300.42</v>
          </cell>
        </row>
        <row r="14347">
          <cell r="A14347" t="str">
            <v>FERVIC</v>
          </cell>
          <cell r="B14347" t="str">
            <v>640-99999-002-0004</v>
          </cell>
          <cell r="J14347">
            <v>6521.9</v>
          </cell>
        </row>
        <row r="14348">
          <cell r="A14348" t="str">
            <v>FERVIC</v>
          </cell>
          <cell r="B14348" t="str">
            <v>640-99999-061-0000</v>
          </cell>
          <cell r="J14348">
            <v>-270</v>
          </cell>
        </row>
        <row r="14349">
          <cell r="A14349" t="str">
            <v>FERVIC</v>
          </cell>
          <cell r="B14349" t="str">
            <v>650-00000-000-0000</v>
          </cell>
          <cell r="J14349">
            <v>670917.65</v>
          </cell>
        </row>
        <row r="14350">
          <cell r="A14350" t="str">
            <v>FERVIC</v>
          </cell>
          <cell r="B14350" t="str">
            <v>650-99999-000-0000</v>
          </cell>
          <cell r="J14350">
            <v>670917.65</v>
          </cell>
        </row>
        <row r="14351">
          <cell r="A14351" t="str">
            <v>FERVIC</v>
          </cell>
          <cell r="B14351" t="str">
            <v>650-99999-001-0000</v>
          </cell>
          <cell r="J14351">
            <v>37800.29</v>
          </cell>
        </row>
        <row r="14352">
          <cell r="A14352" t="str">
            <v>FERVIC</v>
          </cell>
          <cell r="B14352" t="str">
            <v>650-99999-001-0001</v>
          </cell>
          <cell r="J14352">
            <v>26124.11</v>
          </cell>
        </row>
        <row r="14353">
          <cell r="A14353" t="str">
            <v>FERVIC</v>
          </cell>
          <cell r="B14353" t="str">
            <v>650-99999-001-0002</v>
          </cell>
          <cell r="J14353">
            <v>1890</v>
          </cell>
        </row>
        <row r="14354">
          <cell r="A14354" t="str">
            <v>FERVIC</v>
          </cell>
          <cell r="B14354" t="str">
            <v>650-99999-001-0005</v>
          </cell>
          <cell r="J14354">
            <v>3127.95</v>
          </cell>
        </row>
        <row r="14355">
          <cell r="A14355" t="str">
            <v>FERVIC</v>
          </cell>
          <cell r="B14355" t="str">
            <v>650-99999-001-0006</v>
          </cell>
          <cell r="J14355">
            <v>3127.95</v>
          </cell>
        </row>
        <row r="14356">
          <cell r="A14356" t="str">
            <v>FERVIC</v>
          </cell>
          <cell r="B14356" t="str">
            <v>650-99999-001-0009</v>
          </cell>
          <cell r="J14356">
            <v>3530.28</v>
          </cell>
        </row>
        <row r="14357">
          <cell r="A14357" t="str">
            <v>FERVIC</v>
          </cell>
          <cell r="B14357" t="str">
            <v>650-99999-002-0000</v>
          </cell>
          <cell r="J14357">
            <v>9691.94</v>
          </cell>
        </row>
        <row r="14358">
          <cell r="A14358" t="str">
            <v>FERVIC</v>
          </cell>
          <cell r="B14358" t="str">
            <v>650-99999-002-0001</v>
          </cell>
          <cell r="J14358">
            <v>1964.7</v>
          </cell>
        </row>
        <row r="14359">
          <cell r="A14359" t="str">
            <v>FERVIC</v>
          </cell>
          <cell r="B14359" t="str">
            <v>650-99999-002-0002</v>
          </cell>
          <cell r="J14359">
            <v>4321.74</v>
          </cell>
        </row>
        <row r="14360">
          <cell r="A14360" t="str">
            <v>FERVIC</v>
          </cell>
          <cell r="B14360" t="str">
            <v>650-99999-002-0003</v>
          </cell>
          <cell r="J14360">
            <v>2271.4899999999998</v>
          </cell>
        </row>
        <row r="14361">
          <cell r="A14361" t="str">
            <v>FERVIC</v>
          </cell>
          <cell r="B14361" t="str">
            <v>650-99999-002-0004</v>
          </cell>
          <cell r="J14361">
            <v>1134.01</v>
          </cell>
        </row>
        <row r="14362">
          <cell r="A14362" t="str">
            <v>FERVIC</v>
          </cell>
          <cell r="B14362" t="str">
            <v>650-99999-005-0000</v>
          </cell>
          <cell r="J14362">
            <v>1256.8900000000001</v>
          </cell>
        </row>
        <row r="14363">
          <cell r="A14363" t="str">
            <v>FERVIC</v>
          </cell>
          <cell r="B14363" t="str">
            <v>650-99999-005-0001</v>
          </cell>
          <cell r="J14363">
            <v>1256.8900000000001</v>
          </cell>
        </row>
        <row r="14364">
          <cell r="A14364" t="str">
            <v>FERVIC</v>
          </cell>
          <cell r="B14364" t="str">
            <v>650-99999-010-0000</v>
          </cell>
          <cell r="J14364">
            <v>13668.81</v>
          </cell>
        </row>
        <row r="14365">
          <cell r="A14365" t="str">
            <v>FERVIC</v>
          </cell>
          <cell r="B14365" t="str">
            <v>650-99999-010-0001</v>
          </cell>
          <cell r="J14365">
            <v>13668.81</v>
          </cell>
        </row>
        <row r="14366">
          <cell r="A14366" t="str">
            <v>FERVIC</v>
          </cell>
          <cell r="B14366" t="str">
            <v>650-99999-012-0000</v>
          </cell>
          <cell r="J14366">
            <v>3302.59</v>
          </cell>
        </row>
        <row r="14367">
          <cell r="A14367" t="str">
            <v>FERVIC</v>
          </cell>
          <cell r="B14367" t="str">
            <v>650-99999-012-0001</v>
          </cell>
          <cell r="J14367">
            <v>3302.59</v>
          </cell>
        </row>
        <row r="14368">
          <cell r="A14368" t="str">
            <v>FERVIC</v>
          </cell>
          <cell r="B14368" t="str">
            <v>650-99999-013-0000</v>
          </cell>
          <cell r="J14368">
            <v>568250.01</v>
          </cell>
        </row>
        <row r="14369">
          <cell r="A14369" t="str">
            <v>FERVIC</v>
          </cell>
          <cell r="B14369" t="str">
            <v>650-99999-013-0001</v>
          </cell>
          <cell r="J14369">
            <v>568250.01</v>
          </cell>
        </row>
        <row r="14370">
          <cell r="A14370" t="str">
            <v>FERVIC</v>
          </cell>
          <cell r="B14370" t="str">
            <v>650-99999-022-0000</v>
          </cell>
          <cell r="J14370">
            <v>3586</v>
          </cell>
        </row>
        <row r="14371">
          <cell r="A14371" t="str">
            <v>FERVIC</v>
          </cell>
          <cell r="B14371" t="str">
            <v>650-99999-022-0002</v>
          </cell>
          <cell r="J14371">
            <v>3535</v>
          </cell>
        </row>
        <row r="14372">
          <cell r="A14372" t="str">
            <v>FERVIC</v>
          </cell>
          <cell r="B14372" t="str">
            <v>650-99999-022-0003</v>
          </cell>
          <cell r="J14372">
            <v>51</v>
          </cell>
        </row>
        <row r="14373">
          <cell r="A14373" t="str">
            <v>FERVIC</v>
          </cell>
          <cell r="B14373" t="str">
            <v>650-99999-023-0000</v>
          </cell>
          <cell r="J14373">
            <v>30276</v>
          </cell>
        </row>
        <row r="14374">
          <cell r="A14374" t="str">
            <v>FERVIC</v>
          </cell>
          <cell r="B14374" t="str">
            <v>650-99999-025-0000</v>
          </cell>
          <cell r="J14374">
            <v>1715.97</v>
          </cell>
        </row>
        <row r="14375">
          <cell r="A14375" t="str">
            <v>FERVIC</v>
          </cell>
          <cell r="B14375" t="str">
            <v>650-99999-025-0001</v>
          </cell>
          <cell r="J14375">
            <v>1713.97</v>
          </cell>
        </row>
        <row r="14376">
          <cell r="A14376" t="str">
            <v>FERVIC</v>
          </cell>
          <cell r="B14376" t="str">
            <v>650-99999-025-0003</v>
          </cell>
          <cell r="J14376">
            <v>2</v>
          </cell>
        </row>
        <row r="14377">
          <cell r="A14377" t="str">
            <v>FERVIC</v>
          </cell>
          <cell r="B14377" t="str">
            <v>650-99999-046-0000</v>
          </cell>
          <cell r="J14377">
            <v>1369.15</v>
          </cell>
        </row>
        <row r="14378">
          <cell r="A14378" t="str">
            <v>FERVIC</v>
          </cell>
          <cell r="B14378" t="str">
            <v>660-00000-000-0000</v>
          </cell>
          <cell r="J14378">
            <v>294011.37</v>
          </cell>
        </row>
        <row r="14379">
          <cell r="A14379" t="str">
            <v>FERVIC</v>
          </cell>
          <cell r="B14379" t="str">
            <v>660-99999-000-0000</v>
          </cell>
          <cell r="J14379">
            <v>294011.37</v>
          </cell>
        </row>
        <row r="14380">
          <cell r="A14380" t="str">
            <v>FERVIC</v>
          </cell>
          <cell r="B14380" t="str">
            <v>660-99999-034-0000</v>
          </cell>
          <cell r="J14380">
            <v>208912.68</v>
          </cell>
        </row>
        <row r="14381">
          <cell r="A14381" t="str">
            <v>FERVIC</v>
          </cell>
          <cell r="B14381" t="str">
            <v>660-99999-034-0002</v>
          </cell>
          <cell r="J14381">
            <v>125269.38</v>
          </cell>
        </row>
        <row r="14382">
          <cell r="A14382" t="str">
            <v>FERVIC</v>
          </cell>
          <cell r="B14382" t="str">
            <v>660-99999-034-0003</v>
          </cell>
          <cell r="J14382">
            <v>83643.3</v>
          </cell>
        </row>
        <row r="14383">
          <cell r="A14383" t="str">
            <v>FERVIC</v>
          </cell>
          <cell r="B14383" t="str">
            <v>660-99999-035-0000</v>
          </cell>
          <cell r="J14383">
            <v>85098.69</v>
          </cell>
        </row>
        <row r="14384">
          <cell r="A14384" t="str">
            <v>FERVIC</v>
          </cell>
          <cell r="B14384" t="str">
            <v>660-99999-035-0001</v>
          </cell>
          <cell r="J14384">
            <v>85098.69</v>
          </cell>
        </row>
        <row r="14385">
          <cell r="A14385" t="str">
            <v>FERVIC</v>
          </cell>
          <cell r="B14385" t="str">
            <v>710-00000-000-0000</v>
          </cell>
          <cell r="J14385">
            <v>8967.41</v>
          </cell>
        </row>
        <row r="14386">
          <cell r="A14386" t="str">
            <v>FERVIC</v>
          </cell>
          <cell r="B14386" t="str">
            <v>710-99999-000-0000</v>
          </cell>
          <cell r="J14386">
            <v>8967.41</v>
          </cell>
        </row>
        <row r="14387">
          <cell r="A14387" t="str">
            <v>FERVIC</v>
          </cell>
          <cell r="B14387" t="str">
            <v>710-99999-002-0000</v>
          </cell>
          <cell r="J14387">
            <v>8967.41</v>
          </cell>
        </row>
        <row r="14388">
          <cell r="A14388" t="str">
            <v>FERVIC</v>
          </cell>
          <cell r="B14388" t="str">
            <v>710-99999-002-0001</v>
          </cell>
          <cell r="J14388">
            <v>8967.41</v>
          </cell>
        </row>
        <row r="14389">
          <cell r="A14389" t="str">
            <v>FERVIC</v>
          </cell>
          <cell r="B14389" t="str">
            <v>740-00000-000-0000</v>
          </cell>
          <cell r="J14389">
            <v>12751.51</v>
          </cell>
        </row>
        <row r="14390">
          <cell r="A14390" t="str">
            <v>FERVIC</v>
          </cell>
          <cell r="B14390" t="str">
            <v>740-99999-000-0000</v>
          </cell>
          <cell r="J14390">
            <v>12751.51</v>
          </cell>
        </row>
        <row r="14391">
          <cell r="A14391" t="str">
            <v>FERVIC</v>
          </cell>
          <cell r="B14391" t="str">
            <v>740-99999-001-0000</v>
          </cell>
          <cell r="J14391">
            <v>12751.51</v>
          </cell>
        </row>
        <row r="14392">
          <cell r="A14392" t="str">
            <v>FERVIC</v>
          </cell>
          <cell r="J14392">
            <v>0</v>
          </cell>
        </row>
        <row r="14393">
          <cell r="A14393" t="str">
            <v>FERVIC</v>
          </cell>
          <cell r="J14393">
            <v>0</v>
          </cell>
        </row>
        <row r="14394">
          <cell r="A14394" t="str">
            <v>FERVIC</v>
          </cell>
          <cell r="J14394">
            <v>0</v>
          </cell>
        </row>
        <row r="14395">
          <cell r="A14395" t="str">
            <v>FERVIC</v>
          </cell>
          <cell r="J14395">
            <v>0</v>
          </cell>
        </row>
        <row r="14396">
          <cell r="A14396" t="str">
            <v>FERVIC</v>
          </cell>
          <cell r="J14396">
            <v>0</v>
          </cell>
        </row>
        <row r="14397">
          <cell r="A14397" t="str">
            <v>FERVIC</v>
          </cell>
          <cell r="J14397">
            <v>0</v>
          </cell>
        </row>
        <row r="14398">
          <cell r="A14398" t="str">
            <v>FERVIC</v>
          </cell>
          <cell r="J14398">
            <v>0</v>
          </cell>
        </row>
        <row r="14399">
          <cell r="A14399" t="str">
            <v>FERVIC</v>
          </cell>
          <cell r="J14399">
            <v>0</v>
          </cell>
        </row>
        <row r="14400">
          <cell r="A14400" t="str">
            <v>FERVIC</v>
          </cell>
          <cell r="J14400">
            <v>0</v>
          </cell>
        </row>
        <row r="14401">
          <cell r="A14401" t="str">
            <v>FERVIC</v>
          </cell>
          <cell r="J14401">
            <v>0</v>
          </cell>
        </row>
        <row r="14402">
          <cell r="A14402" t="str">
            <v>FERVIC</v>
          </cell>
          <cell r="J14402">
            <v>0</v>
          </cell>
        </row>
        <row r="14403">
          <cell r="A14403" t="str">
            <v>FERVIC</v>
          </cell>
          <cell r="J14403">
            <v>0</v>
          </cell>
        </row>
        <row r="14404">
          <cell r="A14404" t="str">
            <v>FERVIC</v>
          </cell>
          <cell r="J14404">
            <v>0</v>
          </cell>
        </row>
        <row r="14405">
          <cell r="A14405" t="str">
            <v>FERVIC</v>
          </cell>
          <cell r="J14405">
            <v>0</v>
          </cell>
        </row>
        <row r="14406">
          <cell r="A14406" t="str">
            <v>FERVIC</v>
          </cell>
          <cell r="J14406">
            <v>0</v>
          </cell>
        </row>
        <row r="14407">
          <cell r="A14407" t="str">
            <v>FERVIC</v>
          </cell>
          <cell r="J14407">
            <v>0</v>
          </cell>
        </row>
        <row r="14408">
          <cell r="A14408" t="str">
            <v>FERVIC</v>
          </cell>
          <cell r="J14408">
            <v>0</v>
          </cell>
        </row>
        <row r="14409">
          <cell r="A14409" t="str">
            <v>FERVIC</v>
          </cell>
          <cell r="J14409">
            <v>0</v>
          </cell>
        </row>
        <row r="14410">
          <cell r="A14410" t="str">
            <v>FERVIC</v>
          </cell>
          <cell r="J14410">
            <v>0</v>
          </cell>
        </row>
        <row r="14411">
          <cell r="A14411" t="str">
            <v>FERVIC</v>
          </cell>
          <cell r="J14411">
            <v>0</v>
          </cell>
        </row>
        <row r="14412">
          <cell r="A14412" t="str">
            <v>FERVIC</v>
          </cell>
          <cell r="J14412">
            <v>0</v>
          </cell>
        </row>
        <row r="14413">
          <cell r="A14413" t="str">
            <v>FERVIC</v>
          </cell>
          <cell r="J14413">
            <v>0</v>
          </cell>
        </row>
        <row r="14414">
          <cell r="A14414" t="str">
            <v>FERVIC</v>
          </cell>
          <cell r="J14414">
            <v>0</v>
          </cell>
        </row>
        <row r="14415">
          <cell r="A14415" t="str">
            <v>FERVIC</v>
          </cell>
          <cell r="J14415">
            <v>0</v>
          </cell>
        </row>
        <row r="14416">
          <cell r="A14416" t="str">
            <v>FERVIC</v>
          </cell>
          <cell r="J14416">
            <v>0</v>
          </cell>
        </row>
        <row r="14417">
          <cell r="A14417" t="str">
            <v>FERVIC</v>
          </cell>
          <cell r="J14417">
            <v>0</v>
          </cell>
        </row>
        <row r="14418">
          <cell r="A14418" t="str">
            <v>FERVIC</v>
          </cell>
          <cell r="J14418">
            <v>0</v>
          </cell>
        </row>
        <row r="14419">
          <cell r="A14419" t="str">
            <v>FERVIC</v>
          </cell>
          <cell r="J14419">
            <v>0</v>
          </cell>
        </row>
        <row r="14420">
          <cell r="A14420" t="str">
            <v>FERVIC</v>
          </cell>
          <cell r="J14420">
            <v>0</v>
          </cell>
        </row>
        <row r="14421">
          <cell r="A14421" t="str">
            <v>FERVIC</v>
          </cell>
          <cell r="J14421">
            <v>0</v>
          </cell>
        </row>
        <row r="14422">
          <cell r="A14422" t="str">
            <v>FERVIC</v>
          </cell>
          <cell r="J14422">
            <v>0</v>
          </cell>
        </row>
        <row r="14423">
          <cell r="A14423" t="str">
            <v>FERVIC</v>
          </cell>
          <cell r="J14423">
            <v>0</v>
          </cell>
        </row>
        <row r="14424">
          <cell r="A14424" t="str">
            <v>FERVIC</v>
          </cell>
          <cell r="J14424">
            <v>0</v>
          </cell>
        </row>
        <row r="14425">
          <cell r="A14425" t="str">
            <v>FERVIC</v>
          </cell>
          <cell r="J14425">
            <v>0</v>
          </cell>
        </row>
        <row r="14426">
          <cell r="A14426" t="str">
            <v>FERVIC</v>
          </cell>
          <cell r="J14426">
            <v>0</v>
          </cell>
        </row>
        <row r="14427">
          <cell r="A14427" t="str">
            <v>FERVIC</v>
          </cell>
          <cell r="J14427">
            <v>0</v>
          </cell>
        </row>
        <row r="14428">
          <cell r="A14428" t="str">
            <v>FERVIC</v>
          </cell>
          <cell r="J14428">
            <v>0</v>
          </cell>
        </row>
        <row r="14429">
          <cell r="A14429" t="str">
            <v>FERVIC</v>
          </cell>
          <cell r="J14429">
            <v>0</v>
          </cell>
        </row>
        <row r="14430">
          <cell r="A14430" t="str">
            <v>FERVIC</v>
          </cell>
          <cell r="J14430">
            <v>0</v>
          </cell>
        </row>
        <row r="14431">
          <cell r="A14431" t="str">
            <v>FERVIC</v>
          </cell>
          <cell r="J14431">
            <v>0</v>
          </cell>
        </row>
        <row r="14432">
          <cell r="A14432" t="str">
            <v>FERVIC</v>
          </cell>
          <cell r="J14432">
            <v>0</v>
          </cell>
        </row>
        <row r="14433">
          <cell r="A14433" t="str">
            <v>FERVIC</v>
          </cell>
          <cell r="J14433">
            <v>0</v>
          </cell>
        </row>
        <row r="14434">
          <cell r="A14434" t="str">
            <v>FERVIC</v>
          </cell>
          <cell r="J14434">
            <v>0</v>
          </cell>
        </row>
        <row r="14435">
          <cell r="A14435" t="str">
            <v>FERVIC</v>
          </cell>
          <cell r="J14435">
            <v>0</v>
          </cell>
        </row>
        <row r="14436">
          <cell r="A14436" t="str">
            <v>FERVIC</v>
          </cell>
          <cell r="J14436">
            <v>0</v>
          </cell>
        </row>
        <row r="14437">
          <cell r="A14437" t="str">
            <v>FERVIC</v>
          </cell>
          <cell r="J14437">
            <v>0</v>
          </cell>
        </row>
        <row r="14438">
          <cell r="A14438" t="str">
            <v>FERVIC</v>
          </cell>
          <cell r="J14438">
            <v>0</v>
          </cell>
        </row>
        <row r="14439">
          <cell r="A14439" t="str">
            <v>FERVIC</v>
          </cell>
          <cell r="J14439">
            <v>0</v>
          </cell>
        </row>
        <row r="14440">
          <cell r="A14440" t="str">
            <v>FERVIC</v>
          </cell>
          <cell r="J14440">
            <v>0</v>
          </cell>
        </row>
        <row r="14441">
          <cell r="A14441" t="str">
            <v>FERVIC</v>
          </cell>
          <cell r="J14441">
            <v>0</v>
          </cell>
        </row>
        <row r="14442">
          <cell r="A14442" t="str">
            <v>FERVIC</v>
          </cell>
          <cell r="J14442">
            <v>0</v>
          </cell>
        </row>
        <row r="14443">
          <cell r="A14443" t="str">
            <v>FERVIC</v>
          </cell>
          <cell r="J14443">
            <v>0</v>
          </cell>
        </row>
        <row r="14444">
          <cell r="A14444" t="str">
            <v>FERVIC</v>
          </cell>
          <cell r="J14444">
            <v>0</v>
          </cell>
        </row>
        <row r="14445">
          <cell r="A14445" t="str">
            <v>FERVIC</v>
          </cell>
          <cell r="J14445">
            <v>0</v>
          </cell>
        </row>
        <row r="14446">
          <cell r="A14446" t="str">
            <v>FERVIC</v>
          </cell>
          <cell r="J14446">
            <v>0</v>
          </cell>
        </row>
        <row r="14447">
          <cell r="A14447" t="str">
            <v>FERVIC</v>
          </cell>
          <cell r="J14447">
            <v>0</v>
          </cell>
        </row>
        <row r="14448">
          <cell r="A14448" t="str">
            <v>FERVIC</v>
          </cell>
          <cell r="J14448">
            <v>0</v>
          </cell>
        </row>
        <row r="14449">
          <cell r="A14449" t="str">
            <v>FERVIC</v>
          </cell>
          <cell r="J14449">
            <v>0</v>
          </cell>
        </row>
        <row r="14450">
          <cell r="A14450" t="str">
            <v>FERVIC</v>
          </cell>
          <cell r="J14450">
            <v>0</v>
          </cell>
        </row>
        <row r="14451">
          <cell r="A14451" t="str">
            <v>FERVIC</v>
          </cell>
          <cell r="J14451">
            <v>0</v>
          </cell>
        </row>
        <row r="14452">
          <cell r="A14452" t="str">
            <v>FERVIC</v>
          </cell>
          <cell r="J14452">
            <v>0</v>
          </cell>
        </row>
        <row r="14453">
          <cell r="A14453" t="str">
            <v>FERVIC</v>
          </cell>
          <cell r="J14453">
            <v>0</v>
          </cell>
        </row>
        <row r="14454">
          <cell r="A14454" t="str">
            <v>FERVIC</v>
          </cell>
          <cell r="J14454">
            <v>0</v>
          </cell>
        </row>
        <row r="14455">
          <cell r="A14455" t="str">
            <v>FERVIC</v>
          </cell>
          <cell r="J14455">
            <v>0</v>
          </cell>
        </row>
        <row r="14456">
          <cell r="A14456" t="str">
            <v>FERVIC</v>
          </cell>
          <cell r="J14456">
            <v>0</v>
          </cell>
        </row>
        <row r="14457">
          <cell r="A14457" t="str">
            <v>FERVIC</v>
          </cell>
          <cell r="J14457">
            <v>0</v>
          </cell>
        </row>
        <row r="14458">
          <cell r="A14458" t="str">
            <v>FERVIC</v>
          </cell>
          <cell r="J14458">
            <v>0</v>
          </cell>
        </row>
        <row r="14459">
          <cell r="A14459" t="str">
            <v>FERVIC</v>
          </cell>
          <cell r="J14459">
            <v>0</v>
          </cell>
        </row>
        <row r="14460">
          <cell r="A14460" t="str">
            <v>FERVIC</v>
          </cell>
          <cell r="J14460">
            <v>0</v>
          </cell>
        </row>
        <row r="14461">
          <cell r="A14461" t="str">
            <v>FERVIC</v>
          </cell>
          <cell r="J14461">
            <v>0</v>
          </cell>
        </row>
        <row r="14462">
          <cell r="A14462" t="str">
            <v>FERVIC</v>
          </cell>
          <cell r="J14462">
            <v>0</v>
          </cell>
        </row>
        <row r="14463">
          <cell r="A14463" t="str">
            <v>FERVIC</v>
          </cell>
          <cell r="J14463">
            <v>0</v>
          </cell>
        </row>
        <row r="14464">
          <cell r="A14464" t="str">
            <v>FERVIC</v>
          </cell>
          <cell r="J14464">
            <v>0</v>
          </cell>
        </row>
        <row r="14465">
          <cell r="A14465" t="str">
            <v>FERVIC</v>
          </cell>
          <cell r="J14465">
            <v>0</v>
          </cell>
        </row>
        <row r="14466">
          <cell r="A14466" t="str">
            <v>FERVIC</v>
          </cell>
          <cell r="J14466">
            <v>0</v>
          </cell>
        </row>
        <row r="14467">
          <cell r="A14467" t="str">
            <v>FERVIC</v>
          </cell>
          <cell r="J14467">
            <v>0</v>
          </cell>
        </row>
        <row r="14468">
          <cell r="A14468" t="str">
            <v>FERVIC</v>
          </cell>
          <cell r="J14468">
            <v>0</v>
          </cell>
        </row>
        <row r="14469">
          <cell r="A14469" t="str">
            <v>FERVIC</v>
          </cell>
          <cell r="J14469">
            <v>0</v>
          </cell>
        </row>
        <row r="14470">
          <cell r="A14470" t="str">
            <v>FERVIC</v>
          </cell>
          <cell r="J14470">
            <v>0</v>
          </cell>
        </row>
        <row r="14471">
          <cell r="A14471" t="str">
            <v>FERVIC</v>
          </cell>
          <cell r="J14471">
            <v>0</v>
          </cell>
        </row>
        <row r="14472">
          <cell r="A14472" t="str">
            <v>FERVIC</v>
          </cell>
          <cell r="J14472">
            <v>0</v>
          </cell>
        </row>
        <row r="14473">
          <cell r="A14473" t="str">
            <v>FERVIC</v>
          </cell>
          <cell r="J14473">
            <v>0</v>
          </cell>
        </row>
        <row r="14474">
          <cell r="A14474" t="str">
            <v>FERVIC</v>
          </cell>
          <cell r="J14474">
            <v>0</v>
          </cell>
        </row>
        <row r="14475">
          <cell r="A14475" t="str">
            <v>FERVIC</v>
          </cell>
          <cell r="J14475">
            <v>0</v>
          </cell>
        </row>
        <row r="14476">
          <cell r="A14476" t="str">
            <v>FERVIC</v>
          </cell>
          <cell r="J14476">
            <v>0</v>
          </cell>
        </row>
        <row r="14477">
          <cell r="A14477" t="str">
            <v>FERVIC</v>
          </cell>
          <cell r="J14477">
            <v>0</v>
          </cell>
        </row>
        <row r="14478">
          <cell r="A14478" t="str">
            <v>FERVIC</v>
          </cell>
          <cell r="J14478">
            <v>0</v>
          </cell>
        </row>
        <row r="14479">
          <cell r="A14479" t="str">
            <v>FERVIC</v>
          </cell>
          <cell r="J14479">
            <v>0</v>
          </cell>
        </row>
        <row r="14480">
          <cell r="A14480" t="str">
            <v>FERVIC</v>
          </cell>
          <cell r="J14480">
            <v>0</v>
          </cell>
        </row>
        <row r="14481">
          <cell r="A14481" t="str">
            <v>FERVIC</v>
          </cell>
          <cell r="J14481">
            <v>0</v>
          </cell>
        </row>
        <row r="14482">
          <cell r="A14482" t="str">
            <v>FERVIC</v>
          </cell>
          <cell r="J14482">
            <v>0</v>
          </cell>
        </row>
        <row r="14483">
          <cell r="A14483" t="str">
            <v>FERVIC</v>
          </cell>
          <cell r="J14483">
            <v>0</v>
          </cell>
        </row>
        <row r="14484">
          <cell r="A14484" t="str">
            <v>FERVIC</v>
          </cell>
          <cell r="J14484">
            <v>0</v>
          </cell>
        </row>
        <row r="14485">
          <cell r="A14485" t="str">
            <v>FERVIC</v>
          </cell>
          <cell r="J14485">
            <v>0</v>
          </cell>
        </row>
        <row r="14486">
          <cell r="A14486" t="str">
            <v>FERVIC</v>
          </cell>
          <cell r="J14486">
            <v>0</v>
          </cell>
        </row>
        <row r="14487">
          <cell r="A14487" t="str">
            <v>FERVIC</v>
          </cell>
          <cell r="J14487">
            <v>0</v>
          </cell>
        </row>
        <row r="14488">
          <cell r="A14488" t="str">
            <v>FERVIC</v>
          </cell>
          <cell r="J14488">
            <v>0</v>
          </cell>
        </row>
        <row r="14489">
          <cell r="A14489" t="str">
            <v>FERVIC</v>
          </cell>
          <cell r="J14489">
            <v>0</v>
          </cell>
        </row>
        <row r="14490">
          <cell r="A14490" t="str">
            <v>FERVIC</v>
          </cell>
          <cell r="J14490">
            <v>0</v>
          </cell>
        </row>
        <row r="14491">
          <cell r="A14491" t="str">
            <v>FERVIC</v>
          </cell>
          <cell r="J14491">
            <v>0</v>
          </cell>
        </row>
        <row r="14492">
          <cell r="A14492" t="str">
            <v>FERVIC</v>
          </cell>
          <cell r="J14492">
            <v>0</v>
          </cell>
        </row>
        <row r="14493">
          <cell r="A14493" t="str">
            <v>FERVIC</v>
          </cell>
          <cell r="J14493">
            <v>0</v>
          </cell>
        </row>
        <row r="14494">
          <cell r="A14494" t="str">
            <v>FERVIC</v>
          </cell>
          <cell r="J14494">
            <v>0</v>
          </cell>
        </row>
        <row r="14495">
          <cell r="A14495" t="str">
            <v>FERVIC</v>
          </cell>
          <cell r="J14495">
            <v>0</v>
          </cell>
        </row>
        <row r="14496">
          <cell r="A14496" t="str">
            <v>FERVIC</v>
          </cell>
          <cell r="J14496">
            <v>0</v>
          </cell>
        </row>
        <row r="14497">
          <cell r="A14497" t="str">
            <v>FERVIC</v>
          </cell>
          <cell r="J14497">
            <v>0</v>
          </cell>
        </row>
        <row r="14498">
          <cell r="A14498" t="str">
            <v>FERVIC</v>
          </cell>
          <cell r="J14498">
            <v>0</v>
          </cell>
        </row>
        <row r="14499">
          <cell r="A14499" t="str">
            <v>FERVIC</v>
          </cell>
          <cell r="J14499">
            <v>0</v>
          </cell>
        </row>
        <row r="14500">
          <cell r="A14500" t="str">
            <v>FERVIC</v>
          </cell>
          <cell r="J14500">
            <v>0</v>
          </cell>
        </row>
        <row r="14501">
          <cell r="A14501" t="str">
            <v>FERVIC</v>
          </cell>
          <cell r="J14501">
            <v>0</v>
          </cell>
        </row>
        <row r="14502">
          <cell r="A14502" t="str">
            <v>FERVIC</v>
          </cell>
          <cell r="J14502">
            <v>0</v>
          </cell>
        </row>
        <row r="14503">
          <cell r="A14503" t="str">
            <v>FERVIC</v>
          </cell>
          <cell r="J14503">
            <v>0</v>
          </cell>
        </row>
        <row r="14504">
          <cell r="A14504" t="str">
            <v>FERVIC</v>
          </cell>
          <cell r="J14504">
            <v>0</v>
          </cell>
        </row>
        <row r="14505">
          <cell r="A14505" t="str">
            <v>FERVIC</v>
          </cell>
          <cell r="J14505">
            <v>0</v>
          </cell>
        </row>
        <row r="14506">
          <cell r="A14506" t="str">
            <v>FERVIC</v>
          </cell>
          <cell r="J14506">
            <v>0</v>
          </cell>
        </row>
        <row r="14507">
          <cell r="A14507" t="str">
            <v>FERVIC</v>
          </cell>
          <cell r="J14507">
            <v>0</v>
          </cell>
        </row>
        <row r="14508">
          <cell r="A14508" t="str">
            <v>FERVIC</v>
          </cell>
          <cell r="J14508">
            <v>0</v>
          </cell>
        </row>
        <row r="14509">
          <cell r="A14509" t="str">
            <v>FERVIC</v>
          </cell>
          <cell r="J14509">
            <v>0</v>
          </cell>
        </row>
        <row r="14510">
          <cell r="A14510" t="str">
            <v>FERVIC</v>
          </cell>
          <cell r="J14510">
            <v>0</v>
          </cell>
        </row>
        <row r="14511">
          <cell r="A14511" t="str">
            <v>FERVIC</v>
          </cell>
          <cell r="J14511">
            <v>0</v>
          </cell>
        </row>
        <row r="14512">
          <cell r="A14512" t="str">
            <v>FERVIC</v>
          </cell>
          <cell r="J14512">
            <v>0</v>
          </cell>
        </row>
        <row r="14513">
          <cell r="A14513" t="str">
            <v>FERVIC</v>
          </cell>
          <cell r="J14513">
            <v>0</v>
          </cell>
        </row>
        <row r="14514">
          <cell r="A14514" t="str">
            <v>FERVIC</v>
          </cell>
          <cell r="J14514">
            <v>0</v>
          </cell>
        </row>
        <row r="14515">
          <cell r="A14515" t="str">
            <v>FERVIC</v>
          </cell>
          <cell r="J14515">
            <v>0</v>
          </cell>
        </row>
        <row r="14516">
          <cell r="A14516" t="str">
            <v>FERVIC</v>
          </cell>
          <cell r="J14516">
            <v>0</v>
          </cell>
        </row>
        <row r="14517">
          <cell r="A14517" t="str">
            <v>FERVIC</v>
          </cell>
          <cell r="J14517">
            <v>0</v>
          </cell>
        </row>
        <row r="14518">
          <cell r="A14518" t="str">
            <v>FERVIC</v>
          </cell>
          <cell r="J14518">
            <v>0</v>
          </cell>
        </row>
        <row r="14519">
          <cell r="A14519" t="str">
            <v>FERVIC</v>
          </cell>
          <cell r="J14519">
            <v>0</v>
          </cell>
        </row>
        <row r="14520">
          <cell r="A14520" t="str">
            <v>FERVIC</v>
          </cell>
          <cell r="J14520">
            <v>0</v>
          </cell>
        </row>
        <row r="14521">
          <cell r="A14521" t="str">
            <v>FERVIC</v>
          </cell>
          <cell r="J14521">
            <v>0</v>
          </cell>
        </row>
        <row r="14522">
          <cell r="A14522" t="str">
            <v>FERVIC</v>
          </cell>
          <cell r="J14522">
            <v>0</v>
          </cell>
        </row>
        <row r="14523">
          <cell r="A14523" t="str">
            <v>FERVIC</v>
          </cell>
          <cell r="J14523">
            <v>0</v>
          </cell>
        </row>
        <row r="14524">
          <cell r="A14524" t="str">
            <v>FERVIC</v>
          </cell>
          <cell r="J14524">
            <v>0</v>
          </cell>
        </row>
        <row r="14525">
          <cell r="A14525" t="str">
            <v>FERVIC</v>
          </cell>
          <cell r="J14525">
            <v>0</v>
          </cell>
        </row>
        <row r="14526">
          <cell r="A14526" t="str">
            <v>FERVIC</v>
          </cell>
          <cell r="J14526">
            <v>0</v>
          </cell>
        </row>
        <row r="14527">
          <cell r="A14527" t="str">
            <v>FERVIC</v>
          </cell>
          <cell r="J14527">
            <v>0</v>
          </cell>
        </row>
        <row r="14528">
          <cell r="A14528" t="str">
            <v>FERVIC</v>
          </cell>
          <cell r="J14528">
            <v>0</v>
          </cell>
        </row>
        <row r="14529">
          <cell r="A14529" t="str">
            <v>FERVIC</v>
          </cell>
          <cell r="J14529">
            <v>0</v>
          </cell>
        </row>
        <row r="14530">
          <cell r="A14530" t="str">
            <v>FERVIC</v>
          </cell>
          <cell r="J14530">
            <v>0</v>
          </cell>
        </row>
        <row r="14531">
          <cell r="A14531" t="str">
            <v>FERVIC</v>
          </cell>
          <cell r="J14531">
            <v>0</v>
          </cell>
        </row>
        <row r="14532">
          <cell r="A14532" t="str">
            <v>FERVIC</v>
          </cell>
          <cell r="J14532">
            <v>0</v>
          </cell>
        </row>
        <row r="14533">
          <cell r="A14533" t="str">
            <v>FERVIC</v>
          </cell>
          <cell r="J14533">
            <v>0</v>
          </cell>
        </row>
        <row r="14534">
          <cell r="A14534" t="str">
            <v>FERVIC</v>
          </cell>
          <cell r="J14534">
            <v>0</v>
          </cell>
        </row>
        <row r="14535">
          <cell r="A14535" t="str">
            <v>FERVIC</v>
          </cell>
          <cell r="J14535">
            <v>0</v>
          </cell>
        </row>
        <row r="14536">
          <cell r="A14536" t="str">
            <v>FERVIC</v>
          </cell>
          <cell r="J14536">
            <v>0</v>
          </cell>
        </row>
        <row r="14537">
          <cell r="A14537" t="str">
            <v>FERVIC</v>
          </cell>
          <cell r="J14537">
            <v>0</v>
          </cell>
        </row>
        <row r="14538">
          <cell r="A14538" t="str">
            <v>FERVIC</v>
          </cell>
          <cell r="J14538">
            <v>0</v>
          </cell>
        </row>
        <row r="14539">
          <cell r="A14539" t="str">
            <v>FERVIC</v>
          </cell>
          <cell r="J14539">
            <v>0</v>
          </cell>
        </row>
        <row r="14540">
          <cell r="A14540" t="str">
            <v>FERVIC</v>
          </cell>
          <cell r="J14540">
            <v>0</v>
          </cell>
        </row>
        <row r="14541">
          <cell r="A14541" t="str">
            <v>FERVIC</v>
          </cell>
          <cell r="J14541">
            <v>0</v>
          </cell>
        </row>
        <row r="14542">
          <cell r="A14542" t="str">
            <v>FERVIC</v>
          </cell>
          <cell r="J14542">
            <v>0</v>
          </cell>
        </row>
        <row r="14543">
          <cell r="A14543" t="str">
            <v>FERVIC</v>
          </cell>
          <cell r="J14543">
            <v>0</v>
          </cell>
        </row>
        <row r="14544">
          <cell r="A14544" t="str">
            <v>FERVIC</v>
          </cell>
          <cell r="J14544">
            <v>0</v>
          </cell>
        </row>
        <row r="14545">
          <cell r="A14545" t="str">
            <v>FERVIC</v>
          </cell>
          <cell r="J14545">
            <v>0</v>
          </cell>
        </row>
        <row r="14546">
          <cell r="A14546" t="str">
            <v>FERVIC</v>
          </cell>
          <cell r="J14546">
            <v>0</v>
          </cell>
        </row>
        <row r="14547">
          <cell r="A14547" t="str">
            <v>FERVIC</v>
          </cell>
          <cell r="J14547">
            <v>0</v>
          </cell>
        </row>
        <row r="14548">
          <cell r="A14548" t="str">
            <v>FERVIC</v>
          </cell>
          <cell r="J14548">
            <v>0</v>
          </cell>
        </row>
        <row r="14549">
          <cell r="A14549" t="str">
            <v>FERVIC</v>
          </cell>
          <cell r="J14549">
            <v>0</v>
          </cell>
        </row>
        <row r="14550">
          <cell r="A14550" t="str">
            <v>FERVIC</v>
          </cell>
          <cell r="J14550">
            <v>0</v>
          </cell>
        </row>
        <row r="14551">
          <cell r="A14551" t="str">
            <v>FERVIC</v>
          </cell>
          <cell r="J14551">
            <v>0</v>
          </cell>
        </row>
        <row r="14552">
          <cell r="A14552" t="str">
            <v>FERVIC</v>
          </cell>
          <cell r="J14552">
            <v>0</v>
          </cell>
        </row>
        <row r="14553">
          <cell r="A14553" t="str">
            <v>FERVIC</v>
          </cell>
          <cell r="J14553">
            <v>0</v>
          </cell>
        </row>
        <row r="14554">
          <cell r="A14554" t="str">
            <v>FERVIC</v>
          </cell>
          <cell r="J14554">
            <v>0</v>
          </cell>
        </row>
        <row r="14555">
          <cell r="A14555" t="str">
            <v>FERVIC</v>
          </cell>
          <cell r="J14555">
            <v>0</v>
          </cell>
        </row>
        <row r="14556">
          <cell r="A14556" t="str">
            <v>FERVIC</v>
          </cell>
          <cell r="J14556">
            <v>0</v>
          </cell>
        </row>
        <row r="14557">
          <cell r="A14557" t="str">
            <v>FERVIC</v>
          </cell>
          <cell r="J14557">
            <v>0</v>
          </cell>
        </row>
        <row r="14558">
          <cell r="A14558" t="str">
            <v>FERVIC</v>
          </cell>
          <cell r="J14558">
            <v>0</v>
          </cell>
        </row>
        <row r="14559">
          <cell r="A14559" t="str">
            <v>FERVIC</v>
          </cell>
          <cell r="J14559">
            <v>0</v>
          </cell>
        </row>
        <row r="14560">
          <cell r="A14560" t="str">
            <v>FERVIC</v>
          </cell>
          <cell r="J14560">
            <v>0</v>
          </cell>
        </row>
        <row r="14561">
          <cell r="A14561" t="str">
            <v>FERVIC</v>
          </cell>
          <cell r="J14561">
            <v>0</v>
          </cell>
        </row>
        <row r="14562">
          <cell r="A14562" t="str">
            <v>FERVIC</v>
          </cell>
          <cell r="J14562">
            <v>0</v>
          </cell>
        </row>
        <row r="14563">
          <cell r="A14563" t="str">
            <v>FERVIC</v>
          </cell>
          <cell r="J14563">
            <v>0</v>
          </cell>
        </row>
        <row r="14564">
          <cell r="A14564" t="str">
            <v>FERVIC</v>
          </cell>
          <cell r="J14564">
            <v>0</v>
          </cell>
        </row>
        <row r="14565">
          <cell r="A14565" t="str">
            <v>FERVIC</v>
          </cell>
          <cell r="J14565">
            <v>0</v>
          </cell>
        </row>
        <row r="14566">
          <cell r="A14566" t="str">
            <v>FERVIC</v>
          </cell>
          <cell r="J14566">
            <v>0</v>
          </cell>
        </row>
        <row r="14567">
          <cell r="A14567" t="str">
            <v>FERVIC</v>
          </cell>
          <cell r="J14567">
            <v>0</v>
          </cell>
        </row>
        <row r="14568">
          <cell r="A14568" t="str">
            <v>FERVIC</v>
          </cell>
          <cell r="J14568">
            <v>0</v>
          </cell>
        </row>
        <row r="14569">
          <cell r="A14569" t="str">
            <v>FERVIC</v>
          </cell>
          <cell r="J14569">
            <v>0</v>
          </cell>
        </row>
        <row r="14570">
          <cell r="A14570" t="str">
            <v>FERVIC</v>
          </cell>
          <cell r="J14570">
            <v>0</v>
          </cell>
        </row>
        <row r="14571">
          <cell r="A14571" t="str">
            <v>FERVIC</v>
          </cell>
          <cell r="J14571">
            <v>0</v>
          </cell>
        </row>
        <row r="14572">
          <cell r="A14572" t="str">
            <v>FERVIC</v>
          </cell>
          <cell r="J14572">
            <v>0</v>
          </cell>
        </row>
        <row r="14573">
          <cell r="A14573" t="str">
            <v>FERVIC</v>
          </cell>
          <cell r="J14573">
            <v>0</v>
          </cell>
        </row>
        <row r="14574">
          <cell r="A14574" t="str">
            <v>FERVIC</v>
          </cell>
          <cell r="J14574">
            <v>0</v>
          </cell>
        </row>
        <row r="14575">
          <cell r="A14575" t="str">
            <v>FERVIC</v>
          </cell>
          <cell r="J14575">
            <v>0</v>
          </cell>
        </row>
        <row r="14576">
          <cell r="A14576" t="str">
            <v>FERVIC</v>
          </cell>
          <cell r="J14576">
            <v>0</v>
          </cell>
        </row>
        <row r="14577">
          <cell r="A14577" t="str">
            <v>FERVIC</v>
          </cell>
          <cell r="J14577">
            <v>0</v>
          </cell>
        </row>
        <row r="14578">
          <cell r="A14578" t="str">
            <v>FERVIC</v>
          </cell>
          <cell r="J14578">
            <v>0</v>
          </cell>
        </row>
        <row r="14579">
          <cell r="A14579" t="str">
            <v>FERVIC</v>
          </cell>
          <cell r="J14579">
            <v>0</v>
          </cell>
        </row>
        <row r="14580">
          <cell r="A14580" t="str">
            <v>FERVIC</v>
          </cell>
          <cell r="J14580">
            <v>0</v>
          </cell>
        </row>
        <row r="14581">
          <cell r="A14581" t="str">
            <v>FERVIC</v>
          </cell>
          <cell r="J14581">
            <v>0</v>
          </cell>
        </row>
        <row r="14582">
          <cell r="A14582" t="str">
            <v>FERVIC</v>
          </cell>
          <cell r="J14582">
            <v>0</v>
          </cell>
        </row>
        <row r="14583">
          <cell r="A14583" t="str">
            <v>FERVIC</v>
          </cell>
          <cell r="J14583">
            <v>0</v>
          </cell>
        </row>
        <row r="14584">
          <cell r="A14584" t="str">
            <v>FERVIC</v>
          </cell>
          <cell r="J14584">
            <v>0</v>
          </cell>
        </row>
        <row r="14585">
          <cell r="A14585" t="str">
            <v>FERVIC</v>
          </cell>
          <cell r="J14585">
            <v>0</v>
          </cell>
        </row>
        <row r="14586">
          <cell r="A14586" t="str">
            <v>FERVIC</v>
          </cell>
          <cell r="J14586">
            <v>0</v>
          </cell>
        </row>
        <row r="14587">
          <cell r="A14587" t="str">
            <v>FERVIC</v>
          </cell>
          <cell r="J14587">
            <v>0</v>
          </cell>
        </row>
        <row r="14588">
          <cell r="A14588" t="str">
            <v>FERVIC</v>
          </cell>
          <cell r="J14588">
            <v>0</v>
          </cell>
        </row>
        <row r="14589">
          <cell r="A14589" t="str">
            <v>FERVIC</v>
          </cell>
          <cell r="J14589">
            <v>0</v>
          </cell>
        </row>
        <row r="14590">
          <cell r="A14590" t="str">
            <v>FERVIC</v>
          </cell>
          <cell r="J14590">
            <v>0</v>
          </cell>
        </row>
        <row r="14591">
          <cell r="A14591" t="str">
            <v>FERVIC</v>
          </cell>
          <cell r="J14591">
            <v>0</v>
          </cell>
        </row>
        <row r="14592">
          <cell r="A14592" t="str">
            <v>FERVIC</v>
          </cell>
          <cell r="J14592">
            <v>0</v>
          </cell>
        </row>
        <row r="14593">
          <cell r="A14593" t="str">
            <v>FERVIC</v>
          </cell>
          <cell r="J14593">
            <v>0</v>
          </cell>
        </row>
        <row r="14594">
          <cell r="A14594" t="str">
            <v>FERVIC</v>
          </cell>
          <cell r="J14594">
            <v>0</v>
          </cell>
        </row>
        <row r="14595">
          <cell r="A14595" t="str">
            <v>FERVIC</v>
          </cell>
          <cell r="J14595">
            <v>0</v>
          </cell>
        </row>
        <row r="14596">
          <cell r="A14596" t="str">
            <v>FERVIC</v>
          </cell>
          <cell r="J14596">
            <v>0</v>
          </cell>
        </row>
        <row r="14597">
          <cell r="A14597" t="str">
            <v>FERVIC</v>
          </cell>
          <cell r="J14597">
            <v>0</v>
          </cell>
        </row>
        <row r="14598">
          <cell r="A14598" t="str">
            <v>FERVIC</v>
          </cell>
          <cell r="J14598">
            <v>0</v>
          </cell>
        </row>
        <row r="14599">
          <cell r="A14599" t="str">
            <v>FERVIC</v>
          </cell>
          <cell r="J14599">
            <v>0</v>
          </cell>
        </row>
        <row r="14600">
          <cell r="A14600" t="str">
            <v>FERVIC</v>
          </cell>
          <cell r="J14600">
            <v>0</v>
          </cell>
        </row>
        <row r="14601">
          <cell r="A14601" t="str">
            <v>FERVIC</v>
          </cell>
          <cell r="J14601">
            <v>0</v>
          </cell>
        </row>
        <row r="14602">
          <cell r="A14602" t="str">
            <v>FERVIC</v>
          </cell>
          <cell r="J14602">
            <v>0</v>
          </cell>
        </row>
        <row r="14603">
          <cell r="A14603" t="str">
            <v>FERVIC</v>
          </cell>
          <cell r="J14603">
            <v>0</v>
          </cell>
        </row>
        <row r="14604">
          <cell r="A14604" t="str">
            <v>FERVIC</v>
          </cell>
          <cell r="J14604">
            <v>0</v>
          </cell>
        </row>
        <row r="14605">
          <cell r="A14605" t="str">
            <v>FERVIC</v>
          </cell>
          <cell r="J14605">
            <v>0</v>
          </cell>
        </row>
        <row r="14606">
          <cell r="A14606" t="str">
            <v>FERVIC</v>
          </cell>
          <cell r="J14606">
            <v>0</v>
          </cell>
        </row>
        <row r="14607">
          <cell r="A14607" t="str">
            <v>FERVIC</v>
          </cell>
          <cell r="J14607">
            <v>0</v>
          </cell>
        </row>
        <row r="14608">
          <cell r="A14608" t="str">
            <v>FERVIC</v>
          </cell>
          <cell r="J14608">
            <v>0</v>
          </cell>
        </row>
        <row r="14609">
          <cell r="A14609" t="str">
            <v>FERVIC</v>
          </cell>
          <cell r="J14609">
            <v>0</v>
          </cell>
        </row>
        <row r="14610">
          <cell r="A14610" t="str">
            <v>FERVIC</v>
          </cell>
          <cell r="J14610">
            <v>0</v>
          </cell>
        </row>
        <row r="14611">
          <cell r="A14611" t="str">
            <v>FERVIC</v>
          </cell>
          <cell r="J14611">
            <v>0</v>
          </cell>
        </row>
        <row r="14612">
          <cell r="A14612" t="str">
            <v>FERVIC</v>
          </cell>
          <cell r="J14612">
            <v>0</v>
          </cell>
        </row>
        <row r="14613">
          <cell r="A14613" t="str">
            <v>FERVIC</v>
          </cell>
          <cell r="J14613">
            <v>0</v>
          </cell>
        </row>
        <row r="14614">
          <cell r="A14614" t="str">
            <v>FERVIC</v>
          </cell>
          <cell r="J14614">
            <v>0</v>
          </cell>
        </row>
        <row r="14615">
          <cell r="A14615" t="str">
            <v>FERVIC</v>
          </cell>
          <cell r="J14615">
            <v>0</v>
          </cell>
        </row>
        <row r="14616">
          <cell r="A14616" t="str">
            <v>FERVIC</v>
          </cell>
          <cell r="J14616">
            <v>0</v>
          </cell>
        </row>
        <row r="14617">
          <cell r="A14617" t="str">
            <v>FERVIC</v>
          </cell>
          <cell r="J14617">
            <v>0</v>
          </cell>
        </row>
        <row r="14618">
          <cell r="A14618" t="str">
            <v>FERVIC</v>
          </cell>
          <cell r="J14618">
            <v>0</v>
          </cell>
        </row>
        <row r="14619">
          <cell r="A14619" t="str">
            <v>FERVIC</v>
          </cell>
          <cell r="J14619">
            <v>0</v>
          </cell>
        </row>
        <row r="14620">
          <cell r="A14620" t="str">
            <v>FERVIC</v>
          </cell>
          <cell r="J14620">
            <v>0</v>
          </cell>
        </row>
        <row r="14621">
          <cell r="A14621" t="str">
            <v>FERVIC</v>
          </cell>
          <cell r="J14621">
            <v>0</v>
          </cell>
        </row>
        <row r="14622">
          <cell r="A14622" t="str">
            <v>FERVIC</v>
          </cell>
          <cell r="J14622">
            <v>0</v>
          </cell>
        </row>
        <row r="14623">
          <cell r="A14623" t="str">
            <v>FERVIC</v>
          </cell>
          <cell r="J14623">
            <v>0</v>
          </cell>
        </row>
        <row r="14624">
          <cell r="A14624" t="str">
            <v>FERVIC</v>
          </cell>
          <cell r="J14624">
            <v>0</v>
          </cell>
        </row>
        <row r="14625">
          <cell r="A14625" t="str">
            <v>FERVIC</v>
          </cell>
          <cell r="J14625">
            <v>0</v>
          </cell>
        </row>
        <row r="14626">
          <cell r="A14626" t="str">
            <v>FERVIC</v>
          </cell>
          <cell r="J14626">
            <v>0</v>
          </cell>
        </row>
        <row r="14627">
          <cell r="A14627" t="str">
            <v>FERVIC</v>
          </cell>
          <cell r="J14627">
            <v>0</v>
          </cell>
        </row>
        <row r="14628">
          <cell r="A14628" t="str">
            <v>FERVIC</v>
          </cell>
          <cell r="J14628">
            <v>0</v>
          </cell>
        </row>
        <row r="14629">
          <cell r="A14629" t="str">
            <v>FERVIC</v>
          </cell>
          <cell r="J14629">
            <v>0</v>
          </cell>
        </row>
        <row r="14630">
          <cell r="A14630" t="str">
            <v>FERVIC</v>
          </cell>
          <cell r="J14630">
            <v>0</v>
          </cell>
        </row>
        <row r="14631">
          <cell r="A14631" t="str">
            <v>FERVIC</v>
          </cell>
          <cell r="J14631">
            <v>0</v>
          </cell>
        </row>
        <row r="14632">
          <cell r="A14632" t="str">
            <v>FERVIC</v>
          </cell>
          <cell r="J14632">
            <v>0</v>
          </cell>
        </row>
        <row r="14633">
          <cell r="A14633" t="str">
            <v>FERVIC</v>
          </cell>
          <cell r="J14633">
            <v>0</v>
          </cell>
        </row>
        <row r="14634">
          <cell r="A14634" t="str">
            <v>FERVIC</v>
          </cell>
          <cell r="J14634">
            <v>0</v>
          </cell>
        </row>
        <row r="14635">
          <cell r="A14635" t="str">
            <v>FERVIC</v>
          </cell>
          <cell r="J14635">
            <v>0</v>
          </cell>
        </row>
        <row r="14636">
          <cell r="A14636" t="str">
            <v>FERVIC</v>
          </cell>
          <cell r="J14636">
            <v>0</v>
          </cell>
        </row>
        <row r="14637">
          <cell r="A14637" t="str">
            <v>FERVIC</v>
          </cell>
          <cell r="J14637">
            <v>0</v>
          </cell>
        </row>
        <row r="14638">
          <cell r="A14638" t="str">
            <v>FERVIC</v>
          </cell>
          <cell r="J14638">
            <v>0</v>
          </cell>
        </row>
        <row r="14639">
          <cell r="A14639" t="str">
            <v>FERVIC</v>
          </cell>
          <cell r="J14639">
            <v>0</v>
          </cell>
        </row>
        <row r="14640">
          <cell r="A14640" t="str">
            <v>FERVIC</v>
          </cell>
          <cell r="J14640">
            <v>0</v>
          </cell>
        </row>
        <row r="14641">
          <cell r="A14641" t="str">
            <v>FERVIC</v>
          </cell>
          <cell r="J14641">
            <v>0</v>
          </cell>
        </row>
        <row r="14642">
          <cell r="A14642" t="str">
            <v>FERVIC</v>
          </cell>
          <cell r="J14642">
            <v>0</v>
          </cell>
        </row>
        <row r="14643">
          <cell r="A14643" t="str">
            <v>FERVIC</v>
          </cell>
          <cell r="J14643">
            <v>0</v>
          </cell>
        </row>
        <row r="14644">
          <cell r="A14644" t="str">
            <v>FERVIC</v>
          </cell>
          <cell r="J14644">
            <v>0</v>
          </cell>
        </row>
        <row r="14645">
          <cell r="A14645" t="str">
            <v>FERVIC</v>
          </cell>
          <cell r="J14645">
            <v>0</v>
          </cell>
        </row>
        <row r="14646">
          <cell r="A14646" t="str">
            <v>FERVIC</v>
          </cell>
          <cell r="J14646">
            <v>0</v>
          </cell>
        </row>
        <row r="14647">
          <cell r="A14647" t="str">
            <v>FERVIC</v>
          </cell>
          <cell r="J14647">
            <v>0</v>
          </cell>
        </row>
        <row r="14648">
          <cell r="A14648" t="str">
            <v>FERVIC</v>
          </cell>
          <cell r="J14648">
            <v>0</v>
          </cell>
        </row>
        <row r="14649">
          <cell r="A14649" t="str">
            <v>FERVIC</v>
          </cell>
          <cell r="J14649">
            <v>0</v>
          </cell>
        </row>
        <row r="14650">
          <cell r="A14650" t="str">
            <v>FERVIC</v>
          </cell>
          <cell r="J14650">
            <v>0</v>
          </cell>
        </row>
        <row r="14651">
          <cell r="A14651" t="str">
            <v>FERVIC</v>
          </cell>
          <cell r="J14651">
            <v>0</v>
          </cell>
        </row>
        <row r="14652">
          <cell r="A14652" t="str">
            <v>FERVIC</v>
          </cell>
          <cell r="J14652">
            <v>0</v>
          </cell>
        </row>
        <row r="14653">
          <cell r="A14653" t="str">
            <v>FERVIC</v>
          </cell>
          <cell r="J14653">
            <v>0</v>
          </cell>
        </row>
        <row r="14654">
          <cell r="A14654" t="str">
            <v>FERVIC</v>
          </cell>
          <cell r="J14654">
            <v>0</v>
          </cell>
        </row>
        <row r="14655">
          <cell r="A14655" t="str">
            <v>FERVIC</v>
          </cell>
          <cell r="J14655">
            <v>0</v>
          </cell>
        </row>
        <row r="14656">
          <cell r="A14656" t="str">
            <v>FERVIC</v>
          </cell>
          <cell r="J14656">
            <v>0</v>
          </cell>
        </row>
        <row r="14657">
          <cell r="A14657" t="str">
            <v>FERVIC</v>
          </cell>
          <cell r="J14657">
            <v>0</v>
          </cell>
        </row>
        <row r="14658">
          <cell r="A14658" t="str">
            <v>FERVIC</v>
          </cell>
          <cell r="J14658">
            <v>0</v>
          </cell>
        </row>
        <row r="14659">
          <cell r="A14659" t="str">
            <v>FERVIC</v>
          </cell>
          <cell r="J14659">
            <v>0</v>
          </cell>
        </row>
        <row r="14660">
          <cell r="A14660" t="str">
            <v>FERVIC</v>
          </cell>
          <cell r="J14660">
            <v>0</v>
          </cell>
        </row>
        <row r="14661">
          <cell r="A14661" t="str">
            <v>FERVIC</v>
          </cell>
          <cell r="J14661">
            <v>0</v>
          </cell>
        </row>
        <row r="14662">
          <cell r="A14662" t="str">
            <v>FERVIC</v>
          </cell>
          <cell r="J14662">
            <v>0</v>
          </cell>
        </row>
        <row r="14663">
          <cell r="A14663" t="str">
            <v>FERVIC</v>
          </cell>
          <cell r="J14663">
            <v>0</v>
          </cell>
        </row>
        <row r="14664">
          <cell r="A14664" t="str">
            <v>FERVIC</v>
          </cell>
          <cell r="J14664">
            <v>0</v>
          </cell>
        </row>
        <row r="14665">
          <cell r="A14665" t="str">
            <v>FERVIC</v>
          </cell>
          <cell r="J14665">
            <v>0</v>
          </cell>
        </row>
        <row r="14666">
          <cell r="A14666" t="str">
            <v>FERVIC</v>
          </cell>
          <cell r="J14666">
            <v>0</v>
          </cell>
        </row>
        <row r="14667">
          <cell r="A14667" t="str">
            <v>FERVIC</v>
          </cell>
          <cell r="J14667">
            <v>0</v>
          </cell>
        </row>
        <row r="14668">
          <cell r="A14668" t="str">
            <v>FERVIC</v>
          </cell>
          <cell r="J14668">
            <v>0</v>
          </cell>
        </row>
        <row r="14669">
          <cell r="A14669" t="str">
            <v>FERVIC</v>
          </cell>
          <cell r="J14669">
            <v>0</v>
          </cell>
        </row>
        <row r="14670">
          <cell r="A14670" t="str">
            <v>FERVIC</v>
          </cell>
          <cell r="J14670">
            <v>0</v>
          </cell>
        </row>
        <row r="14671">
          <cell r="A14671" t="str">
            <v>FERVIC</v>
          </cell>
          <cell r="J14671">
            <v>0</v>
          </cell>
        </row>
        <row r="14672">
          <cell r="A14672" t="str">
            <v>FERVIC</v>
          </cell>
          <cell r="J14672">
            <v>0</v>
          </cell>
        </row>
        <row r="14673">
          <cell r="A14673" t="str">
            <v>FERVIC</v>
          </cell>
          <cell r="J14673">
            <v>0</v>
          </cell>
        </row>
        <row r="14674">
          <cell r="A14674" t="str">
            <v>FERVIC</v>
          </cell>
          <cell r="J14674">
            <v>0</v>
          </cell>
        </row>
        <row r="14675">
          <cell r="A14675" t="str">
            <v>FERVIC</v>
          </cell>
          <cell r="J14675">
            <v>0</v>
          </cell>
        </row>
        <row r="14676">
          <cell r="A14676" t="str">
            <v>FERVIC</v>
          </cell>
          <cell r="J14676">
            <v>0</v>
          </cell>
        </row>
        <row r="14677">
          <cell r="A14677" t="str">
            <v>FERVIC</v>
          </cell>
          <cell r="J14677">
            <v>0</v>
          </cell>
        </row>
        <row r="14678">
          <cell r="A14678" t="str">
            <v>FERVIC</v>
          </cell>
          <cell r="J14678">
            <v>0</v>
          </cell>
        </row>
        <row r="14679">
          <cell r="A14679" t="str">
            <v>FERVIC</v>
          </cell>
          <cell r="J14679">
            <v>0</v>
          </cell>
        </row>
        <row r="14680">
          <cell r="A14680" t="str">
            <v>FERVIC</v>
          </cell>
          <cell r="J14680">
            <v>0</v>
          </cell>
        </row>
        <row r="14681">
          <cell r="A14681" t="str">
            <v>FERVIC</v>
          </cell>
          <cell r="J14681">
            <v>0</v>
          </cell>
        </row>
        <row r="14682">
          <cell r="A14682" t="str">
            <v>FERVIC</v>
          </cell>
          <cell r="J14682">
            <v>0</v>
          </cell>
        </row>
        <row r="14683">
          <cell r="A14683" t="str">
            <v>FERVIC</v>
          </cell>
          <cell r="J14683">
            <v>0</v>
          </cell>
        </row>
        <row r="14684">
          <cell r="A14684" t="str">
            <v>FERVIC</v>
          </cell>
          <cell r="J14684">
            <v>0</v>
          </cell>
        </row>
        <row r="14685">
          <cell r="A14685" t="str">
            <v>FERVIC</v>
          </cell>
          <cell r="J14685">
            <v>0</v>
          </cell>
        </row>
        <row r="14686">
          <cell r="A14686" t="str">
            <v>FERVIC</v>
          </cell>
          <cell r="J14686">
            <v>0</v>
          </cell>
        </row>
        <row r="14687">
          <cell r="A14687" t="str">
            <v>FERVIC</v>
          </cell>
          <cell r="J14687">
            <v>0</v>
          </cell>
        </row>
        <row r="14688">
          <cell r="A14688" t="str">
            <v>FERVIC</v>
          </cell>
          <cell r="J14688">
            <v>0</v>
          </cell>
        </row>
        <row r="14689">
          <cell r="A14689" t="str">
            <v>FERVIC</v>
          </cell>
          <cell r="J14689">
            <v>0</v>
          </cell>
        </row>
        <row r="14690">
          <cell r="A14690" t="str">
            <v>FERVIC</v>
          </cell>
          <cell r="J14690">
            <v>0</v>
          </cell>
        </row>
        <row r="14691">
          <cell r="A14691" t="str">
            <v>FERVIC</v>
          </cell>
          <cell r="J14691">
            <v>0</v>
          </cell>
        </row>
        <row r="14692">
          <cell r="A14692" t="str">
            <v>FERVIC</v>
          </cell>
          <cell r="J14692">
            <v>0</v>
          </cell>
        </row>
        <row r="14693">
          <cell r="A14693" t="str">
            <v>FERVIC</v>
          </cell>
          <cell r="J14693">
            <v>0</v>
          </cell>
        </row>
        <row r="14694">
          <cell r="A14694" t="str">
            <v>FERVIC</v>
          </cell>
          <cell r="J14694">
            <v>0</v>
          </cell>
        </row>
        <row r="14695">
          <cell r="A14695" t="str">
            <v>FERVIC</v>
          </cell>
          <cell r="J14695">
            <v>0</v>
          </cell>
        </row>
        <row r="14696">
          <cell r="A14696" t="str">
            <v>FERVIC</v>
          </cell>
          <cell r="J14696">
            <v>0</v>
          </cell>
        </row>
        <row r="14697">
          <cell r="A14697" t="str">
            <v>FERVIC</v>
          </cell>
          <cell r="J14697">
            <v>0</v>
          </cell>
        </row>
        <row r="14698">
          <cell r="A14698" t="str">
            <v>FERVIC</v>
          </cell>
          <cell r="J14698">
            <v>0</v>
          </cell>
        </row>
        <row r="14699">
          <cell r="A14699" t="str">
            <v>FERVIC</v>
          </cell>
          <cell r="J14699">
            <v>0</v>
          </cell>
        </row>
        <row r="14700">
          <cell r="A14700" t="str">
            <v>FERVIC</v>
          </cell>
          <cell r="J14700">
            <v>0</v>
          </cell>
        </row>
        <row r="14701">
          <cell r="A14701" t="str">
            <v>FERVIC</v>
          </cell>
          <cell r="J14701">
            <v>0</v>
          </cell>
        </row>
        <row r="14702">
          <cell r="A14702" t="str">
            <v>FERVIC</v>
          </cell>
          <cell r="J14702">
            <v>0</v>
          </cell>
        </row>
        <row r="14703">
          <cell r="A14703" t="str">
            <v>FERVIC</v>
          </cell>
          <cell r="J14703">
            <v>0</v>
          </cell>
        </row>
        <row r="14704">
          <cell r="A14704" t="str">
            <v>FERVIC</v>
          </cell>
          <cell r="J14704">
            <v>0</v>
          </cell>
        </row>
        <row r="14705">
          <cell r="A14705" t="str">
            <v>FERVIC</v>
          </cell>
          <cell r="J14705">
            <v>0</v>
          </cell>
        </row>
        <row r="14706">
          <cell r="A14706" t="str">
            <v>FERVIC</v>
          </cell>
          <cell r="J14706">
            <v>0</v>
          </cell>
        </row>
        <row r="14707">
          <cell r="A14707" t="str">
            <v>FERVIC</v>
          </cell>
          <cell r="J14707">
            <v>0</v>
          </cell>
        </row>
        <row r="14708">
          <cell r="A14708" t="str">
            <v>FERVIC</v>
          </cell>
          <cell r="J14708">
            <v>0</v>
          </cell>
        </row>
        <row r="14709">
          <cell r="A14709" t="str">
            <v>FERVIC</v>
          </cell>
          <cell r="J14709">
            <v>0</v>
          </cell>
        </row>
        <row r="14710">
          <cell r="A14710" t="str">
            <v>FERVIC</v>
          </cell>
          <cell r="J14710">
            <v>0</v>
          </cell>
        </row>
        <row r="14711">
          <cell r="A14711" t="str">
            <v>FERVIC</v>
          </cell>
          <cell r="J14711">
            <v>0</v>
          </cell>
        </row>
        <row r="14712">
          <cell r="A14712" t="str">
            <v>FERVIC</v>
          </cell>
          <cell r="J14712">
            <v>0</v>
          </cell>
        </row>
        <row r="14713">
          <cell r="A14713" t="str">
            <v>FERVIC</v>
          </cell>
          <cell r="J14713">
            <v>0</v>
          </cell>
        </row>
        <row r="14714">
          <cell r="A14714" t="str">
            <v>FERVIC</v>
          </cell>
          <cell r="J14714">
            <v>0</v>
          </cell>
        </row>
        <row r="14715">
          <cell r="A14715" t="str">
            <v>FERVIC</v>
          </cell>
          <cell r="J14715">
            <v>0</v>
          </cell>
        </row>
        <row r="14716">
          <cell r="A14716" t="str">
            <v>FERVIC</v>
          </cell>
          <cell r="J14716">
            <v>0</v>
          </cell>
        </row>
        <row r="14717">
          <cell r="A14717" t="str">
            <v>FERVIC</v>
          </cell>
          <cell r="J14717">
            <v>0</v>
          </cell>
        </row>
        <row r="14718">
          <cell r="A14718" t="str">
            <v>FERVIC</v>
          </cell>
          <cell r="J14718">
            <v>0</v>
          </cell>
        </row>
        <row r="14719">
          <cell r="A14719" t="str">
            <v>FERVIC</v>
          </cell>
          <cell r="J14719">
            <v>0</v>
          </cell>
        </row>
        <row r="14720">
          <cell r="A14720" t="str">
            <v>FERVIC</v>
          </cell>
          <cell r="J14720">
            <v>0</v>
          </cell>
        </row>
        <row r="14721">
          <cell r="A14721" t="str">
            <v>FERVIC</v>
          </cell>
          <cell r="J14721">
            <v>0</v>
          </cell>
        </row>
        <row r="14722">
          <cell r="A14722" t="str">
            <v>FERVIC</v>
          </cell>
          <cell r="J14722">
            <v>0</v>
          </cell>
        </row>
        <row r="14723">
          <cell r="A14723" t="str">
            <v>FERVIC</v>
          </cell>
          <cell r="J14723">
            <v>0</v>
          </cell>
        </row>
        <row r="14724">
          <cell r="A14724" t="str">
            <v>FERVIC</v>
          </cell>
          <cell r="J14724">
            <v>0</v>
          </cell>
        </row>
        <row r="14725">
          <cell r="A14725" t="str">
            <v>FERVIC</v>
          </cell>
          <cell r="J14725">
            <v>0</v>
          </cell>
        </row>
        <row r="14726">
          <cell r="A14726" t="str">
            <v>FERVIC</v>
          </cell>
          <cell r="J14726">
            <v>0</v>
          </cell>
        </row>
        <row r="14727">
          <cell r="A14727" t="str">
            <v>FERVIC</v>
          </cell>
          <cell r="J14727">
            <v>0</v>
          </cell>
        </row>
        <row r="14728">
          <cell r="A14728" t="str">
            <v>FERVIC</v>
          </cell>
          <cell r="J14728">
            <v>0</v>
          </cell>
        </row>
        <row r="14729">
          <cell r="A14729" t="str">
            <v>FERVIC</v>
          </cell>
          <cell r="J14729">
            <v>0</v>
          </cell>
        </row>
        <row r="14730">
          <cell r="A14730" t="str">
            <v>FERVIC</v>
          </cell>
          <cell r="J14730">
            <v>0</v>
          </cell>
        </row>
        <row r="14731">
          <cell r="A14731" t="str">
            <v>FERVIC</v>
          </cell>
          <cell r="J14731">
            <v>0</v>
          </cell>
        </row>
        <row r="14732">
          <cell r="A14732" t="str">
            <v>FERVIC</v>
          </cell>
          <cell r="J14732">
            <v>0</v>
          </cell>
        </row>
        <row r="14733">
          <cell r="A14733" t="str">
            <v>FERVIC</v>
          </cell>
          <cell r="J14733">
            <v>0</v>
          </cell>
        </row>
        <row r="14734">
          <cell r="A14734" t="str">
            <v>FERVIC</v>
          </cell>
          <cell r="J14734">
            <v>0</v>
          </cell>
        </row>
        <row r="14735">
          <cell r="A14735" t="str">
            <v>FERVIC</v>
          </cell>
          <cell r="J14735">
            <v>0</v>
          </cell>
        </row>
        <row r="14736">
          <cell r="A14736" t="str">
            <v>FERVIC</v>
          </cell>
          <cell r="J14736">
            <v>0</v>
          </cell>
        </row>
        <row r="14737">
          <cell r="A14737" t="str">
            <v>FERVIC</v>
          </cell>
          <cell r="J14737">
            <v>0</v>
          </cell>
        </row>
        <row r="14738">
          <cell r="A14738" t="str">
            <v>FERVIC</v>
          </cell>
          <cell r="J14738">
            <v>0</v>
          </cell>
        </row>
        <row r="14739">
          <cell r="A14739" t="str">
            <v>FERVIC</v>
          </cell>
          <cell r="J14739">
            <v>0</v>
          </cell>
        </row>
        <row r="14740">
          <cell r="A14740" t="str">
            <v>FERVIC</v>
          </cell>
          <cell r="J14740">
            <v>0</v>
          </cell>
        </row>
        <row r="14741">
          <cell r="A14741" t="str">
            <v>FERVIC</v>
          </cell>
          <cell r="J14741">
            <v>0</v>
          </cell>
        </row>
        <row r="14742">
          <cell r="A14742" t="str">
            <v>FERVIC</v>
          </cell>
          <cell r="J14742">
            <v>0</v>
          </cell>
        </row>
        <row r="14743">
          <cell r="A14743" t="str">
            <v>FERVIC</v>
          </cell>
          <cell r="J14743">
            <v>0</v>
          </cell>
        </row>
        <row r="14744">
          <cell r="A14744" t="str">
            <v>FERVIC</v>
          </cell>
          <cell r="J14744">
            <v>0</v>
          </cell>
        </row>
        <row r="14745">
          <cell r="A14745" t="str">
            <v>FERVIC</v>
          </cell>
          <cell r="J14745">
            <v>0</v>
          </cell>
        </row>
        <row r="14746">
          <cell r="A14746" t="str">
            <v>FERVIC</v>
          </cell>
          <cell r="J14746">
            <v>0</v>
          </cell>
        </row>
        <row r="14747">
          <cell r="A14747" t="str">
            <v>FERVIC</v>
          </cell>
          <cell r="J14747">
            <v>0</v>
          </cell>
        </row>
        <row r="14748">
          <cell r="A14748" t="str">
            <v>FERVIC</v>
          </cell>
          <cell r="J14748">
            <v>0</v>
          </cell>
        </row>
        <row r="14749">
          <cell r="A14749" t="str">
            <v>FERVIC</v>
          </cell>
          <cell r="J14749">
            <v>0</v>
          </cell>
        </row>
        <row r="14750">
          <cell r="A14750" t="str">
            <v>FERVIC</v>
          </cell>
          <cell r="J14750">
            <v>0</v>
          </cell>
        </row>
        <row r="14751">
          <cell r="A14751" t="str">
            <v>FERVIC</v>
          </cell>
          <cell r="J14751">
            <v>0</v>
          </cell>
        </row>
        <row r="14752">
          <cell r="A14752" t="str">
            <v>FERVIC</v>
          </cell>
          <cell r="J14752">
            <v>0</v>
          </cell>
        </row>
        <row r="14753">
          <cell r="A14753" t="str">
            <v>FERVIC</v>
          </cell>
          <cell r="J14753">
            <v>0</v>
          </cell>
        </row>
        <row r="14754">
          <cell r="A14754" t="str">
            <v>FERVIC</v>
          </cell>
          <cell r="J14754">
            <v>0</v>
          </cell>
        </row>
        <row r="14755">
          <cell r="A14755" t="str">
            <v>FERVIC</v>
          </cell>
          <cell r="J14755">
            <v>0</v>
          </cell>
        </row>
        <row r="14756">
          <cell r="A14756" t="str">
            <v>FERVIC</v>
          </cell>
          <cell r="J14756">
            <v>0</v>
          </cell>
        </row>
        <row r="14757">
          <cell r="A14757" t="str">
            <v>FERVIC</v>
          </cell>
          <cell r="J14757">
            <v>0</v>
          </cell>
        </row>
        <row r="14758">
          <cell r="A14758" t="str">
            <v>FERVIC</v>
          </cell>
          <cell r="J14758">
            <v>0</v>
          </cell>
        </row>
        <row r="14759">
          <cell r="A14759" t="str">
            <v>FERVIC</v>
          </cell>
          <cell r="J14759">
            <v>0</v>
          </cell>
        </row>
        <row r="14760">
          <cell r="A14760" t="str">
            <v>FERVIC</v>
          </cell>
          <cell r="J14760">
            <v>0</v>
          </cell>
        </row>
        <row r="14761">
          <cell r="A14761" t="str">
            <v>FERVIC</v>
          </cell>
          <cell r="J14761">
            <v>0</v>
          </cell>
        </row>
        <row r="14762">
          <cell r="A14762" t="str">
            <v>FERVIC</v>
          </cell>
          <cell r="J14762">
            <v>0</v>
          </cell>
        </row>
        <row r="14763">
          <cell r="A14763" t="str">
            <v>FERVIC</v>
          </cell>
          <cell r="J14763">
            <v>0</v>
          </cell>
        </row>
        <row r="14764">
          <cell r="A14764" t="str">
            <v>FERVIC</v>
          </cell>
          <cell r="J14764">
            <v>0</v>
          </cell>
        </row>
        <row r="14765">
          <cell r="A14765" t="str">
            <v>FERVIC</v>
          </cell>
          <cell r="J14765">
            <v>0</v>
          </cell>
        </row>
        <row r="14766">
          <cell r="A14766" t="str">
            <v>FERVIC</v>
          </cell>
          <cell r="J14766">
            <v>0</v>
          </cell>
        </row>
        <row r="14767">
          <cell r="A14767" t="str">
            <v>FERVIC</v>
          </cell>
          <cell r="J14767">
            <v>0</v>
          </cell>
        </row>
        <row r="14768">
          <cell r="A14768" t="str">
            <v>FERVIC</v>
          </cell>
          <cell r="J14768">
            <v>0</v>
          </cell>
        </row>
        <row r="14769">
          <cell r="A14769" t="str">
            <v>FERVIC</v>
          </cell>
          <cell r="J14769">
            <v>0</v>
          </cell>
        </row>
        <row r="14770">
          <cell r="A14770" t="str">
            <v>FERVIC</v>
          </cell>
          <cell r="J14770">
            <v>0</v>
          </cell>
        </row>
        <row r="14771">
          <cell r="A14771" t="str">
            <v>FERVIC</v>
          </cell>
          <cell r="J14771">
            <v>0</v>
          </cell>
        </row>
        <row r="14772">
          <cell r="A14772" t="str">
            <v>FERVIC</v>
          </cell>
          <cell r="J14772">
            <v>0</v>
          </cell>
        </row>
        <row r="14773">
          <cell r="A14773" t="str">
            <v>FERVIC</v>
          </cell>
          <cell r="J14773">
            <v>0</v>
          </cell>
        </row>
        <row r="14774">
          <cell r="A14774" t="str">
            <v>FERVIC</v>
          </cell>
          <cell r="J14774">
            <v>0</v>
          </cell>
        </row>
        <row r="14775">
          <cell r="A14775" t="str">
            <v>FERVIC</v>
          </cell>
          <cell r="J14775">
            <v>0</v>
          </cell>
        </row>
        <row r="14776">
          <cell r="A14776" t="str">
            <v>FERVIC</v>
          </cell>
          <cell r="J14776">
            <v>0</v>
          </cell>
        </row>
        <row r="14777">
          <cell r="A14777" t="str">
            <v>FERVIC</v>
          </cell>
          <cell r="J14777">
            <v>0</v>
          </cell>
        </row>
        <row r="14778">
          <cell r="A14778" t="str">
            <v>FERVIC</v>
          </cell>
          <cell r="J14778">
            <v>0</v>
          </cell>
        </row>
        <row r="14779">
          <cell r="A14779" t="str">
            <v>FERVIC</v>
          </cell>
          <cell r="J14779">
            <v>0</v>
          </cell>
        </row>
        <row r="14780">
          <cell r="A14780" t="str">
            <v>FERVIC</v>
          </cell>
          <cell r="J14780">
            <v>0</v>
          </cell>
        </row>
        <row r="14781">
          <cell r="A14781" t="str">
            <v>FERVIC</v>
          </cell>
          <cell r="J14781">
            <v>0</v>
          </cell>
        </row>
        <row r="14782">
          <cell r="A14782" t="str">
            <v>FERVIC</v>
          </cell>
          <cell r="J14782">
            <v>0</v>
          </cell>
        </row>
        <row r="14783">
          <cell r="A14783" t="str">
            <v>FERVIC</v>
          </cell>
          <cell r="J14783">
            <v>0</v>
          </cell>
        </row>
        <row r="14784">
          <cell r="A14784" t="str">
            <v>FERVIC</v>
          </cell>
          <cell r="J14784">
            <v>0</v>
          </cell>
        </row>
        <row r="14785">
          <cell r="A14785" t="str">
            <v>FERVIC</v>
          </cell>
          <cell r="J14785">
            <v>0</v>
          </cell>
        </row>
        <row r="14786">
          <cell r="A14786" t="str">
            <v>FERVIC</v>
          </cell>
          <cell r="J14786">
            <v>0</v>
          </cell>
        </row>
        <row r="14787">
          <cell r="A14787" t="str">
            <v>FERVIC</v>
          </cell>
          <cell r="J14787">
            <v>0</v>
          </cell>
        </row>
        <row r="14788">
          <cell r="A14788" t="str">
            <v>FERVIC</v>
          </cell>
          <cell r="J14788">
            <v>0</v>
          </cell>
        </row>
        <row r="14789">
          <cell r="A14789" t="str">
            <v>FERVIC</v>
          </cell>
          <cell r="J14789">
            <v>0</v>
          </cell>
        </row>
        <row r="14790">
          <cell r="A14790" t="str">
            <v>FERVIC</v>
          </cell>
          <cell r="J14790">
            <v>0</v>
          </cell>
        </row>
        <row r="14791">
          <cell r="A14791" t="str">
            <v>FERVIC</v>
          </cell>
          <cell r="J14791">
            <v>0</v>
          </cell>
        </row>
        <row r="14792">
          <cell r="A14792" t="str">
            <v>FERVIC</v>
          </cell>
          <cell r="J14792">
            <v>0</v>
          </cell>
        </row>
        <row r="14793">
          <cell r="A14793" t="str">
            <v>FERVIC</v>
          </cell>
          <cell r="J14793">
            <v>0</v>
          </cell>
        </row>
        <row r="14794">
          <cell r="A14794" t="str">
            <v>FERVIC</v>
          </cell>
          <cell r="J14794">
            <v>0</v>
          </cell>
        </row>
        <row r="14795">
          <cell r="A14795" t="str">
            <v>FERVIC</v>
          </cell>
          <cell r="J14795">
            <v>0</v>
          </cell>
        </row>
        <row r="14796">
          <cell r="A14796" t="str">
            <v>FERVIC</v>
          </cell>
          <cell r="J14796">
            <v>0</v>
          </cell>
        </row>
        <row r="14797">
          <cell r="A14797" t="str">
            <v>FERVIC</v>
          </cell>
          <cell r="J14797">
            <v>0</v>
          </cell>
        </row>
        <row r="14798">
          <cell r="A14798" t="str">
            <v>FERVIC</v>
          </cell>
          <cell r="J14798">
            <v>0</v>
          </cell>
        </row>
        <row r="14799">
          <cell r="A14799" t="str">
            <v>FERVIC</v>
          </cell>
          <cell r="J14799">
            <v>0</v>
          </cell>
        </row>
        <row r="14800">
          <cell r="A14800" t="str">
            <v>FERVIC</v>
          </cell>
          <cell r="J14800">
            <v>0</v>
          </cell>
        </row>
        <row r="14801">
          <cell r="A14801" t="str">
            <v>FERVIC</v>
          </cell>
          <cell r="J14801">
            <v>0</v>
          </cell>
        </row>
        <row r="14802">
          <cell r="A14802" t="str">
            <v>FERVIC</v>
          </cell>
          <cell r="J14802">
            <v>0</v>
          </cell>
        </row>
        <row r="14803">
          <cell r="A14803" t="str">
            <v>FERVIC</v>
          </cell>
          <cell r="J14803">
            <v>0</v>
          </cell>
        </row>
        <row r="14804">
          <cell r="A14804" t="str">
            <v>FERVIC</v>
          </cell>
          <cell r="J14804">
            <v>0</v>
          </cell>
        </row>
        <row r="14805">
          <cell r="A14805" t="str">
            <v>FERVIC</v>
          </cell>
          <cell r="J14805">
            <v>0</v>
          </cell>
        </row>
        <row r="14806">
          <cell r="A14806" t="str">
            <v>FERVIC</v>
          </cell>
          <cell r="J14806">
            <v>0</v>
          </cell>
        </row>
        <row r="14807">
          <cell r="A14807" t="str">
            <v>FERVIC</v>
          </cell>
          <cell r="J14807">
            <v>0</v>
          </cell>
        </row>
        <row r="14808">
          <cell r="A14808" t="str">
            <v>FERVIC</v>
          </cell>
          <cell r="J14808">
            <v>0</v>
          </cell>
        </row>
        <row r="14809">
          <cell r="A14809" t="str">
            <v>FERVIC</v>
          </cell>
          <cell r="J14809">
            <v>0</v>
          </cell>
        </row>
        <row r="14810">
          <cell r="A14810" t="str">
            <v>FERVIC</v>
          </cell>
          <cell r="J14810">
            <v>0</v>
          </cell>
        </row>
        <row r="14811">
          <cell r="A14811" t="str">
            <v>FERVIC</v>
          </cell>
          <cell r="J14811">
            <v>0</v>
          </cell>
        </row>
        <row r="14812">
          <cell r="A14812" t="str">
            <v>FERVIC</v>
          </cell>
          <cell r="J14812">
            <v>0</v>
          </cell>
        </row>
        <row r="14813">
          <cell r="A14813" t="str">
            <v>FERVIC</v>
          </cell>
          <cell r="J14813">
            <v>0</v>
          </cell>
        </row>
        <row r="14814">
          <cell r="A14814" t="str">
            <v>FERVIC</v>
          </cell>
          <cell r="J14814">
            <v>0</v>
          </cell>
        </row>
        <row r="14815">
          <cell r="A14815" t="str">
            <v>FERVIC</v>
          </cell>
          <cell r="J14815">
            <v>0</v>
          </cell>
        </row>
        <row r="14816">
          <cell r="A14816" t="str">
            <v>FERVIC</v>
          </cell>
          <cell r="J14816">
            <v>0</v>
          </cell>
        </row>
        <row r="14817">
          <cell r="A14817" t="str">
            <v>FERVIC</v>
          </cell>
          <cell r="J14817">
            <v>0</v>
          </cell>
        </row>
        <row r="14818">
          <cell r="A14818" t="str">
            <v>FERVIC</v>
          </cell>
          <cell r="J14818">
            <v>0</v>
          </cell>
        </row>
        <row r="14819">
          <cell r="A14819" t="str">
            <v>FERVIC</v>
          </cell>
          <cell r="J14819">
            <v>0</v>
          </cell>
        </row>
        <row r="14820">
          <cell r="A14820" t="str">
            <v>FERVIC</v>
          </cell>
          <cell r="J14820">
            <v>0</v>
          </cell>
        </row>
        <row r="14821">
          <cell r="A14821" t="str">
            <v>FERVIC</v>
          </cell>
          <cell r="J14821">
            <v>0</v>
          </cell>
        </row>
        <row r="14822">
          <cell r="A14822" t="str">
            <v>FERVIC</v>
          </cell>
          <cell r="J14822">
            <v>0</v>
          </cell>
        </row>
        <row r="14823">
          <cell r="A14823" t="str">
            <v>FERVIC</v>
          </cell>
          <cell r="J14823">
            <v>0</v>
          </cell>
        </row>
        <row r="14824">
          <cell r="A14824" t="str">
            <v>FERVIC</v>
          </cell>
          <cell r="J14824">
            <v>0</v>
          </cell>
        </row>
        <row r="14825">
          <cell r="A14825" t="str">
            <v>FERVIC</v>
          </cell>
          <cell r="J14825">
            <v>0</v>
          </cell>
        </row>
        <row r="14826">
          <cell r="A14826" t="str">
            <v>FERVIC</v>
          </cell>
          <cell r="J14826">
            <v>0</v>
          </cell>
        </row>
        <row r="14827">
          <cell r="A14827" t="str">
            <v>FERVIC</v>
          </cell>
          <cell r="J14827">
            <v>0</v>
          </cell>
        </row>
        <row r="14828">
          <cell r="A14828" t="str">
            <v>FERVIC</v>
          </cell>
          <cell r="J14828">
            <v>0</v>
          </cell>
        </row>
        <row r="14829">
          <cell r="A14829" t="str">
            <v>FERVIC</v>
          </cell>
          <cell r="J14829">
            <v>0</v>
          </cell>
        </row>
        <row r="14830">
          <cell r="A14830" t="str">
            <v>FERVIC</v>
          </cell>
          <cell r="J14830">
            <v>0</v>
          </cell>
        </row>
        <row r="14831">
          <cell r="A14831" t="str">
            <v>FERVIC</v>
          </cell>
          <cell r="J14831">
            <v>0</v>
          </cell>
        </row>
        <row r="14832">
          <cell r="A14832" t="str">
            <v>FERVIC</v>
          </cell>
          <cell r="J14832">
            <v>0</v>
          </cell>
        </row>
        <row r="14833">
          <cell r="A14833" t="str">
            <v>FERVIC</v>
          </cell>
          <cell r="J14833">
            <v>0</v>
          </cell>
        </row>
        <row r="14834">
          <cell r="A14834" t="str">
            <v>FERVIC</v>
          </cell>
          <cell r="J14834">
            <v>0</v>
          </cell>
        </row>
        <row r="14835">
          <cell r="A14835" t="str">
            <v>FERVIC</v>
          </cell>
          <cell r="J14835">
            <v>0</v>
          </cell>
        </row>
        <row r="14836">
          <cell r="A14836" t="str">
            <v>FERVIC</v>
          </cell>
          <cell r="J14836">
            <v>0</v>
          </cell>
        </row>
        <row r="14837">
          <cell r="A14837" t="str">
            <v>FERVIC</v>
          </cell>
          <cell r="J14837">
            <v>0</v>
          </cell>
        </row>
        <row r="14838">
          <cell r="A14838" t="str">
            <v>FERVIC</v>
          </cell>
          <cell r="J14838">
            <v>0</v>
          </cell>
        </row>
        <row r="14839">
          <cell r="A14839" t="str">
            <v>FERVIC</v>
          </cell>
          <cell r="J14839">
            <v>0</v>
          </cell>
        </row>
        <row r="14840">
          <cell r="A14840" t="str">
            <v>FERVIC</v>
          </cell>
          <cell r="J14840">
            <v>0</v>
          </cell>
        </row>
        <row r="14841">
          <cell r="A14841" t="str">
            <v>FERVIC</v>
          </cell>
          <cell r="J14841">
            <v>0</v>
          </cell>
        </row>
        <row r="14842">
          <cell r="A14842" t="str">
            <v>FERVIC</v>
          </cell>
          <cell r="J14842">
            <v>0</v>
          </cell>
        </row>
        <row r="14843">
          <cell r="A14843" t="str">
            <v>FERVIC</v>
          </cell>
          <cell r="J14843">
            <v>0</v>
          </cell>
        </row>
        <row r="14844">
          <cell r="A14844" t="str">
            <v>FERVIC</v>
          </cell>
          <cell r="J14844">
            <v>0</v>
          </cell>
        </row>
        <row r="14845">
          <cell r="A14845" t="str">
            <v>FERVIC</v>
          </cell>
          <cell r="J14845">
            <v>0</v>
          </cell>
        </row>
        <row r="14846">
          <cell r="A14846" t="str">
            <v>FERVIC</v>
          </cell>
          <cell r="J14846">
            <v>0</v>
          </cell>
        </row>
        <row r="14847">
          <cell r="A14847" t="str">
            <v>FERVIC</v>
          </cell>
          <cell r="J14847">
            <v>0</v>
          </cell>
        </row>
        <row r="14848">
          <cell r="A14848" t="str">
            <v>FERVIC</v>
          </cell>
          <cell r="J14848">
            <v>0</v>
          </cell>
        </row>
        <row r="14849">
          <cell r="A14849" t="str">
            <v>FERVIC</v>
          </cell>
          <cell r="J14849">
            <v>0</v>
          </cell>
        </row>
        <row r="14850">
          <cell r="A14850" t="str">
            <v>FERVIC</v>
          </cell>
          <cell r="J14850">
            <v>0</v>
          </cell>
        </row>
        <row r="14851">
          <cell r="A14851" t="str">
            <v>FERVIC</v>
          </cell>
          <cell r="J14851">
            <v>0</v>
          </cell>
        </row>
        <row r="14852">
          <cell r="A14852" t="str">
            <v>FERVIC</v>
          </cell>
          <cell r="J14852">
            <v>0</v>
          </cell>
        </row>
        <row r="14853">
          <cell r="A14853" t="str">
            <v>FERVIC</v>
          </cell>
          <cell r="J14853">
            <v>0</v>
          </cell>
        </row>
        <row r="14854">
          <cell r="A14854" t="str">
            <v>FERVIC</v>
          </cell>
          <cell r="J14854">
            <v>0</v>
          </cell>
        </row>
        <row r="14855">
          <cell r="A14855" t="str">
            <v>FERVIC</v>
          </cell>
          <cell r="J14855">
            <v>0</v>
          </cell>
        </row>
        <row r="14856">
          <cell r="A14856" t="str">
            <v>FERVIC</v>
          </cell>
          <cell r="J14856">
            <v>0</v>
          </cell>
        </row>
        <row r="14857">
          <cell r="A14857" t="str">
            <v>FERVIC</v>
          </cell>
          <cell r="J14857">
            <v>0</v>
          </cell>
        </row>
        <row r="14858">
          <cell r="A14858" t="str">
            <v>FERVIC</v>
          </cell>
          <cell r="J14858">
            <v>0</v>
          </cell>
        </row>
        <row r="14859">
          <cell r="A14859" t="str">
            <v>FERVIC</v>
          </cell>
          <cell r="J14859">
            <v>0</v>
          </cell>
        </row>
        <row r="14860">
          <cell r="A14860" t="str">
            <v>FERVIC</v>
          </cell>
          <cell r="J14860">
            <v>0</v>
          </cell>
        </row>
        <row r="14861">
          <cell r="A14861" t="str">
            <v>FERVIC</v>
          </cell>
          <cell r="J14861">
            <v>0</v>
          </cell>
        </row>
        <row r="14862">
          <cell r="A14862" t="str">
            <v>FERVIC</v>
          </cell>
          <cell r="J14862">
            <v>0</v>
          </cell>
        </row>
        <row r="14863">
          <cell r="A14863" t="str">
            <v>FERVIC</v>
          </cell>
          <cell r="J14863">
            <v>0</v>
          </cell>
        </row>
        <row r="14864">
          <cell r="A14864" t="str">
            <v>FERVIC</v>
          </cell>
          <cell r="J14864">
            <v>0</v>
          </cell>
        </row>
        <row r="14865">
          <cell r="A14865" t="str">
            <v>FERVIC</v>
          </cell>
          <cell r="J14865">
            <v>0</v>
          </cell>
        </row>
        <row r="14866">
          <cell r="A14866" t="str">
            <v>FERVIC</v>
          </cell>
          <cell r="J14866">
            <v>0</v>
          </cell>
        </row>
        <row r="14867">
          <cell r="A14867" t="str">
            <v>FERVIC</v>
          </cell>
          <cell r="J14867">
            <v>0</v>
          </cell>
        </row>
        <row r="14868">
          <cell r="A14868" t="str">
            <v>FERVIC</v>
          </cell>
          <cell r="J14868">
            <v>0</v>
          </cell>
        </row>
        <row r="14869">
          <cell r="A14869" t="str">
            <v>FERVIC</v>
          </cell>
          <cell r="J14869">
            <v>0</v>
          </cell>
        </row>
        <row r="14870">
          <cell r="A14870" t="str">
            <v>FERVIC</v>
          </cell>
          <cell r="J14870">
            <v>0</v>
          </cell>
        </row>
        <row r="14871">
          <cell r="A14871" t="str">
            <v>FERVIC</v>
          </cell>
          <cell r="J14871">
            <v>0</v>
          </cell>
        </row>
        <row r="14872">
          <cell r="A14872" t="str">
            <v>FERVIC</v>
          </cell>
          <cell r="J14872">
            <v>0</v>
          </cell>
        </row>
        <row r="14873">
          <cell r="A14873" t="str">
            <v>FERVIC</v>
          </cell>
          <cell r="J14873">
            <v>0</v>
          </cell>
        </row>
        <row r="14874">
          <cell r="A14874" t="str">
            <v>FERVIC</v>
          </cell>
          <cell r="J14874">
            <v>0</v>
          </cell>
        </row>
        <row r="14875">
          <cell r="A14875" t="str">
            <v>FERVIC</v>
          </cell>
          <cell r="J14875">
            <v>0</v>
          </cell>
        </row>
        <row r="14876">
          <cell r="A14876" t="str">
            <v>FERVIC</v>
          </cell>
          <cell r="J14876">
            <v>0</v>
          </cell>
        </row>
        <row r="14877">
          <cell r="A14877" t="str">
            <v>FERVIC</v>
          </cell>
          <cell r="J14877">
            <v>0</v>
          </cell>
        </row>
        <row r="14878">
          <cell r="A14878" t="str">
            <v>FERVIC</v>
          </cell>
          <cell r="J14878">
            <v>0</v>
          </cell>
        </row>
        <row r="14879">
          <cell r="A14879" t="str">
            <v>FERVIC</v>
          </cell>
          <cell r="J14879">
            <v>0</v>
          </cell>
        </row>
        <row r="14880">
          <cell r="A14880" t="str">
            <v>FERVIC</v>
          </cell>
          <cell r="J14880">
            <v>0</v>
          </cell>
        </row>
        <row r="14881">
          <cell r="A14881" t="str">
            <v>FERVIC</v>
          </cell>
          <cell r="J14881">
            <v>0</v>
          </cell>
        </row>
        <row r="14882">
          <cell r="A14882" t="str">
            <v>FERVIC</v>
          </cell>
          <cell r="J14882">
            <v>0</v>
          </cell>
        </row>
        <row r="14883">
          <cell r="A14883" t="str">
            <v>FERVIC</v>
          </cell>
          <cell r="J14883">
            <v>0</v>
          </cell>
        </row>
        <row r="14884">
          <cell r="A14884" t="str">
            <v>FERVIC</v>
          </cell>
          <cell r="J14884">
            <v>0</v>
          </cell>
        </row>
        <row r="14885">
          <cell r="A14885" t="str">
            <v>FERVIC</v>
          </cell>
          <cell r="J14885">
            <v>0</v>
          </cell>
        </row>
        <row r="14886">
          <cell r="A14886" t="str">
            <v>FERVIC</v>
          </cell>
          <cell r="J14886">
            <v>0</v>
          </cell>
        </row>
        <row r="14887">
          <cell r="A14887" t="str">
            <v>FERVIC</v>
          </cell>
          <cell r="J14887">
            <v>0</v>
          </cell>
        </row>
        <row r="14888">
          <cell r="A14888" t="str">
            <v>FERVIC</v>
          </cell>
          <cell r="J14888">
            <v>0</v>
          </cell>
        </row>
        <row r="14889">
          <cell r="A14889" t="str">
            <v>FERVIC</v>
          </cell>
          <cell r="J14889">
            <v>0</v>
          </cell>
        </row>
        <row r="14890">
          <cell r="A14890" t="str">
            <v>FERVIC</v>
          </cell>
          <cell r="J14890">
            <v>0</v>
          </cell>
        </row>
        <row r="14891">
          <cell r="A14891" t="str">
            <v>FERVIC</v>
          </cell>
          <cell r="J14891">
            <v>0</v>
          </cell>
        </row>
        <row r="14892">
          <cell r="A14892" t="str">
            <v>FERVIC</v>
          </cell>
          <cell r="J14892">
            <v>0</v>
          </cell>
        </row>
        <row r="14893">
          <cell r="A14893" t="str">
            <v>FERVIC</v>
          </cell>
          <cell r="J14893">
            <v>0</v>
          </cell>
        </row>
        <row r="14894">
          <cell r="A14894" t="str">
            <v>FERVIC</v>
          </cell>
          <cell r="J14894">
            <v>0</v>
          </cell>
        </row>
        <row r="14895">
          <cell r="A14895" t="str">
            <v>FERVIC</v>
          </cell>
          <cell r="J14895">
            <v>0</v>
          </cell>
        </row>
        <row r="14896">
          <cell r="A14896" t="str">
            <v>FERVIC</v>
          </cell>
          <cell r="J14896">
            <v>0</v>
          </cell>
        </row>
        <row r="14897">
          <cell r="A14897" t="str">
            <v>FERVIC</v>
          </cell>
          <cell r="J14897">
            <v>0</v>
          </cell>
        </row>
        <row r="14898">
          <cell r="A14898" t="str">
            <v>FERVIC</v>
          </cell>
          <cell r="J14898">
            <v>0</v>
          </cell>
        </row>
        <row r="14899">
          <cell r="A14899" t="str">
            <v>FERVIC</v>
          </cell>
          <cell r="J14899">
            <v>0</v>
          </cell>
        </row>
        <row r="14900">
          <cell r="A14900" t="str">
            <v>FERVIC</v>
          </cell>
          <cell r="J14900">
            <v>0</v>
          </cell>
        </row>
        <row r="14901">
          <cell r="A14901" t="str">
            <v>FERVIC</v>
          </cell>
          <cell r="J14901">
            <v>0</v>
          </cell>
        </row>
        <row r="14902">
          <cell r="A14902" t="str">
            <v>FERVIC</v>
          </cell>
          <cell r="J14902">
            <v>0</v>
          </cell>
        </row>
        <row r="14903">
          <cell r="A14903" t="str">
            <v>FERVIC</v>
          </cell>
          <cell r="J14903">
            <v>0</v>
          </cell>
        </row>
        <row r="14904">
          <cell r="A14904" t="str">
            <v>FERVIC</v>
          </cell>
          <cell r="J14904">
            <v>0</v>
          </cell>
        </row>
        <row r="14905">
          <cell r="A14905" t="str">
            <v>FERVIC</v>
          </cell>
          <cell r="J14905">
            <v>0</v>
          </cell>
        </row>
        <row r="14906">
          <cell r="A14906" t="str">
            <v>FERVIC</v>
          </cell>
          <cell r="J14906">
            <v>0</v>
          </cell>
        </row>
        <row r="14907">
          <cell r="A14907" t="str">
            <v>FERVIC</v>
          </cell>
          <cell r="J14907">
            <v>0</v>
          </cell>
        </row>
        <row r="14908">
          <cell r="A14908" t="str">
            <v>FERVIC</v>
          </cell>
          <cell r="J14908">
            <v>0</v>
          </cell>
        </row>
        <row r="14909">
          <cell r="A14909" t="str">
            <v>FERVIC</v>
          </cell>
          <cell r="J14909">
            <v>0</v>
          </cell>
        </row>
        <row r="14910">
          <cell r="A14910" t="str">
            <v>FERVIC</v>
          </cell>
          <cell r="J14910">
            <v>0</v>
          </cell>
        </row>
        <row r="14911">
          <cell r="A14911" t="str">
            <v>FERVIC</v>
          </cell>
          <cell r="J14911">
            <v>0</v>
          </cell>
        </row>
        <row r="14912">
          <cell r="A14912" t="str">
            <v>FERVIC</v>
          </cell>
          <cell r="J14912">
            <v>0</v>
          </cell>
        </row>
        <row r="14913">
          <cell r="A14913" t="str">
            <v>FERVIC</v>
          </cell>
          <cell r="J14913">
            <v>0</v>
          </cell>
        </row>
        <row r="14914">
          <cell r="A14914" t="str">
            <v>FERVIC</v>
          </cell>
          <cell r="J14914">
            <v>0</v>
          </cell>
        </row>
        <row r="14915">
          <cell r="A14915" t="str">
            <v>FERVIC</v>
          </cell>
          <cell r="J14915">
            <v>0</v>
          </cell>
        </row>
        <row r="14916">
          <cell r="A14916" t="str">
            <v>FERVIC</v>
          </cell>
          <cell r="J14916">
            <v>0</v>
          </cell>
        </row>
        <row r="14917">
          <cell r="A14917" t="str">
            <v>FERVIC</v>
          </cell>
          <cell r="J14917">
            <v>0</v>
          </cell>
        </row>
        <row r="14918">
          <cell r="A14918" t="str">
            <v>FERVIC</v>
          </cell>
          <cell r="J14918">
            <v>0</v>
          </cell>
        </row>
        <row r="14919">
          <cell r="A14919" t="str">
            <v>FERVIC</v>
          </cell>
          <cell r="J14919">
            <v>0</v>
          </cell>
        </row>
        <row r="14920">
          <cell r="A14920" t="str">
            <v>FERVIC</v>
          </cell>
          <cell r="J14920">
            <v>0</v>
          </cell>
        </row>
        <row r="14921">
          <cell r="A14921" t="str">
            <v>FERVIC</v>
          </cell>
          <cell r="J14921">
            <v>0</v>
          </cell>
        </row>
        <row r="14922">
          <cell r="A14922" t="str">
            <v>FERVIC</v>
          </cell>
          <cell r="J14922">
            <v>0</v>
          </cell>
        </row>
        <row r="14923">
          <cell r="A14923" t="str">
            <v>FERVIC</v>
          </cell>
          <cell r="J14923">
            <v>0</v>
          </cell>
        </row>
        <row r="14924">
          <cell r="A14924" t="str">
            <v>FERVIC</v>
          </cell>
          <cell r="J14924">
            <v>0</v>
          </cell>
        </row>
        <row r="14925">
          <cell r="A14925" t="str">
            <v>FERVIC</v>
          </cell>
          <cell r="J14925">
            <v>0</v>
          </cell>
        </row>
        <row r="14926">
          <cell r="A14926" t="str">
            <v>FERVIC</v>
          </cell>
          <cell r="J14926">
            <v>0</v>
          </cell>
        </row>
        <row r="14927">
          <cell r="A14927" t="str">
            <v>FERVIC</v>
          </cell>
          <cell r="J14927">
            <v>0</v>
          </cell>
        </row>
        <row r="14928">
          <cell r="A14928" t="str">
            <v>FERVIC</v>
          </cell>
          <cell r="J14928">
            <v>0</v>
          </cell>
        </row>
        <row r="14929">
          <cell r="A14929" t="str">
            <v>FERVIC</v>
          </cell>
          <cell r="J14929">
            <v>0</v>
          </cell>
        </row>
        <row r="14930">
          <cell r="A14930" t="str">
            <v>FERVIC</v>
          </cell>
          <cell r="J14930">
            <v>0</v>
          </cell>
        </row>
        <row r="14931">
          <cell r="A14931" t="str">
            <v>FERVIC</v>
          </cell>
          <cell r="J14931">
            <v>0</v>
          </cell>
        </row>
        <row r="14932">
          <cell r="A14932" t="str">
            <v>FERVIC</v>
          </cell>
          <cell r="J14932">
            <v>0</v>
          </cell>
        </row>
        <row r="14933">
          <cell r="A14933" t="str">
            <v>FERVIC</v>
          </cell>
          <cell r="J14933">
            <v>0</v>
          </cell>
        </row>
        <row r="14934">
          <cell r="A14934" t="str">
            <v>FERVIC</v>
          </cell>
          <cell r="J14934">
            <v>0</v>
          </cell>
        </row>
        <row r="14935">
          <cell r="A14935" t="str">
            <v>FERVIC</v>
          </cell>
          <cell r="J14935">
            <v>0</v>
          </cell>
        </row>
        <row r="14936">
          <cell r="A14936" t="str">
            <v>FERVIC</v>
          </cell>
          <cell r="J14936">
            <v>0</v>
          </cell>
        </row>
        <row r="14937">
          <cell r="A14937" t="str">
            <v>FERVIC</v>
          </cell>
          <cell r="J14937">
            <v>0</v>
          </cell>
        </row>
        <row r="14938">
          <cell r="A14938" t="str">
            <v>FERVIC</v>
          </cell>
          <cell r="J14938">
            <v>0</v>
          </cell>
        </row>
        <row r="14939">
          <cell r="A14939" t="str">
            <v>FERVIC</v>
          </cell>
          <cell r="J14939">
            <v>0</v>
          </cell>
        </row>
        <row r="14940">
          <cell r="A14940" t="str">
            <v>FERVIC</v>
          </cell>
          <cell r="J14940">
            <v>0</v>
          </cell>
        </row>
        <row r="14941">
          <cell r="A14941" t="str">
            <v>FERVIC</v>
          </cell>
          <cell r="J14941">
            <v>0</v>
          </cell>
        </row>
        <row r="14942">
          <cell r="A14942" t="str">
            <v>FERVIC</v>
          </cell>
          <cell r="J14942">
            <v>0</v>
          </cell>
        </row>
        <row r="14943">
          <cell r="A14943" t="str">
            <v>FERVIC</v>
          </cell>
          <cell r="J14943">
            <v>0</v>
          </cell>
        </row>
        <row r="14944">
          <cell r="A14944" t="str">
            <v>FERVIC</v>
          </cell>
          <cell r="J14944">
            <v>0</v>
          </cell>
        </row>
        <row r="14945">
          <cell r="A14945" t="str">
            <v>FERVIC</v>
          </cell>
          <cell r="J14945">
            <v>0</v>
          </cell>
        </row>
        <row r="14946">
          <cell r="A14946" t="str">
            <v>FERVIC</v>
          </cell>
          <cell r="J14946">
            <v>0</v>
          </cell>
        </row>
        <row r="14947">
          <cell r="A14947" t="str">
            <v>FERVIC</v>
          </cell>
          <cell r="J14947">
            <v>0</v>
          </cell>
        </row>
        <row r="14948">
          <cell r="A14948" t="str">
            <v>FERVIC</v>
          </cell>
          <cell r="J14948">
            <v>0</v>
          </cell>
        </row>
        <row r="14949">
          <cell r="A14949" t="str">
            <v>FERVIC</v>
          </cell>
          <cell r="J14949">
            <v>0</v>
          </cell>
        </row>
        <row r="14950">
          <cell r="A14950" t="str">
            <v>FERVIC</v>
          </cell>
          <cell r="J14950">
            <v>0</v>
          </cell>
        </row>
        <row r="14951">
          <cell r="A14951" t="str">
            <v>FERVIC</v>
          </cell>
          <cell r="J14951">
            <v>0</v>
          </cell>
        </row>
        <row r="14952">
          <cell r="A14952" t="str">
            <v>FERVIC</v>
          </cell>
          <cell r="J14952">
            <v>0</v>
          </cell>
        </row>
        <row r="14953">
          <cell r="A14953" t="str">
            <v>FERVIC</v>
          </cell>
          <cell r="J14953">
            <v>0</v>
          </cell>
        </row>
        <row r="14954">
          <cell r="A14954" t="str">
            <v>FERVIC</v>
          </cell>
          <cell r="J14954">
            <v>0</v>
          </cell>
        </row>
        <row r="14955">
          <cell r="A14955" t="str">
            <v>FERVIC</v>
          </cell>
          <cell r="J14955">
            <v>0</v>
          </cell>
        </row>
        <row r="14956">
          <cell r="A14956" t="str">
            <v>FERVIC</v>
          </cell>
          <cell r="J14956">
            <v>0</v>
          </cell>
        </row>
        <row r="14957">
          <cell r="A14957" t="str">
            <v>FERVIC</v>
          </cell>
          <cell r="J14957">
            <v>0</v>
          </cell>
        </row>
        <row r="14958">
          <cell r="A14958" t="str">
            <v>FERVIC</v>
          </cell>
          <cell r="J14958">
            <v>0</v>
          </cell>
        </row>
        <row r="14959">
          <cell r="A14959" t="str">
            <v>FERVIC</v>
          </cell>
          <cell r="J14959">
            <v>0</v>
          </cell>
        </row>
        <row r="14960">
          <cell r="A14960" t="str">
            <v>FERVIC</v>
          </cell>
          <cell r="J14960">
            <v>0</v>
          </cell>
        </row>
        <row r="14961">
          <cell r="A14961" t="str">
            <v>FERVIC</v>
          </cell>
          <cell r="J14961">
            <v>0</v>
          </cell>
        </row>
        <row r="14962">
          <cell r="A14962" t="str">
            <v>FERVIC</v>
          </cell>
          <cell r="J14962">
            <v>0</v>
          </cell>
        </row>
        <row r="14963">
          <cell r="A14963" t="str">
            <v>FERVIC</v>
          </cell>
          <cell r="J14963">
            <v>0</v>
          </cell>
        </row>
        <row r="14964">
          <cell r="A14964" t="str">
            <v>FERVIC</v>
          </cell>
          <cell r="J14964">
            <v>0</v>
          </cell>
        </row>
        <row r="14965">
          <cell r="A14965" t="str">
            <v>FERVIC</v>
          </cell>
          <cell r="J14965">
            <v>0</v>
          </cell>
        </row>
        <row r="14966">
          <cell r="A14966" t="str">
            <v>FERVIC</v>
          </cell>
          <cell r="J14966">
            <v>0</v>
          </cell>
        </row>
        <row r="14967">
          <cell r="A14967" t="str">
            <v>FERVIC</v>
          </cell>
          <cell r="J14967">
            <v>0</v>
          </cell>
        </row>
        <row r="14968">
          <cell r="A14968" t="str">
            <v>FERVIC</v>
          </cell>
          <cell r="J14968">
            <v>0</v>
          </cell>
        </row>
        <row r="14969">
          <cell r="A14969" t="str">
            <v>FERVIC</v>
          </cell>
          <cell r="J14969">
            <v>0</v>
          </cell>
        </row>
        <row r="14970">
          <cell r="A14970" t="str">
            <v>FERVIC</v>
          </cell>
          <cell r="J14970">
            <v>0</v>
          </cell>
        </row>
        <row r="14971">
          <cell r="A14971" t="str">
            <v>FERVIC</v>
          </cell>
          <cell r="J14971">
            <v>0</v>
          </cell>
        </row>
        <row r="14972">
          <cell r="A14972" t="str">
            <v>FERVIC</v>
          </cell>
          <cell r="J14972">
            <v>0</v>
          </cell>
        </row>
        <row r="14973">
          <cell r="A14973" t="str">
            <v>FERVIC</v>
          </cell>
          <cell r="J14973">
            <v>0</v>
          </cell>
        </row>
        <row r="14974">
          <cell r="A14974" t="str">
            <v>FERVIC</v>
          </cell>
          <cell r="J14974">
            <v>0</v>
          </cell>
        </row>
        <row r="14975">
          <cell r="A14975" t="str">
            <v>FERVIC</v>
          </cell>
          <cell r="J14975">
            <v>0</v>
          </cell>
        </row>
        <row r="14976">
          <cell r="A14976" t="str">
            <v>FERVIC</v>
          </cell>
          <cell r="J14976">
            <v>0</v>
          </cell>
        </row>
        <row r="14977">
          <cell r="A14977" t="str">
            <v>FERVIC</v>
          </cell>
          <cell r="J14977">
            <v>0</v>
          </cell>
        </row>
        <row r="14978">
          <cell r="A14978" t="str">
            <v>FERVIC</v>
          </cell>
          <cell r="J14978">
            <v>0</v>
          </cell>
        </row>
        <row r="14979">
          <cell r="A14979" t="str">
            <v>FERVIC</v>
          </cell>
          <cell r="J14979">
            <v>0</v>
          </cell>
        </row>
        <row r="14980">
          <cell r="A14980" t="str">
            <v>FERVIC</v>
          </cell>
          <cell r="J14980">
            <v>0</v>
          </cell>
        </row>
        <row r="14981">
          <cell r="A14981" t="str">
            <v>FERVIC</v>
          </cell>
          <cell r="J14981">
            <v>0</v>
          </cell>
        </row>
        <row r="14982">
          <cell r="A14982" t="str">
            <v>FERVIC</v>
          </cell>
          <cell r="J14982">
            <v>0</v>
          </cell>
        </row>
        <row r="14983">
          <cell r="A14983" t="str">
            <v>FERVIC</v>
          </cell>
          <cell r="J14983">
            <v>0</v>
          </cell>
        </row>
        <row r="14984">
          <cell r="A14984" t="str">
            <v>FERVIC</v>
          </cell>
          <cell r="J14984">
            <v>0</v>
          </cell>
        </row>
        <row r="14985">
          <cell r="A14985" t="str">
            <v>FERVIC</v>
          </cell>
          <cell r="J14985">
            <v>0</v>
          </cell>
        </row>
        <row r="14986">
          <cell r="A14986" t="str">
            <v>FERVIC</v>
          </cell>
          <cell r="J14986">
            <v>0</v>
          </cell>
        </row>
        <row r="14987">
          <cell r="A14987" t="str">
            <v>FERVIC</v>
          </cell>
          <cell r="J14987">
            <v>0</v>
          </cell>
        </row>
        <row r="14988">
          <cell r="A14988" t="str">
            <v>FERVIC</v>
          </cell>
          <cell r="J14988">
            <v>0</v>
          </cell>
        </row>
        <row r="14989">
          <cell r="A14989" t="str">
            <v>FERVIC</v>
          </cell>
          <cell r="J14989">
            <v>0</v>
          </cell>
        </row>
        <row r="14990">
          <cell r="A14990" t="str">
            <v>FERVIC</v>
          </cell>
          <cell r="J14990">
            <v>0</v>
          </cell>
        </row>
        <row r="14991">
          <cell r="A14991" t="str">
            <v>FERVIC</v>
          </cell>
          <cell r="J14991">
            <v>0</v>
          </cell>
        </row>
        <row r="14992">
          <cell r="A14992" t="str">
            <v>FERVIC</v>
          </cell>
          <cell r="J14992">
            <v>0</v>
          </cell>
        </row>
        <row r="14993">
          <cell r="A14993" t="str">
            <v>FERVIC</v>
          </cell>
          <cell r="J14993">
            <v>0</v>
          </cell>
        </row>
        <row r="14994">
          <cell r="A14994" t="str">
            <v>FERVIC</v>
          </cell>
          <cell r="J14994">
            <v>0</v>
          </cell>
        </row>
        <row r="14995">
          <cell r="A14995" t="str">
            <v>FERVIC</v>
          </cell>
          <cell r="J14995">
            <v>0</v>
          </cell>
        </row>
        <row r="14996">
          <cell r="A14996" t="str">
            <v>FERVIC</v>
          </cell>
          <cell r="J14996">
            <v>0</v>
          </cell>
        </row>
        <row r="14997">
          <cell r="A14997" t="str">
            <v>FERVIC</v>
          </cell>
          <cell r="J14997">
            <v>0</v>
          </cell>
        </row>
        <row r="14998">
          <cell r="A14998" t="str">
            <v>FERVIC</v>
          </cell>
          <cell r="J14998">
            <v>0</v>
          </cell>
        </row>
        <row r="14999">
          <cell r="A14999" t="str">
            <v>FERVIC</v>
          </cell>
          <cell r="J14999">
            <v>0</v>
          </cell>
        </row>
        <row r="15000">
          <cell r="A15000" t="str">
            <v>FERVIC</v>
          </cell>
          <cell r="J15000">
            <v>0</v>
          </cell>
        </row>
        <row r="15001">
          <cell r="A15001" t="str">
            <v>FERVIC</v>
          </cell>
          <cell r="J15001">
            <v>0</v>
          </cell>
        </row>
        <row r="15002">
          <cell r="A15002" t="str">
            <v>FERVIC</v>
          </cell>
          <cell r="J15002">
            <v>0</v>
          </cell>
        </row>
        <row r="15003">
          <cell r="A15003" t="str">
            <v>FERVIC</v>
          </cell>
          <cell r="J15003">
            <v>0</v>
          </cell>
        </row>
        <row r="15004">
          <cell r="A15004" t="str">
            <v>FERVIC</v>
          </cell>
          <cell r="J15004">
            <v>0</v>
          </cell>
        </row>
        <row r="15005">
          <cell r="A15005" t="str">
            <v>FERVIC</v>
          </cell>
          <cell r="J15005">
            <v>0</v>
          </cell>
        </row>
        <row r="15006">
          <cell r="A15006" t="str">
            <v>FERVIC</v>
          </cell>
          <cell r="J15006">
            <v>0</v>
          </cell>
        </row>
        <row r="15007">
          <cell r="A15007" t="str">
            <v>FERVIC</v>
          </cell>
          <cell r="J15007">
            <v>0</v>
          </cell>
        </row>
        <row r="15008">
          <cell r="A15008" t="str">
            <v>FERVIC</v>
          </cell>
          <cell r="J15008">
            <v>0</v>
          </cell>
        </row>
        <row r="15009">
          <cell r="A15009" t="str">
            <v>FERVIC</v>
          </cell>
          <cell r="J15009">
            <v>0</v>
          </cell>
        </row>
        <row r="15010">
          <cell r="A15010" t="str">
            <v>FERVIC</v>
          </cell>
          <cell r="J15010">
            <v>0</v>
          </cell>
        </row>
        <row r="15011">
          <cell r="A15011" t="str">
            <v>FERVIC</v>
          </cell>
          <cell r="J15011">
            <v>0</v>
          </cell>
        </row>
        <row r="15012">
          <cell r="A15012" t="str">
            <v>FERVIC</v>
          </cell>
          <cell r="J15012">
            <v>0</v>
          </cell>
        </row>
        <row r="15013">
          <cell r="A15013" t="str">
            <v>FERVIC</v>
          </cell>
          <cell r="J15013">
            <v>0</v>
          </cell>
        </row>
        <row r="15014">
          <cell r="A15014" t="str">
            <v>FERVIC</v>
          </cell>
          <cell r="J15014">
            <v>0</v>
          </cell>
        </row>
        <row r="15015">
          <cell r="A15015" t="str">
            <v>FERVIC</v>
          </cell>
          <cell r="J15015">
            <v>0</v>
          </cell>
        </row>
        <row r="15016">
          <cell r="A15016" t="str">
            <v>FERVIC</v>
          </cell>
          <cell r="J15016">
            <v>0</v>
          </cell>
        </row>
        <row r="15017">
          <cell r="A15017" t="str">
            <v>FERVIC</v>
          </cell>
          <cell r="J15017">
            <v>0</v>
          </cell>
        </row>
        <row r="15018">
          <cell r="A15018" t="str">
            <v>FERVIC</v>
          </cell>
          <cell r="J15018">
            <v>0</v>
          </cell>
        </row>
        <row r="15019">
          <cell r="A15019" t="str">
            <v>FERVIC</v>
          </cell>
          <cell r="J15019">
            <v>0</v>
          </cell>
        </row>
        <row r="15020">
          <cell r="A15020" t="str">
            <v>FERVIC</v>
          </cell>
          <cell r="J15020">
            <v>0</v>
          </cell>
        </row>
        <row r="15021">
          <cell r="A15021" t="str">
            <v>FERVIC</v>
          </cell>
          <cell r="J15021">
            <v>0</v>
          </cell>
        </row>
        <row r="15022">
          <cell r="A15022" t="str">
            <v>FERVIC</v>
          </cell>
          <cell r="J15022">
            <v>0</v>
          </cell>
        </row>
        <row r="15023">
          <cell r="A15023" t="str">
            <v>FERVIC</v>
          </cell>
          <cell r="J15023">
            <v>0</v>
          </cell>
        </row>
        <row r="15024">
          <cell r="A15024" t="str">
            <v>FERVIC</v>
          </cell>
          <cell r="J15024">
            <v>0</v>
          </cell>
        </row>
        <row r="15025">
          <cell r="A15025" t="str">
            <v>FERVIC</v>
          </cell>
          <cell r="J15025">
            <v>0</v>
          </cell>
        </row>
        <row r="15026">
          <cell r="A15026" t="str">
            <v>FERVIC</v>
          </cell>
          <cell r="J15026">
            <v>0</v>
          </cell>
        </row>
        <row r="15027">
          <cell r="A15027" t="str">
            <v>FERVIC</v>
          </cell>
          <cell r="J15027">
            <v>0</v>
          </cell>
        </row>
        <row r="15028">
          <cell r="A15028" t="str">
            <v>FERVIC</v>
          </cell>
          <cell r="J15028">
            <v>0</v>
          </cell>
        </row>
        <row r="15029">
          <cell r="A15029" t="str">
            <v>FERVIC</v>
          </cell>
          <cell r="J15029">
            <v>0</v>
          </cell>
        </row>
        <row r="15030">
          <cell r="A15030" t="str">
            <v>FERVIC</v>
          </cell>
          <cell r="J15030">
            <v>0</v>
          </cell>
        </row>
        <row r="15031">
          <cell r="A15031" t="str">
            <v>FERVIC</v>
          </cell>
          <cell r="J15031">
            <v>0</v>
          </cell>
        </row>
        <row r="15032">
          <cell r="A15032" t="str">
            <v>FERVIC</v>
          </cell>
          <cell r="J15032">
            <v>0</v>
          </cell>
        </row>
        <row r="15033">
          <cell r="A15033" t="str">
            <v>FERVIC</v>
          </cell>
          <cell r="J15033">
            <v>0</v>
          </cell>
        </row>
        <row r="15034">
          <cell r="A15034" t="str">
            <v>FERVIC</v>
          </cell>
          <cell r="J15034">
            <v>0</v>
          </cell>
        </row>
        <row r="15035">
          <cell r="A15035" t="str">
            <v>FERVIC</v>
          </cell>
          <cell r="J15035">
            <v>0</v>
          </cell>
        </row>
        <row r="15036">
          <cell r="A15036" t="str">
            <v>FERVIC</v>
          </cell>
          <cell r="J15036">
            <v>0</v>
          </cell>
        </row>
        <row r="15037">
          <cell r="A15037" t="str">
            <v>FERVIC</v>
          </cell>
          <cell r="J15037">
            <v>0</v>
          </cell>
        </row>
        <row r="15038">
          <cell r="A15038" t="str">
            <v>FERVIC</v>
          </cell>
          <cell r="J15038">
            <v>0</v>
          </cell>
        </row>
        <row r="15039">
          <cell r="A15039" t="str">
            <v>FERVIC</v>
          </cell>
          <cell r="J15039">
            <v>0</v>
          </cell>
        </row>
        <row r="15040">
          <cell r="A15040" t="str">
            <v>FERVIC</v>
          </cell>
          <cell r="J15040">
            <v>0</v>
          </cell>
        </row>
        <row r="15041">
          <cell r="A15041" t="str">
            <v>FERVIC</v>
          </cell>
          <cell r="J15041">
            <v>0</v>
          </cell>
        </row>
        <row r="15042">
          <cell r="A15042" t="str">
            <v>FERVIC</v>
          </cell>
          <cell r="J15042">
            <v>0</v>
          </cell>
        </row>
        <row r="15043">
          <cell r="A15043" t="str">
            <v>FERVIC</v>
          </cell>
          <cell r="J15043">
            <v>0</v>
          </cell>
        </row>
        <row r="15044">
          <cell r="A15044" t="str">
            <v>FERVIC</v>
          </cell>
          <cell r="J15044">
            <v>0</v>
          </cell>
        </row>
        <row r="15045">
          <cell r="A15045" t="str">
            <v>FERVIC</v>
          </cell>
          <cell r="J15045">
            <v>0</v>
          </cell>
        </row>
        <row r="15046">
          <cell r="A15046" t="str">
            <v>FERVIC</v>
          </cell>
          <cell r="J15046">
            <v>0</v>
          </cell>
        </row>
        <row r="15047">
          <cell r="A15047" t="str">
            <v>FERVIC</v>
          </cell>
          <cell r="J15047">
            <v>0</v>
          </cell>
        </row>
        <row r="15048">
          <cell r="A15048" t="str">
            <v>FERVIC</v>
          </cell>
          <cell r="J15048">
            <v>0</v>
          </cell>
        </row>
        <row r="15049">
          <cell r="A15049" t="str">
            <v>FERVIC</v>
          </cell>
          <cell r="J15049">
            <v>0</v>
          </cell>
        </row>
        <row r="15050">
          <cell r="A15050" t="str">
            <v>FERVIC</v>
          </cell>
          <cell r="J15050">
            <v>0</v>
          </cell>
        </row>
        <row r="15051">
          <cell r="A15051" t="str">
            <v>FERVIC</v>
          </cell>
          <cell r="J15051">
            <v>0</v>
          </cell>
        </row>
        <row r="15052">
          <cell r="A15052" t="str">
            <v>FERVIC</v>
          </cell>
          <cell r="J15052">
            <v>0</v>
          </cell>
        </row>
        <row r="15053">
          <cell r="A15053" t="str">
            <v>FERVIC</v>
          </cell>
          <cell r="J15053">
            <v>0</v>
          </cell>
        </row>
        <row r="15054">
          <cell r="A15054" t="str">
            <v>FERVIC</v>
          </cell>
          <cell r="J15054">
            <v>0</v>
          </cell>
        </row>
        <row r="15055">
          <cell r="A15055" t="str">
            <v>FERVIC</v>
          </cell>
          <cell r="J15055">
            <v>0</v>
          </cell>
        </row>
        <row r="15056">
          <cell r="A15056" t="str">
            <v>FERVIC</v>
          </cell>
          <cell r="J15056">
            <v>0</v>
          </cell>
        </row>
        <row r="15057">
          <cell r="A15057" t="str">
            <v>FERVIC</v>
          </cell>
          <cell r="J15057">
            <v>0</v>
          </cell>
        </row>
        <row r="15058">
          <cell r="A15058" t="str">
            <v>FERVIC</v>
          </cell>
          <cell r="J15058">
            <v>0</v>
          </cell>
        </row>
        <row r="15059">
          <cell r="A15059" t="str">
            <v>FERVIC</v>
          </cell>
          <cell r="J15059">
            <v>0</v>
          </cell>
        </row>
        <row r="15060">
          <cell r="A15060" t="str">
            <v>FERVIC</v>
          </cell>
          <cell r="J15060">
            <v>0</v>
          </cell>
        </row>
        <row r="15061">
          <cell r="A15061" t="str">
            <v>FERVIC</v>
          </cell>
          <cell r="J15061">
            <v>0</v>
          </cell>
        </row>
        <row r="15062">
          <cell r="A15062" t="str">
            <v>FERVIC</v>
          </cell>
          <cell r="J15062">
            <v>0</v>
          </cell>
        </row>
        <row r="15063">
          <cell r="A15063" t="str">
            <v>FERVIC</v>
          </cell>
          <cell r="J15063">
            <v>0</v>
          </cell>
        </row>
        <row r="15064">
          <cell r="A15064" t="str">
            <v>FERVIC</v>
          </cell>
          <cell r="J15064">
            <v>0</v>
          </cell>
        </row>
        <row r="15065">
          <cell r="A15065" t="str">
            <v>FERVIC</v>
          </cell>
          <cell r="J15065">
            <v>0</v>
          </cell>
        </row>
        <row r="15066">
          <cell r="A15066" t="str">
            <v>FERVIC</v>
          </cell>
          <cell r="J15066">
            <v>0</v>
          </cell>
        </row>
        <row r="15067">
          <cell r="A15067" t="str">
            <v>FERVIC</v>
          </cell>
          <cell r="J15067">
            <v>0</v>
          </cell>
        </row>
        <row r="15068">
          <cell r="A15068" t="str">
            <v>FERVIC</v>
          </cell>
          <cell r="J15068">
            <v>0</v>
          </cell>
        </row>
        <row r="15069">
          <cell r="A15069" t="str">
            <v>FERVIC</v>
          </cell>
          <cell r="J15069">
            <v>0</v>
          </cell>
        </row>
        <row r="15070">
          <cell r="A15070" t="str">
            <v>FERVIC</v>
          </cell>
          <cell r="J15070">
            <v>0</v>
          </cell>
        </row>
        <row r="15071">
          <cell r="A15071" t="str">
            <v>FERVIC</v>
          </cell>
          <cell r="J15071">
            <v>0</v>
          </cell>
        </row>
        <row r="15072">
          <cell r="A15072" t="str">
            <v>FERVIC</v>
          </cell>
          <cell r="J15072">
            <v>0</v>
          </cell>
        </row>
        <row r="15073">
          <cell r="A15073" t="str">
            <v>FERVIC</v>
          </cell>
          <cell r="J15073">
            <v>0</v>
          </cell>
        </row>
        <row r="15074">
          <cell r="A15074" t="str">
            <v>FERVIC</v>
          </cell>
          <cell r="J15074">
            <v>0</v>
          </cell>
        </row>
        <row r="15075">
          <cell r="A15075" t="str">
            <v>FERVIC</v>
          </cell>
          <cell r="J15075">
            <v>0</v>
          </cell>
        </row>
        <row r="15076">
          <cell r="A15076" t="str">
            <v>FERVIC</v>
          </cell>
          <cell r="J15076">
            <v>0</v>
          </cell>
        </row>
        <row r="15077">
          <cell r="A15077" t="str">
            <v>FERVIC</v>
          </cell>
          <cell r="J15077">
            <v>0</v>
          </cell>
        </row>
        <row r="15078">
          <cell r="A15078" t="str">
            <v>FERVIC</v>
          </cell>
          <cell r="J15078">
            <v>0</v>
          </cell>
        </row>
        <row r="15079">
          <cell r="A15079" t="str">
            <v>FERVIC</v>
          </cell>
          <cell r="J15079">
            <v>0</v>
          </cell>
        </row>
        <row r="15080">
          <cell r="A15080" t="str">
            <v>FERVIC</v>
          </cell>
          <cell r="J15080">
            <v>0</v>
          </cell>
        </row>
        <row r="15081">
          <cell r="A15081" t="str">
            <v>FERVIC</v>
          </cell>
          <cell r="J15081">
            <v>0</v>
          </cell>
        </row>
        <row r="15082">
          <cell r="A15082" t="str">
            <v>FERVIC</v>
          </cell>
          <cell r="J15082">
            <v>0</v>
          </cell>
        </row>
        <row r="15083">
          <cell r="A15083" t="str">
            <v>FERVIC</v>
          </cell>
          <cell r="J15083">
            <v>0</v>
          </cell>
        </row>
        <row r="15084">
          <cell r="A15084" t="str">
            <v>FERVIC</v>
          </cell>
          <cell r="J15084">
            <v>0</v>
          </cell>
        </row>
        <row r="15085">
          <cell r="A15085" t="str">
            <v>FERVIC</v>
          </cell>
          <cell r="J15085">
            <v>0</v>
          </cell>
        </row>
        <row r="15086">
          <cell r="A15086" t="str">
            <v>FERVIC</v>
          </cell>
          <cell r="J15086">
            <v>0</v>
          </cell>
        </row>
        <row r="15087">
          <cell r="A15087" t="str">
            <v>FERVIC</v>
          </cell>
          <cell r="J15087">
            <v>0</v>
          </cell>
        </row>
        <row r="15088">
          <cell r="A15088" t="str">
            <v>FERVIC</v>
          </cell>
          <cell r="J15088">
            <v>0</v>
          </cell>
        </row>
        <row r="15089">
          <cell r="A15089" t="str">
            <v>FERVIC</v>
          </cell>
          <cell r="J15089">
            <v>0</v>
          </cell>
        </row>
        <row r="15090">
          <cell r="A15090" t="str">
            <v>FERVIC</v>
          </cell>
          <cell r="J15090">
            <v>0</v>
          </cell>
        </row>
        <row r="15091">
          <cell r="A15091" t="str">
            <v>FERVIC</v>
          </cell>
          <cell r="J15091">
            <v>0</v>
          </cell>
        </row>
        <row r="15092">
          <cell r="A15092" t="str">
            <v>FERVIC</v>
          </cell>
          <cell r="J15092">
            <v>0</v>
          </cell>
        </row>
        <row r="15093">
          <cell r="A15093" t="str">
            <v>FERVIC</v>
          </cell>
          <cell r="J15093">
            <v>0</v>
          </cell>
        </row>
        <row r="15094">
          <cell r="A15094" t="str">
            <v>FERVIC</v>
          </cell>
          <cell r="J15094">
            <v>0</v>
          </cell>
        </row>
        <row r="15095">
          <cell r="A15095" t="str">
            <v>FERVIC</v>
          </cell>
          <cell r="J15095">
            <v>0</v>
          </cell>
        </row>
        <row r="15096">
          <cell r="A15096" t="str">
            <v>FERVIC</v>
          </cell>
          <cell r="J15096">
            <v>0</v>
          </cell>
        </row>
        <row r="15097">
          <cell r="A15097" t="str">
            <v>FERVIC</v>
          </cell>
          <cell r="J15097">
            <v>0</v>
          </cell>
        </row>
        <row r="15098">
          <cell r="A15098" t="str">
            <v>FERVIC</v>
          </cell>
          <cell r="J15098">
            <v>0</v>
          </cell>
        </row>
        <row r="15099">
          <cell r="A15099" t="str">
            <v>FERVIC</v>
          </cell>
          <cell r="J15099">
            <v>0</v>
          </cell>
        </row>
        <row r="15100">
          <cell r="A15100" t="str">
            <v>FERVIC</v>
          </cell>
          <cell r="J15100">
            <v>0</v>
          </cell>
        </row>
        <row r="15101">
          <cell r="A15101" t="str">
            <v>FERVIC</v>
          </cell>
          <cell r="J15101">
            <v>0</v>
          </cell>
        </row>
        <row r="15102">
          <cell r="A15102" t="str">
            <v>FERVIC</v>
          </cell>
          <cell r="J15102">
            <v>0</v>
          </cell>
        </row>
        <row r="15103">
          <cell r="A15103" t="str">
            <v>FERVIC</v>
          </cell>
          <cell r="J15103">
            <v>0</v>
          </cell>
        </row>
        <row r="15104">
          <cell r="A15104" t="str">
            <v>FERVIC</v>
          </cell>
          <cell r="J15104">
            <v>0</v>
          </cell>
        </row>
        <row r="15105">
          <cell r="A15105" t="str">
            <v>FERVIC</v>
          </cell>
          <cell r="J15105">
            <v>0</v>
          </cell>
        </row>
        <row r="15106">
          <cell r="A15106" t="str">
            <v>FERVIC</v>
          </cell>
          <cell r="J15106">
            <v>0</v>
          </cell>
        </row>
        <row r="15107">
          <cell r="A15107" t="str">
            <v>FERVIC</v>
          </cell>
          <cell r="J15107">
            <v>0</v>
          </cell>
        </row>
        <row r="15108">
          <cell r="A15108" t="str">
            <v>FERVIC</v>
          </cell>
          <cell r="J15108">
            <v>0</v>
          </cell>
        </row>
        <row r="15109">
          <cell r="A15109" t="str">
            <v>FERVIC</v>
          </cell>
          <cell r="J15109">
            <v>0</v>
          </cell>
        </row>
        <row r="15110">
          <cell r="A15110" t="str">
            <v>FERVIC</v>
          </cell>
          <cell r="J15110">
            <v>0</v>
          </cell>
        </row>
        <row r="15111">
          <cell r="A15111" t="str">
            <v>FERVIC</v>
          </cell>
          <cell r="J15111">
            <v>0</v>
          </cell>
        </row>
        <row r="15112">
          <cell r="A15112" t="str">
            <v>FERVIC</v>
          </cell>
          <cell r="J15112">
            <v>0</v>
          </cell>
        </row>
        <row r="15113">
          <cell r="A15113" t="str">
            <v>FERVIC</v>
          </cell>
          <cell r="J15113">
            <v>0</v>
          </cell>
        </row>
        <row r="15114">
          <cell r="A15114" t="str">
            <v>FERVIC</v>
          </cell>
          <cell r="J15114">
            <v>0</v>
          </cell>
        </row>
        <row r="15115">
          <cell r="A15115" t="str">
            <v>FERVIC</v>
          </cell>
          <cell r="J15115">
            <v>0</v>
          </cell>
        </row>
        <row r="15116">
          <cell r="A15116" t="str">
            <v>FERVIC</v>
          </cell>
          <cell r="J15116">
            <v>0</v>
          </cell>
        </row>
        <row r="15117">
          <cell r="A15117" t="str">
            <v>FERVIC</v>
          </cell>
          <cell r="J15117">
            <v>0</v>
          </cell>
        </row>
        <row r="15118">
          <cell r="A15118" t="str">
            <v>FERVIC</v>
          </cell>
          <cell r="J15118">
            <v>0</v>
          </cell>
        </row>
        <row r="15119">
          <cell r="A15119" t="str">
            <v>FERVIC</v>
          </cell>
          <cell r="J15119">
            <v>0</v>
          </cell>
        </row>
        <row r="15120">
          <cell r="A15120" t="str">
            <v>FERVIC</v>
          </cell>
          <cell r="J15120">
            <v>0</v>
          </cell>
        </row>
        <row r="15121">
          <cell r="A15121" t="str">
            <v>FERVIC</v>
          </cell>
          <cell r="J15121">
            <v>0</v>
          </cell>
        </row>
        <row r="15122">
          <cell r="A15122" t="str">
            <v>FERVIC</v>
          </cell>
          <cell r="J15122">
            <v>0</v>
          </cell>
        </row>
        <row r="15123">
          <cell r="A15123" t="str">
            <v>FERVIC</v>
          </cell>
          <cell r="J15123">
            <v>0</v>
          </cell>
        </row>
        <row r="15124">
          <cell r="A15124" t="str">
            <v>FERVIC</v>
          </cell>
          <cell r="J15124">
            <v>0</v>
          </cell>
        </row>
        <row r="15125">
          <cell r="A15125" t="str">
            <v>FERVIC</v>
          </cell>
          <cell r="J15125">
            <v>0</v>
          </cell>
        </row>
        <row r="15126">
          <cell r="A15126" t="str">
            <v>FERVIC</v>
          </cell>
          <cell r="J15126">
            <v>0</v>
          </cell>
        </row>
        <row r="15127">
          <cell r="A15127" t="str">
            <v>FERVIC</v>
          </cell>
          <cell r="J15127">
            <v>0</v>
          </cell>
        </row>
        <row r="15128">
          <cell r="A15128" t="str">
            <v>FERVIC</v>
          </cell>
          <cell r="J15128">
            <v>0</v>
          </cell>
        </row>
        <row r="15129">
          <cell r="A15129" t="str">
            <v>FERVIC</v>
          </cell>
          <cell r="J15129">
            <v>0</v>
          </cell>
        </row>
        <row r="15130">
          <cell r="A15130" t="str">
            <v>FERVIC</v>
          </cell>
          <cell r="J15130">
            <v>0</v>
          </cell>
        </row>
        <row r="15131">
          <cell r="A15131" t="str">
            <v>FERVIC</v>
          </cell>
          <cell r="J15131">
            <v>0</v>
          </cell>
        </row>
        <row r="15132">
          <cell r="A15132" t="str">
            <v>FERVIC</v>
          </cell>
          <cell r="J15132">
            <v>0</v>
          </cell>
        </row>
        <row r="15133">
          <cell r="A15133" t="str">
            <v>FERVIC</v>
          </cell>
          <cell r="J15133">
            <v>0</v>
          </cell>
        </row>
        <row r="15134">
          <cell r="A15134" t="str">
            <v>FERVIC</v>
          </cell>
          <cell r="J15134">
            <v>0</v>
          </cell>
        </row>
        <row r="15135">
          <cell r="A15135" t="str">
            <v>FERVIC</v>
          </cell>
          <cell r="J15135">
            <v>0</v>
          </cell>
        </row>
        <row r="15136">
          <cell r="A15136" t="str">
            <v>FERVIC</v>
          </cell>
          <cell r="J15136">
            <v>0</v>
          </cell>
        </row>
        <row r="15137">
          <cell r="A15137" t="str">
            <v>FERVIC</v>
          </cell>
          <cell r="J15137">
            <v>0</v>
          </cell>
        </row>
        <row r="15138">
          <cell r="A15138" t="str">
            <v>FERVIC</v>
          </cell>
          <cell r="J15138">
            <v>0</v>
          </cell>
        </row>
        <row r="15139">
          <cell r="A15139" t="str">
            <v>FERVIC</v>
          </cell>
          <cell r="J15139">
            <v>0</v>
          </cell>
        </row>
        <row r="15140">
          <cell r="A15140" t="str">
            <v>FERVIC</v>
          </cell>
          <cell r="J15140">
            <v>0</v>
          </cell>
        </row>
        <row r="15141">
          <cell r="A15141" t="str">
            <v>FERVIC</v>
          </cell>
          <cell r="J15141">
            <v>0</v>
          </cell>
        </row>
        <row r="15142">
          <cell r="A15142" t="str">
            <v>FERVIC</v>
          </cell>
          <cell r="J15142">
            <v>0</v>
          </cell>
        </row>
        <row r="15143">
          <cell r="A15143" t="str">
            <v>FERVIC</v>
          </cell>
          <cell r="J15143">
            <v>0</v>
          </cell>
        </row>
        <row r="15144">
          <cell r="A15144" t="str">
            <v>FERVIC</v>
          </cell>
          <cell r="J15144">
            <v>0</v>
          </cell>
        </row>
        <row r="15145">
          <cell r="A15145" t="str">
            <v>FERVIC</v>
          </cell>
          <cell r="J15145">
            <v>0</v>
          </cell>
        </row>
        <row r="15146">
          <cell r="A15146" t="str">
            <v>FERVIC</v>
          </cell>
          <cell r="J15146">
            <v>0</v>
          </cell>
        </row>
        <row r="15147">
          <cell r="A15147" t="str">
            <v>FERVIC</v>
          </cell>
          <cell r="J15147">
            <v>0</v>
          </cell>
        </row>
        <row r="15148">
          <cell r="A15148" t="str">
            <v>FERVIC</v>
          </cell>
          <cell r="J15148">
            <v>0</v>
          </cell>
        </row>
        <row r="15149">
          <cell r="A15149" t="str">
            <v>FERVIC</v>
          </cell>
          <cell r="J15149">
            <v>0</v>
          </cell>
        </row>
        <row r="15150">
          <cell r="A15150" t="str">
            <v>FERVIC</v>
          </cell>
          <cell r="J15150">
            <v>0</v>
          </cell>
        </row>
        <row r="15151">
          <cell r="A15151" t="str">
            <v>FERVIC</v>
          </cell>
          <cell r="J15151">
            <v>0</v>
          </cell>
        </row>
        <row r="15152">
          <cell r="A15152" t="str">
            <v>FERVIC</v>
          </cell>
          <cell r="J15152">
            <v>0</v>
          </cell>
        </row>
        <row r="15153">
          <cell r="A15153" t="str">
            <v>FERVIC</v>
          </cell>
          <cell r="J15153">
            <v>0</v>
          </cell>
        </row>
        <row r="15154">
          <cell r="A15154" t="str">
            <v>FERVIC</v>
          </cell>
          <cell r="J15154">
            <v>0</v>
          </cell>
        </row>
        <row r="15155">
          <cell r="A15155" t="str">
            <v>FERVIC</v>
          </cell>
          <cell r="J15155">
            <v>0</v>
          </cell>
        </row>
        <row r="15156">
          <cell r="A15156" t="str">
            <v>FERVIC</v>
          </cell>
          <cell r="J15156">
            <v>0</v>
          </cell>
        </row>
        <row r="15157">
          <cell r="A15157" t="str">
            <v>FERVIC</v>
          </cell>
          <cell r="J15157">
            <v>0</v>
          </cell>
        </row>
        <row r="15158">
          <cell r="A15158" t="str">
            <v>FERVIC</v>
          </cell>
          <cell r="J15158">
            <v>0</v>
          </cell>
        </row>
        <row r="15159">
          <cell r="A15159" t="str">
            <v>FERVIC</v>
          </cell>
          <cell r="J15159">
            <v>0</v>
          </cell>
        </row>
        <row r="15160">
          <cell r="A15160" t="str">
            <v>FERVIC</v>
          </cell>
          <cell r="J15160">
            <v>0</v>
          </cell>
        </row>
        <row r="15161">
          <cell r="A15161" t="str">
            <v>FERVIC</v>
          </cell>
          <cell r="J15161">
            <v>0</v>
          </cell>
        </row>
        <row r="15162">
          <cell r="A15162" t="str">
            <v>FERVIC</v>
          </cell>
          <cell r="J15162">
            <v>0</v>
          </cell>
        </row>
        <row r="15163">
          <cell r="A15163" t="str">
            <v>FERVIC</v>
          </cell>
          <cell r="J15163">
            <v>0</v>
          </cell>
        </row>
        <row r="15164">
          <cell r="A15164" t="str">
            <v>FERVIC</v>
          </cell>
          <cell r="J15164">
            <v>0</v>
          </cell>
        </row>
        <row r="15165">
          <cell r="A15165" t="str">
            <v>FERVIC</v>
          </cell>
          <cell r="J15165">
            <v>0</v>
          </cell>
        </row>
        <row r="15166">
          <cell r="A15166" t="str">
            <v>FERVIC</v>
          </cell>
          <cell r="J15166">
            <v>0</v>
          </cell>
        </row>
        <row r="15167">
          <cell r="A15167" t="str">
            <v>FERVIC</v>
          </cell>
          <cell r="J15167">
            <v>0</v>
          </cell>
        </row>
        <row r="15168">
          <cell r="A15168" t="str">
            <v>FERVIC</v>
          </cell>
          <cell r="J15168">
            <v>0</v>
          </cell>
        </row>
        <row r="15169">
          <cell r="A15169" t="str">
            <v>FERVIC</v>
          </cell>
          <cell r="J15169">
            <v>0</v>
          </cell>
        </row>
        <row r="15170">
          <cell r="A15170" t="str">
            <v>FERVIC</v>
          </cell>
          <cell r="J15170">
            <v>0</v>
          </cell>
        </row>
        <row r="15171">
          <cell r="A15171" t="str">
            <v>FERVIC</v>
          </cell>
          <cell r="J15171">
            <v>0</v>
          </cell>
        </row>
        <row r="15172">
          <cell r="A15172" t="str">
            <v>FERVIC</v>
          </cell>
          <cell r="J15172">
            <v>0</v>
          </cell>
        </row>
        <row r="15173">
          <cell r="A15173" t="str">
            <v>FERVIC</v>
          </cell>
          <cell r="J15173">
            <v>0</v>
          </cell>
        </row>
        <row r="15174">
          <cell r="A15174" t="str">
            <v>FERVIC</v>
          </cell>
          <cell r="J15174">
            <v>0</v>
          </cell>
        </row>
        <row r="15175">
          <cell r="A15175" t="str">
            <v>FERVIC</v>
          </cell>
          <cell r="J15175">
            <v>0</v>
          </cell>
        </row>
        <row r="15176">
          <cell r="A15176" t="str">
            <v>FERVIC</v>
          </cell>
          <cell r="J15176">
            <v>0</v>
          </cell>
        </row>
        <row r="15177">
          <cell r="A15177" t="str">
            <v>FERVIC</v>
          </cell>
          <cell r="J15177">
            <v>0</v>
          </cell>
        </row>
        <row r="15178">
          <cell r="A15178" t="str">
            <v>FERVIC</v>
          </cell>
          <cell r="J15178">
            <v>0</v>
          </cell>
        </row>
        <row r="15179">
          <cell r="A15179" t="str">
            <v>FERVIC</v>
          </cell>
          <cell r="J15179">
            <v>0</v>
          </cell>
        </row>
        <row r="15180">
          <cell r="A15180" t="str">
            <v>FERVIC</v>
          </cell>
          <cell r="J15180">
            <v>0</v>
          </cell>
        </row>
        <row r="15181">
          <cell r="A15181" t="str">
            <v>FERVIC</v>
          </cell>
          <cell r="J15181">
            <v>0</v>
          </cell>
        </row>
        <row r="15182">
          <cell r="A15182" t="str">
            <v>FERVIC</v>
          </cell>
          <cell r="J15182">
            <v>0</v>
          </cell>
        </row>
        <row r="15183">
          <cell r="A15183" t="str">
            <v>FERVIC</v>
          </cell>
          <cell r="J15183">
            <v>0</v>
          </cell>
        </row>
        <row r="15184">
          <cell r="A15184" t="str">
            <v>FERVIC</v>
          </cell>
          <cell r="J15184">
            <v>0</v>
          </cell>
        </row>
        <row r="15185">
          <cell r="A15185" t="str">
            <v>FERVIC</v>
          </cell>
          <cell r="J15185">
            <v>0</v>
          </cell>
        </row>
        <row r="15186">
          <cell r="A15186" t="str">
            <v>FERVIC</v>
          </cell>
          <cell r="J15186">
            <v>0</v>
          </cell>
        </row>
        <row r="15187">
          <cell r="A15187" t="str">
            <v>FERVIC</v>
          </cell>
          <cell r="J15187">
            <v>0</v>
          </cell>
        </row>
        <row r="15188">
          <cell r="A15188" t="str">
            <v>FERVIC</v>
          </cell>
          <cell r="J15188">
            <v>0</v>
          </cell>
        </row>
        <row r="15189">
          <cell r="A15189" t="str">
            <v>FERVIC</v>
          </cell>
          <cell r="J15189">
            <v>0</v>
          </cell>
        </row>
        <row r="15190">
          <cell r="A15190" t="str">
            <v>FERVIC</v>
          </cell>
          <cell r="J15190">
            <v>0</v>
          </cell>
        </row>
        <row r="15191">
          <cell r="A15191" t="str">
            <v>FERVIC</v>
          </cell>
          <cell r="J15191">
            <v>0</v>
          </cell>
        </row>
        <row r="15192">
          <cell r="A15192" t="str">
            <v>FERVIC</v>
          </cell>
          <cell r="J15192">
            <v>0</v>
          </cell>
        </row>
        <row r="15193">
          <cell r="A15193" t="str">
            <v>FERVIC</v>
          </cell>
          <cell r="J15193">
            <v>0</v>
          </cell>
        </row>
        <row r="15194">
          <cell r="A15194" t="str">
            <v>FERVIC</v>
          </cell>
          <cell r="J15194">
            <v>0</v>
          </cell>
        </row>
        <row r="15195">
          <cell r="A15195" t="str">
            <v>FERVIC</v>
          </cell>
          <cell r="J15195">
            <v>0</v>
          </cell>
        </row>
        <row r="15196">
          <cell r="A15196" t="str">
            <v>FERVIC</v>
          </cell>
          <cell r="J15196">
            <v>0</v>
          </cell>
        </row>
        <row r="15197">
          <cell r="A15197" t="str">
            <v>FERVIC</v>
          </cell>
          <cell r="J15197">
            <v>0</v>
          </cell>
        </row>
        <row r="15198">
          <cell r="A15198" t="str">
            <v>FERVIC</v>
          </cell>
          <cell r="J15198">
            <v>0</v>
          </cell>
        </row>
        <row r="15199">
          <cell r="A15199" t="str">
            <v>FERVIC</v>
          </cell>
          <cell r="J15199">
            <v>0</v>
          </cell>
        </row>
        <row r="15200">
          <cell r="A15200" t="str">
            <v>FERVIC</v>
          </cell>
          <cell r="J15200">
            <v>0</v>
          </cell>
        </row>
        <row r="15201">
          <cell r="A15201" t="str">
            <v>FERVIC</v>
          </cell>
          <cell r="J15201">
            <v>0</v>
          </cell>
        </row>
        <row r="15202">
          <cell r="A15202" t="str">
            <v>FERVIC</v>
          </cell>
          <cell r="J15202">
            <v>0</v>
          </cell>
        </row>
        <row r="15203">
          <cell r="A15203" t="str">
            <v>FERVIC</v>
          </cell>
          <cell r="J15203">
            <v>0</v>
          </cell>
        </row>
        <row r="15204">
          <cell r="A15204" t="str">
            <v>FERVIC</v>
          </cell>
          <cell r="J15204">
            <v>0</v>
          </cell>
        </row>
        <row r="15205">
          <cell r="A15205" t="str">
            <v>FERVIC</v>
          </cell>
          <cell r="J15205">
            <v>0</v>
          </cell>
        </row>
        <row r="15206">
          <cell r="A15206" t="str">
            <v>FERVIC</v>
          </cell>
          <cell r="J15206">
            <v>0</v>
          </cell>
        </row>
        <row r="15207">
          <cell r="A15207" t="str">
            <v>FERVIC</v>
          </cell>
          <cell r="J15207">
            <v>0</v>
          </cell>
        </row>
        <row r="15208">
          <cell r="A15208" t="str">
            <v>FERVIC</v>
          </cell>
          <cell r="J15208">
            <v>0</v>
          </cell>
        </row>
        <row r="15209">
          <cell r="A15209" t="str">
            <v>FERVIC</v>
          </cell>
          <cell r="J15209">
            <v>0</v>
          </cell>
        </row>
        <row r="15210">
          <cell r="A15210" t="str">
            <v>FERVIC</v>
          </cell>
          <cell r="J15210">
            <v>0</v>
          </cell>
        </row>
        <row r="15211">
          <cell r="A15211" t="str">
            <v>FERVIC</v>
          </cell>
          <cell r="J15211">
            <v>0</v>
          </cell>
        </row>
        <row r="15212">
          <cell r="A15212" t="str">
            <v>FERVIC</v>
          </cell>
          <cell r="J15212">
            <v>0</v>
          </cell>
        </row>
        <row r="15213">
          <cell r="A15213" t="str">
            <v>FERVIC</v>
          </cell>
          <cell r="J15213">
            <v>0</v>
          </cell>
        </row>
        <row r="15214">
          <cell r="A15214" t="str">
            <v>FERVIC</v>
          </cell>
          <cell r="J15214">
            <v>0</v>
          </cell>
        </row>
        <row r="15215">
          <cell r="A15215" t="str">
            <v>FERVIC</v>
          </cell>
          <cell r="J15215">
            <v>0</v>
          </cell>
        </row>
        <row r="15216">
          <cell r="A15216" t="str">
            <v>FERVIC</v>
          </cell>
          <cell r="J15216">
            <v>0</v>
          </cell>
        </row>
        <row r="15217">
          <cell r="A15217" t="str">
            <v>FERVIC</v>
          </cell>
          <cell r="J15217">
            <v>0</v>
          </cell>
        </row>
        <row r="15218">
          <cell r="A15218" t="str">
            <v>FERVIC</v>
          </cell>
          <cell r="J15218">
            <v>0</v>
          </cell>
        </row>
        <row r="15219">
          <cell r="A15219" t="str">
            <v>FERVIC</v>
          </cell>
          <cell r="J15219">
            <v>0</v>
          </cell>
        </row>
        <row r="15220">
          <cell r="A15220" t="str">
            <v>FERVIC</v>
          </cell>
          <cell r="J15220">
            <v>0</v>
          </cell>
        </row>
        <row r="15221">
          <cell r="A15221" t="str">
            <v>FERVIC</v>
          </cell>
          <cell r="J15221">
            <v>0</v>
          </cell>
        </row>
        <row r="15222">
          <cell r="A15222" t="str">
            <v>FERVIC</v>
          </cell>
          <cell r="J15222">
            <v>0</v>
          </cell>
        </row>
        <row r="15223">
          <cell r="A15223" t="str">
            <v>FERVIC</v>
          </cell>
          <cell r="J15223">
            <v>0</v>
          </cell>
        </row>
        <row r="15224">
          <cell r="A15224" t="str">
            <v>FERVIC</v>
          </cell>
          <cell r="J15224">
            <v>0</v>
          </cell>
        </row>
        <row r="15225">
          <cell r="A15225" t="str">
            <v>FERVIC</v>
          </cell>
          <cell r="J15225">
            <v>0</v>
          </cell>
        </row>
        <row r="15226">
          <cell r="A15226" t="str">
            <v>FERVIC</v>
          </cell>
          <cell r="J15226">
            <v>0</v>
          </cell>
        </row>
        <row r="15227">
          <cell r="A15227" t="str">
            <v>FERVIC</v>
          </cell>
          <cell r="J15227">
            <v>0</v>
          </cell>
        </row>
        <row r="15228">
          <cell r="A15228" t="str">
            <v>FERVIC</v>
          </cell>
          <cell r="J15228">
            <v>0</v>
          </cell>
        </row>
        <row r="15229">
          <cell r="A15229" t="str">
            <v>FERVIC</v>
          </cell>
          <cell r="J15229">
            <v>0</v>
          </cell>
        </row>
        <row r="15230">
          <cell r="A15230" t="str">
            <v>FERVIC</v>
          </cell>
          <cell r="J15230">
            <v>0</v>
          </cell>
        </row>
        <row r="15231">
          <cell r="A15231" t="str">
            <v>FERVIC</v>
          </cell>
          <cell r="J15231">
            <v>0</v>
          </cell>
        </row>
        <row r="15232">
          <cell r="A15232" t="str">
            <v>FERVIC</v>
          </cell>
          <cell r="J15232">
            <v>0</v>
          </cell>
        </row>
        <row r="15233">
          <cell r="A15233" t="str">
            <v>FERVIC</v>
          </cell>
          <cell r="J15233">
            <v>0</v>
          </cell>
        </row>
        <row r="15234">
          <cell r="A15234" t="str">
            <v>FERVIC</v>
          </cell>
          <cell r="J15234">
            <v>0</v>
          </cell>
        </row>
        <row r="15235">
          <cell r="A15235" t="str">
            <v>FERVIC</v>
          </cell>
          <cell r="J15235">
            <v>0</v>
          </cell>
        </row>
        <row r="15236">
          <cell r="A15236" t="str">
            <v>FERVIC</v>
          </cell>
          <cell r="J15236">
            <v>0</v>
          </cell>
        </row>
        <row r="15237">
          <cell r="A15237" t="str">
            <v>FERVIC</v>
          </cell>
          <cell r="J15237">
            <v>0</v>
          </cell>
        </row>
        <row r="15238">
          <cell r="A15238" t="str">
            <v>FERVIC</v>
          </cell>
          <cell r="J15238">
            <v>0</v>
          </cell>
        </row>
        <row r="15239">
          <cell r="A15239" t="str">
            <v>FERVIC</v>
          </cell>
          <cell r="J15239">
            <v>0</v>
          </cell>
        </row>
        <row r="15240">
          <cell r="A15240" t="str">
            <v>FERVIC</v>
          </cell>
          <cell r="J15240">
            <v>0</v>
          </cell>
        </row>
        <row r="15241">
          <cell r="A15241" t="str">
            <v>FERVIC</v>
          </cell>
          <cell r="J15241">
            <v>0</v>
          </cell>
        </row>
        <row r="15242">
          <cell r="A15242" t="str">
            <v>FERVIC</v>
          </cell>
          <cell r="J15242">
            <v>0</v>
          </cell>
        </row>
        <row r="15243">
          <cell r="A15243" t="str">
            <v>FERVIC</v>
          </cell>
          <cell r="J15243">
            <v>0</v>
          </cell>
        </row>
        <row r="15244">
          <cell r="A15244" t="str">
            <v>FERVIC</v>
          </cell>
          <cell r="J15244">
            <v>0</v>
          </cell>
        </row>
        <row r="15245">
          <cell r="A15245" t="str">
            <v>FERVIC</v>
          </cell>
          <cell r="J15245">
            <v>0</v>
          </cell>
        </row>
        <row r="15246">
          <cell r="A15246" t="str">
            <v>FERVIC</v>
          </cell>
          <cell r="J15246">
            <v>0</v>
          </cell>
        </row>
        <row r="15247">
          <cell r="A15247" t="str">
            <v>FERVIC</v>
          </cell>
          <cell r="J15247">
            <v>0</v>
          </cell>
        </row>
        <row r="15248">
          <cell r="A15248" t="str">
            <v>FERVIC</v>
          </cell>
          <cell r="J15248">
            <v>0</v>
          </cell>
        </row>
        <row r="15249">
          <cell r="A15249" t="str">
            <v>FERVIC</v>
          </cell>
          <cell r="J15249">
            <v>0</v>
          </cell>
        </row>
        <row r="15250">
          <cell r="A15250" t="str">
            <v>FERVIC</v>
          </cell>
          <cell r="J15250">
            <v>0</v>
          </cell>
        </row>
        <row r="15251">
          <cell r="A15251" t="str">
            <v>FERVIC</v>
          </cell>
          <cell r="J15251">
            <v>0</v>
          </cell>
        </row>
        <row r="15252">
          <cell r="A15252" t="str">
            <v>FERVIC</v>
          </cell>
          <cell r="J15252">
            <v>0</v>
          </cell>
        </row>
        <row r="15253">
          <cell r="A15253" t="str">
            <v>FERVIC</v>
          </cell>
          <cell r="J15253">
            <v>0</v>
          </cell>
        </row>
        <row r="15254">
          <cell r="A15254" t="str">
            <v>FERVIC</v>
          </cell>
          <cell r="J15254">
            <v>0</v>
          </cell>
        </row>
        <row r="15255">
          <cell r="A15255" t="str">
            <v>FERVIC</v>
          </cell>
          <cell r="J15255">
            <v>0</v>
          </cell>
        </row>
        <row r="15256">
          <cell r="A15256" t="str">
            <v>FERVIC</v>
          </cell>
          <cell r="J15256">
            <v>0</v>
          </cell>
        </row>
        <row r="15257">
          <cell r="A15257" t="str">
            <v>FERVIC</v>
          </cell>
          <cell r="J15257">
            <v>0</v>
          </cell>
        </row>
        <row r="15258">
          <cell r="A15258" t="str">
            <v>FERVIC</v>
          </cell>
          <cell r="J15258">
            <v>0</v>
          </cell>
        </row>
        <row r="15259">
          <cell r="A15259" t="str">
            <v>FERVIC</v>
          </cell>
          <cell r="J15259">
            <v>0</v>
          </cell>
        </row>
        <row r="15260">
          <cell r="A15260" t="str">
            <v>FERVIC</v>
          </cell>
          <cell r="J15260">
            <v>0</v>
          </cell>
        </row>
        <row r="15261">
          <cell r="A15261" t="str">
            <v>FERVIC</v>
          </cell>
          <cell r="J15261">
            <v>0</v>
          </cell>
        </row>
        <row r="15262">
          <cell r="A15262" t="str">
            <v>FERVIC</v>
          </cell>
          <cell r="J15262">
            <v>0</v>
          </cell>
        </row>
        <row r="15263">
          <cell r="A15263" t="str">
            <v>FERVIC</v>
          </cell>
          <cell r="J15263">
            <v>0</v>
          </cell>
        </row>
        <row r="15264">
          <cell r="A15264" t="str">
            <v>FERVIC</v>
          </cell>
          <cell r="J15264">
            <v>0</v>
          </cell>
        </row>
        <row r="15265">
          <cell r="A15265" t="str">
            <v>FERVIC</v>
          </cell>
          <cell r="J15265">
            <v>0</v>
          </cell>
        </row>
        <row r="15266">
          <cell r="A15266" t="str">
            <v>FERVIC</v>
          </cell>
          <cell r="J15266">
            <v>0</v>
          </cell>
        </row>
        <row r="15267">
          <cell r="A15267" t="str">
            <v>FERVIC</v>
          </cell>
          <cell r="J15267">
            <v>0</v>
          </cell>
        </row>
        <row r="15268">
          <cell r="A15268" t="str">
            <v>FERVIC</v>
          </cell>
          <cell r="J15268">
            <v>0</v>
          </cell>
        </row>
        <row r="15269">
          <cell r="A15269" t="str">
            <v>FERVIC</v>
          </cell>
          <cell r="J15269">
            <v>0</v>
          </cell>
        </row>
        <row r="15270">
          <cell r="A15270" t="str">
            <v>FERVIC</v>
          </cell>
          <cell r="J15270">
            <v>0</v>
          </cell>
        </row>
        <row r="15271">
          <cell r="A15271" t="str">
            <v>FERVIC</v>
          </cell>
          <cell r="J15271">
            <v>0</v>
          </cell>
        </row>
        <row r="15272">
          <cell r="A15272" t="str">
            <v>FERVIC</v>
          </cell>
          <cell r="J15272">
            <v>0</v>
          </cell>
        </row>
        <row r="15273">
          <cell r="A15273" t="str">
            <v>FERVIC</v>
          </cell>
          <cell r="J15273">
            <v>0</v>
          </cell>
        </row>
        <row r="15274">
          <cell r="A15274" t="str">
            <v>FERVIC</v>
          </cell>
          <cell r="J15274">
            <v>0</v>
          </cell>
        </row>
        <row r="15275">
          <cell r="A15275" t="str">
            <v>FERVIC</v>
          </cell>
          <cell r="J15275">
            <v>0</v>
          </cell>
        </row>
        <row r="15276">
          <cell r="A15276" t="str">
            <v>FERVIC</v>
          </cell>
          <cell r="J15276">
            <v>0</v>
          </cell>
        </row>
        <row r="15277">
          <cell r="A15277" t="str">
            <v>FERVIC</v>
          </cell>
          <cell r="J15277">
            <v>0</v>
          </cell>
        </row>
        <row r="15278">
          <cell r="A15278" t="str">
            <v>FERVIC</v>
          </cell>
          <cell r="J15278">
            <v>0</v>
          </cell>
        </row>
        <row r="15279">
          <cell r="A15279" t="str">
            <v>FERVIC</v>
          </cell>
          <cell r="J15279">
            <v>0</v>
          </cell>
        </row>
        <row r="15280">
          <cell r="A15280" t="str">
            <v>FERVIC</v>
          </cell>
          <cell r="J15280">
            <v>0</v>
          </cell>
        </row>
        <row r="15281">
          <cell r="A15281" t="str">
            <v>FERVIC</v>
          </cell>
          <cell r="J15281">
            <v>0</v>
          </cell>
        </row>
        <row r="15282">
          <cell r="A15282" t="str">
            <v>FERVIC</v>
          </cell>
          <cell r="J15282">
            <v>0</v>
          </cell>
        </row>
        <row r="15283">
          <cell r="A15283" t="str">
            <v>FERVIC</v>
          </cell>
          <cell r="J15283">
            <v>0</v>
          </cell>
        </row>
        <row r="15284">
          <cell r="A15284" t="str">
            <v>FERVIC</v>
          </cell>
          <cell r="J15284">
            <v>0</v>
          </cell>
        </row>
        <row r="15285">
          <cell r="A15285" t="str">
            <v>FERVIC</v>
          </cell>
          <cell r="J15285">
            <v>0</v>
          </cell>
        </row>
        <row r="15286">
          <cell r="A15286" t="str">
            <v>FERVIC</v>
          </cell>
          <cell r="J15286">
            <v>0</v>
          </cell>
        </row>
        <row r="15287">
          <cell r="A15287" t="str">
            <v>FERVIC</v>
          </cell>
          <cell r="J15287">
            <v>0</v>
          </cell>
        </row>
        <row r="15288">
          <cell r="A15288" t="str">
            <v>FERVIC</v>
          </cell>
          <cell r="J15288">
            <v>0</v>
          </cell>
        </row>
        <row r="15289">
          <cell r="A15289" t="str">
            <v>FERVIC</v>
          </cell>
          <cell r="J15289">
            <v>0</v>
          </cell>
        </row>
        <row r="15290">
          <cell r="A15290" t="str">
            <v>FERVIC</v>
          </cell>
          <cell r="J15290">
            <v>0</v>
          </cell>
        </row>
        <row r="15291">
          <cell r="A15291" t="str">
            <v>FERVIC</v>
          </cell>
          <cell r="J15291">
            <v>0</v>
          </cell>
        </row>
        <row r="15292">
          <cell r="A15292" t="str">
            <v>FERVIC</v>
          </cell>
          <cell r="J15292">
            <v>0</v>
          </cell>
        </row>
        <row r="15293">
          <cell r="A15293" t="str">
            <v>FERVIC</v>
          </cell>
          <cell r="J15293">
            <v>0</v>
          </cell>
        </row>
        <row r="15294">
          <cell r="A15294" t="str">
            <v>FERVIC</v>
          </cell>
          <cell r="J15294">
            <v>0</v>
          </cell>
        </row>
        <row r="15295">
          <cell r="A15295" t="str">
            <v>FERVIC</v>
          </cell>
          <cell r="J15295">
            <v>0</v>
          </cell>
        </row>
        <row r="15296">
          <cell r="A15296" t="str">
            <v>FERVIC</v>
          </cell>
          <cell r="J15296">
            <v>0</v>
          </cell>
        </row>
        <row r="15297">
          <cell r="A15297" t="str">
            <v>FERVIC</v>
          </cell>
          <cell r="J15297">
            <v>0</v>
          </cell>
        </row>
        <row r="15298">
          <cell r="A15298" t="str">
            <v>FERVIC</v>
          </cell>
          <cell r="J15298">
            <v>0</v>
          </cell>
        </row>
        <row r="15299">
          <cell r="A15299" t="str">
            <v>FERVIC</v>
          </cell>
          <cell r="J15299">
            <v>0</v>
          </cell>
        </row>
        <row r="15300">
          <cell r="A15300" t="str">
            <v>FERVIC</v>
          </cell>
          <cell r="J15300">
            <v>0</v>
          </cell>
        </row>
        <row r="15301">
          <cell r="A15301" t="str">
            <v>FERVIC</v>
          </cell>
          <cell r="J15301">
            <v>0</v>
          </cell>
        </row>
        <row r="15302">
          <cell r="A15302" t="str">
            <v>FERVIC</v>
          </cell>
          <cell r="J15302">
            <v>0</v>
          </cell>
        </row>
        <row r="15303">
          <cell r="A15303" t="str">
            <v>FERVIC</v>
          </cell>
          <cell r="J15303">
            <v>0</v>
          </cell>
        </row>
        <row r="15304">
          <cell r="A15304" t="str">
            <v>FERVIC</v>
          </cell>
          <cell r="J15304">
            <v>0</v>
          </cell>
        </row>
        <row r="15305">
          <cell r="A15305" t="str">
            <v>FERVIC</v>
          </cell>
          <cell r="J15305">
            <v>0</v>
          </cell>
        </row>
        <row r="15306">
          <cell r="A15306" t="str">
            <v>FERVIC</v>
          </cell>
          <cell r="J15306">
            <v>0</v>
          </cell>
        </row>
        <row r="15307">
          <cell r="A15307" t="str">
            <v>FERVIC</v>
          </cell>
          <cell r="J15307">
            <v>0</v>
          </cell>
        </row>
        <row r="15308">
          <cell r="A15308" t="str">
            <v>FERVIC</v>
          </cell>
          <cell r="J15308">
            <v>0</v>
          </cell>
        </row>
        <row r="15309">
          <cell r="A15309" t="str">
            <v>FERVIC</v>
          </cell>
          <cell r="J15309">
            <v>0</v>
          </cell>
        </row>
        <row r="15310">
          <cell r="A15310" t="str">
            <v>FERVIC</v>
          </cell>
          <cell r="J15310">
            <v>0</v>
          </cell>
        </row>
        <row r="15311">
          <cell r="A15311" t="str">
            <v>FERVIC</v>
          </cell>
          <cell r="J15311">
            <v>0</v>
          </cell>
        </row>
        <row r="15312">
          <cell r="A15312" t="str">
            <v>FERVIC</v>
          </cell>
          <cell r="J15312">
            <v>0</v>
          </cell>
        </row>
        <row r="15313">
          <cell r="A15313" t="str">
            <v>FERVIC</v>
          </cell>
          <cell r="J15313">
            <v>0</v>
          </cell>
        </row>
        <row r="15314">
          <cell r="A15314" t="str">
            <v>FERVIC</v>
          </cell>
          <cell r="J15314">
            <v>0</v>
          </cell>
        </row>
        <row r="15315">
          <cell r="A15315" t="str">
            <v>FERVIC</v>
          </cell>
          <cell r="J15315">
            <v>0</v>
          </cell>
        </row>
        <row r="15316">
          <cell r="A15316" t="str">
            <v>FERVIC</v>
          </cell>
          <cell r="J15316">
            <v>0</v>
          </cell>
        </row>
        <row r="15317">
          <cell r="A15317" t="str">
            <v>FERVIC</v>
          </cell>
          <cell r="J15317">
            <v>0</v>
          </cell>
        </row>
        <row r="15318">
          <cell r="A15318" t="str">
            <v>FERVIC</v>
          </cell>
          <cell r="J15318">
            <v>0</v>
          </cell>
        </row>
        <row r="15319">
          <cell r="A15319" t="str">
            <v>FERVIC</v>
          </cell>
          <cell r="J15319">
            <v>0</v>
          </cell>
        </row>
        <row r="15320">
          <cell r="A15320" t="str">
            <v>FERVIC</v>
          </cell>
          <cell r="J15320">
            <v>0</v>
          </cell>
        </row>
        <row r="15321">
          <cell r="A15321" t="str">
            <v>FERVIC</v>
          </cell>
          <cell r="J15321">
            <v>0</v>
          </cell>
        </row>
        <row r="15322">
          <cell r="A15322" t="str">
            <v>FERVIC</v>
          </cell>
          <cell r="J15322">
            <v>0</v>
          </cell>
        </row>
        <row r="15323">
          <cell r="A15323" t="str">
            <v>FERVIC</v>
          </cell>
          <cell r="J15323">
            <v>0</v>
          </cell>
        </row>
        <row r="15324">
          <cell r="A15324" t="str">
            <v>FERVIC</v>
          </cell>
          <cell r="J15324">
            <v>0</v>
          </cell>
        </row>
        <row r="15325">
          <cell r="A15325" t="str">
            <v>FERVIC</v>
          </cell>
          <cell r="J15325">
            <v>0</v>
          </cell>
        </row>
        <row r="15326">
          <cell r="A15326" t="str">
            <v>FERVIC</v>
          </cell>
          <cell r="J15326">
            <v>0</v>
          </cell>
        </row>
        <row r="15327">
          <cell r="A15327" t="str">
            <v>FERVIC</v>
          </cell>
          <cell r="J15327">
            <v>0</v>
          </cell>
        </row>
        <row r="15328">
          <cell r="A15328" t="str">
            <v>FERVIC</v>
          </cell>
          <cell r="J15328">
            <v>0</v>
          </cell>
        </row>
        <row r="15329">
          <cell r="A15329" t="str">
            <v>FERVIC</v>
          </cell>
          <cell r="J15329">
            <v>0</v>
          </cell>
        </row>
        <row r="15330">
          <cell r="A15330" t="str">
            <v>FERVIC</v>
          </cell>
          <cell r="J15330">
            <v>0</v>
          </cell>
        </row>
        <row r="15331">
          <cell r="A15331" t="str">
            <v>FERVIC</v>
          </cell>
          <cell r="J15331">
            <v>0</v>
          </cell>
        </row>
        <row r="15332">
          <cell r="A15332" t="str">
            <v>FERVIC</v>
          </cell>
          <cell r="J15332">
            <v>0</v>
          </cell>
        </row>
        <row r="15333">
          <cell r="A15333" t="str">
            <v>FERVIC</v>
          </cell>
          <cell r="J15333">
            <v>0</v>
          </cell>
        </row>
        <row r="15334">
          <cell r="A15334" t="str">
            <v>FERVIC</v>
          </cell>
          <cell r="J15334">
            <v>0</v>
          </cell>
        </row>
        <row r="15335">
          <cell r="A15335" t="str">
            <v>FERVIC</v>
          </cell>
          <cell r="J15335">
            <v>0</v>
          </cell>
        </row>
        <row r="15336">
          <cell r="A15336" t="str">
            <v>FERVIC</v>
          </cell>
          <cell r="J15336">
            <v>0</v>
          </cell>
        </row>
        <row r="15337">
          <cell r="A15337" t="str">
            <v>FERVIC</v>
          </cell>
          <cell r="J15337">
            <v>0</v>
          </cell>
        </row>
        <row r="15338">
          <cell r="A15338" t="str">
            <v>FERVIC</v>
          </cell>
          <cell r="J15338">
            <v>0</v>
          </cell>
        </row>
        <row r="15339">
          <cell r="A15339" t="str">
            <v>FERVIC</v>
          </cell>
          <cell r="J15339">
            <v>0</v>
          </cell>
        </row>
        <row r="15340">
          <cell r="A15340" t="str">
            <v>FERVIC</v>
          </cell>
          <cell r="J15340">
            <v>0</v>
          </cell>
        </row>
        <row r="15341">
          <cell r="A15341" t="str">
            <v>FERVIC</v>
          </cell>
          <cell r="J15341">
            <v>0</v>
          </cell>
        </row>
        <row r="15342">
          <cell r="A15342" t="str">
            <v>FERVIC</v>
          </cell>
          <cell r="J15342">
            <v>0</v>
          </cell>
        </row>
        <row r="15343">
          <cell r="A15343" t="str">
            <v>FERVIC</v>
          </cell>
          <cell r="J15343">
            <v>0</v>
          </cell>
        </row>
        <row r="15344">
          <cell r="A15344" t="str">
            <v>FERVIC</v>
          </cell>
          <cell r="J15344">
            <v>0</v>
          </cell>
        </row>
        <row r="15345">
          <cell r="A15345" t="str">
            <v>FERVIC</v>
          </cell>
          <cell r="J15345">
            <v>0</v>
          </cell>
        </row>
        <row r="15346">
          <cell r="A15346" t="str">
            <v>FERVIC</v>
          </cell>
          <cell r="J15346">
            <v>0</v>
          </cell>
        </row>
        <row r="15347">
          <cell r="A15347" t="str">
            <v>FERVIC</v>
          </cell>
          <cell r="J15347">
            <v>0</v>
          </cell>
        </row>
        <row r="15348">
          <cell r="A15348" t="str">
            <v>FERVIC</v>
          </cell>
          <cell r="J15348">
            <v>0</v>
          </cell>
        </row>
        <row r="15349">
          <cell r="A15349" t="str">
            <v>FERVIC</v>
          </cell>
          <cell r="J15349">
            <v>0</v>
          </cell>
        </row>
        <row r="15350">
          <cell r="A15350" t="str">
            <v>FERVIC</v>
          </cell>
          <cell r="J15350">
            <v>0</v>
          </cell>
        </row>
        <row r="15351">
          <cell r="A15351" t="str">
            <v>FERVIC</v>
          </cell>
          <cell r="J15351">
            <v>0</v>
          </cell>
        </row>
        <row r="15352">
          <cell r="A15352" t="str">
            <v>FERVIC</v>
          </cell>
          <cell r="J15352">
            <v>0</v>
          </cell>
        </row>
        <row r="15353">
          <cell r="A15353" t="str">
            <v>FERVIC</v>
          </cell>
          <cell r="J15353">
            <v>0</v>
          </cell>
        </row>
        <row r="15354">
          <cell r="A15354" t="str">
            <v>FERVIC</v>
          </cell>
          <cell r="J15354">
            <v>0</v>
          </cell>
        </row>
        <row r="15355">
          <cell r="A15355" t="str">
            <v>FERVIC</v>
          </cell>
          <cell r="J15355">
            <v>0</v>
          </cell>
        </row>
        <row r="15356">
          <cell r="A15356" t="str">
            <v>FERVIC</v>
          </cell>
          <cell r="J15356">
            <v>0</v>
          </cell>
        </row>
        <row r="15357">
          <cell r="A15357" t="str">
            <v>FERVIC</v>
          </cell>
          <cell r="J15357">
            <v>0</v>
          </cell>
        </row>
        <row r="15358">
          <cell r="A15358" t="str">
            <v>FERVIC</v>
          </cell>
          <cell r="J15358">
            <v>0</v>
          </cell>
        </row>
        <row r="15359">
          <cell r="A15359" t="str">
            <v>FERVIC</v>
          </cell>
          <cell r="J15359">
            <v>0</v>
          </cell>
        </row>
        <row r="15360">
          <cell r="A15360" t="str">
            <v>FERVIC</v>
          </cell>
          <cell r="J15360">
            <v>0</v>
          </cell>
        </row>
        <row r="15361">
          <cell r="A15361" t="str">
            <v>FERVIC</v>
          </cell>
          <cell r="J15361">
            <v>0</v>
          </cell>
        </row>
        <row r="15362">
          <cell r="A15362" t="str">
            <v>FERVIC</v>
          </cell>
          <cell r="J15362">
            <v>0</v>
          </cell>
        </row>
        <row r="15363">
          <cell r="A15363" t="str">
            <v>FERVIC</v>
          </cell>
          <cell r="J15363">
            <v>0</v>
          </cell>
        </row>
        <row r="15364">
          <cell r="A15364" t="str">
            <v>FERVIC</v>
          </cell>
          <cell r="J15364">
            <v>0</v>
          </cell>
        </row>
        <row r="15365">
          <cell r="A15365" t="str">
            <v>FERVIC</v>
          </cell>
          <cell r="J15365">
            <v>0</v>
          </cell>
        </row>
        <row r="15366">
          <cell r="A15366" t="str">
            <v>FERVIC</v>
          </cell>
          <cell r="J15366">
            <v>0</v>
          </cell>
        </row>
        <row r="15367">
          <cell r="A15367" t="str">
            <v>FERVIC</v>
          </cell>
          <cell r="J15367">
            <v>0</v>
          </cell>
        </row>
        <row r="15368">
          <cell r="A15368" t="str">
            <v>FERVIC</v>
          </cell>
          <cell r="J15368">
            <v>0</v>
          </cell>
        </row>
        <row r="15369">
          <cell r="A15369" t="str">
            <v>FERVIC</v>
          </cell>
          <cell r="J15369">
            <v>0</v>
          </cell>
        </row>
        <row r="15370">
          <cell r="A15370" t="str">
            <v>FERVIC</v>
          </cell>
          <cell r="J15370">
            <v>0</v>
          </cell>
        </row>
        <row r="15371">
          <cell r="A15371" t="str">
            <v>FERVIC</v>
          </cell>
          <cell r="J15371">
            <v>0</v>
          </cell>
        </row>
        <row r="15372">
          <cell r="A15372" t="str">
            <v>FERVIC</v>
          </cell>
          <cell r="J15372">
            <v>0</v>
          </cell>
        </row>
        <row r="15373">
          <cell r="A15373" t="str">
            <v>FERVIC</v>
          </cell>
          <cell r="J15373">
            <v>0</v>
          </cell>
        </row>
        <row r="15374">
          <cell r="A15374" t="str">
            <v>FERVIC</v>
          </cell>
          <cell r="J15374">
            <v>0</v>
          </cell>
        </row>
        <row r="15375">
          <cell r="A15375" t="str">
            <v>FERVIC</v>
          </cell>
          <cell r="J15375">
            <v>0</v>
          </cell>
        </row>
        <row r="15376">
          <cell r="A15376" t="str">
            <v>FERVIC</v>
          </cell>
          <cell r="J15376">
            <v>0</v>
          </cell>
        </row>
        <row r="15377">
          <cell r="A15377" t="str">
            <v>FERVIC</v>
          </cell>
          <cell r="J15377">
            <v>0</v>
          </cell>
        </row>
        <row r="15378">
          <cell r="A15378" t="str">
            <v>FERVIC</v>
          </cell>
          <cell r="J15378">
            <v>0</v>
          </cell>
        </row>
        <row r="15379">
          <cell r="A15379" t="str">
            <v>FERVIC</v>
          </cell>
          <cell r="J15379">
            <v>0</v>
          </cell>
        </row>
        <row r="15380">
          <cell r="A15380" t="str">
            <v>FERVIC</v>
          </cell>
          <cell r="J15380">
            <v>0</v>
          </cell>
        </row>
        <row r="15381">
          <cell r="A15381" t="str">
            <v>FERVIC</v>
          </cell>
          <cell r="J15381">
            <v>0</v>
          </cell>
        </row>
        <row r="15382">
          <cell r="A15382" t="str">
            <v>FERVIC</v>
          </cell>
          <cell r="J15382">
            <v>0</v>
          </cell>
        </row>
        <row r="15383">
          <cell r="A15383" t="str">
            <v>FERVIC</v>
          </cell>
          <cell r="J15383">
            <v>0</v>
          </cell>
        </row>
        <row r="15384">
          <cell r="A15384" t="str">
            <v>FERVIC</v>
          </cell>
          <cell r="J15384">
            <v>0</v>
          </cell>
        </row>
        <row r="15385">
          <cell r="A15385" t="str">
            <v>FERVIC</v>
          </cell>
          <cell r="J15385">
            <v>0</v>
          </cell>
        </row>
        <row r="15386">
          <cell r="A15386" t="str">
            <v>FERVIC</v>
          </cell>
          <cell r="J15386">
            <v>0</v>
          </cell>
        </row>
        <row r="15387">
          <cell r="A15387" t="str">
            <v>FERVIC</v>
          </cell>
          <cell r="J15387">
            <v>0</v>
          </cell>
        </row>
        <row r="15388">
          <cell r="A15388" t="str">
            <v>FERVIC</v>
          </cell>
          <cell r="J15388">
            <v>0</v>
          </cell>
        </row>
        <row r="15389">
          <cell r="A15389" t="str">
            <v>FERVIC</v>
          </cell>
          <cell r="J15389">
            <v>0</v>
          </cell>
        </row>
        <row r="15390">
          <cell r="A15390" t="str">
            <v>FERVIC</v>
          </cell>
          <cell r="J15390">
            <v>0</v>
          </cell>
        </row>
        <row r="15391">
          <cell r="A15391" t="str">
            <v>FERVIC</v>
          </cell>
          <cell r="J15391">
            <v>0</v>
          </cell>
        </row>
        <row r="15392">
          <cell r="A15392" t="str">
            <v>FERVIC</v>
          </cell>
          <cell r="J15392">
            <v>0</v>
          </cell>
        </row>
        <row r="15393">
          <cell r="A15393" t="str">
            <v>FERVIC</v>
          </cell>
          <cell r="J15393">
            <v>0</v>
          </cell>
        </row>
        <row r="15394">
          <cell r="A15394" t="str">
            <v>FERVIC</v>
          </cell>
          <cell r="J15394">
            <v>0</v>
          </cell>
        </row>
        <row r="15395">
          <cell r="A15395" t="str">
            <v>FERVIC</v>
          </cell>
          <cell r="J15395">
            <v>0</v>
          </cell>
        </row>
        <row r="15396">
          <cell r="A15396" t="str">
            <v>FERVIC</v>
          </cell>
          <cell r="J15396">
            <v>0</v>
          </cell>
        </row>
        <row r="15397">
          <cell r="A15397" t="str">
            <v>FERVIC</v>
          </cell>
          <cell r="J15397">
            <v>0</v>
          </cell>
        </row>
        <row r="15398">
          <cell r="A15398" t="str">
            <v>FERVIC</v>
          </cell>
          <cell r="J15398">
            <v>0</v>
          </cell>
        </row>
        <row r="15399">
          <cell r="A15399" t="str">
            <v>FERVIC</v>
          </cell>
          <cell r="J15399">
            <v>0</v>
          </cell>
        </row>
        <row r="15400">
          <cell r="A15400" t="str">
            <v>FERVIC</v>
          </cell>
          <cell r="J15400">
            <v>0</v>
          </cell>
        </row>
        <row r="15401">
          <cell r="A15401" t="str">
            <v>FERVIC</v>
          </cell>
          <cell r="J15401">
            <v>0</v>
          </cell>
        </row>
        <row r="15402">
          <cell r="A15402" t="str">
            <v>FERVIC</v>
          </cell>
          <cell r="J15402">
            <v>0</v>
          </cell>
        </row>
        <row r="15403">
          <cell r="A15403" t="str">
            <v>FERVIC</v>
          </cell>
          <cell r="J15403">
            <v>0</v>
          </cell>
        </row>
        <row r="15404">
          <cell r="A15404" t="str">
            <v>FERVIC</v>
          </cell>
          <cell r="J15404">
            <v>0</v>
          </cell>
        </row>
        <row r="15405">
          <cell r="A15405" t="str">
            <v>FERVIC</v>
          </cell>
          <cell r="J15405">
            <v>0</v>
          </cell>
        </row>
        <row r="15406">
          <cell r="A15406" t="str">
            <v>FERVIC</v>
          </cell>
          <cell r="J15406">
            <v>0</v>
          </cell>
        </row>
        <row r="15407">
          <cell r="A15407" t="str">
            <v>FERVIC</v>
          </cell>
          <cell r="J15407">
            <v>0</v>
          </cell>
        </row>
        <row r="15408">
          <cell r="A15408" t="str">
            <v>FERVIC</v>
          </cell>
          <cell r="J15408">
            <v>0</v>
          </cell>
        </row>
        <row r="15409">
          <cell r="A15409" t="str">
            <v>FERVIC</v>
          </cell>
          <cell r="J15409">
            <v>0</v>
          </cell>
        </row>
        <row r="15410">
          <cell r="A15410" t="str">
            <v>FERVIC</v>
          </cell>
          <cell r="J15410">
            <v>0</v>
          </cell>
        </row>
        <row r="15411">
          <cell r="A15411" t="str">
            <v>FERVIC</v>
          </cell>
          <cell r="J15411">
            <v>0</v>
          </cell>
        </row>
        <row r="15412">
          <cell r="A15412" t="str">
            <v>FERVIC</v>
          </cell>
          <cell r="J15412">
            <v>0</v>
          </cell>
        </row>
        <row r="15413">
          <cell r="A15413" t="str">
            <v>FERVIC</v>
          </cell>
          <cell r="J15413">
            <v>0</v>
          </cell>
        </row>
        <row r="15414">
          <cell r="A15414" t="str">
            <v>FERVIC</v>
          </cell>
          <cell r="J15414">
            <v>0</v>
          </cell>
        </row>
        <row r="15415">
          <cell r="A15415" t="str">
            <v>FERVIC</v>
          </cell>
          <cell r="J15415">
            <v>0</v>
          </cell>
        </row>
        <row r="15416">
          <cell r="A15416" t="str">
            <v>FERVIC</v>
          </cell>
          <cell r="J15416">
            <v>0</v>
          </cell>
        </row>
        <row r="15417">
          <cell r="A15417" t="str">
            <v>FERVIC</v>
          </cell>
          <cell r="J15417">
            <v>0</v>
          </cell>
        </row>
        <row r="15418">
          <cell r="A15418" t="str">
            <v>FERVIC</v>
          </cell>
          <cell r="J15418">
            <v>0</v>
          </cell>
        </row>
        <row r="15419">
          <cell r="A15419" t="str">
            <v>FERVIC</v>
          </cell>
          <cell r="J15419">
            <v>0</v>
          </cell>
        </row>
        <row r="15420">
          <cell r="A15420" t="str">
            <v>FERVIC</v>
          </cell>
          <cell r="J15420">
            <v>0</v>
          </cell>
        </row>
        <row r="15421">
          <cell r="A15421" t="str">
            <v>FERVIC</v>
          </cell>
          <cell r="J15421">
            <v>0</v>
          </cell>
        </row>
        <row r="15422">
          <cell r="A15422" t="str">
            <v>FERVIC</v>
          </cell>
          <cell r="J15422">
            <v>0</v>
          </cell>
        </row>
        <row r="15423">
          <cell r="A15423" t="str">
            <v>FERVIC</v>
          </cell>
          <cell r="J15423">
            <v>0</v>
          </cell>
        </row>
        <row r="15424">
          <cell r="A15424" t="str">
            <v>FERVIC</v>
          </cell>
          <cell r="J15424">
            <v>0</v>
          </cell>
        </row>
        <row r="15425">
          <cell r="A15425" t="str">
            <v>FERVIC</v>
          </cell>
          <cell r="J15425">
            <v>0</v>
          </cell>
        </row>
        <row r="15426">
          <cell r="A15426" t="str">
            <v>FERVIC</v>
          </cell>
          <cell r="J15426">
            <v>0</v>
          </cell>
        </row>
        <row r="15427">
          <cell r="A15427" t="str">
            <v>FERVIC</v>
          </cell>
          <cell r="J15427">
            <v>0</v>
          </cell>
        </row>
        <row r="15428">
          <cell r="A15428" t="str">
            <v>FERVIC</v>
          </cell>
          <cell r="J15428">
            <v>0</v>
          </cell>
        </row>
        <row r="15429">
          <cell r="A15429" t="str">
            <v>FERVIC</v>
          </cell>
          <cell r="J15429">
            <v>0</v>
          </cell>
        </row>
        <row r="15430">
          <cell r="A15430" t="str">
            <v>FERVIC</v>
          </cell>
          <cell r="J15430">
            <v>0</v>
          </cell>
        </row>
        <row r="15431">
          <cell r="A15431" t="str">
            <v>FERVIC</v>
          </cell>
          <cell r="J15431">
            <v>0</v>
          </cell>
        </row>
        <row r="15432">
          <cell r="A15432" t="str">
            <v>FERVIC</v>
          </cell>
          <cell r="J15432">
            <v>0</v>
          </cell>
        </row>
        <row r="15433">
          <cell r="A15433" t="str">
            <v>FERVIC</v>
          </cell>
          <cell r="J15433">
            <v>0</v>
          </cell>
        </row>
        <row r="15434">
          <cell r="A15434" t="str">
            <v>FERVIC</v>
          </cell>
          <cell r="J15434">
            <v>0</v>
          </cell>
        </row>
        <row r="15435">
          <cell r="A15435" t="str">
            <v>FERVIC</v>
          </cell>
          <cell r="J15435">
            <v>0</v>
          </cell>
        </row>
        <row r="15436">
          <cell r="A15436" t="str">
            <v>FERVIC</v>
          </cell>
          <cell r="J15436">
            <v>0</v>
          </cell>
        </row>
        <row r="15437">
          <cell r="A15437" t="str">
            <v>FERVIC</v>
          </cell>
          <cell r="J15437">
            <v>0</v>
          </cell>
        </row>
        <row r="15438">
          <cell r="A15438" t="str">
            <v>FERVIC</v>
          </cell>
          <cell r="J15438">
            <v>0</v>
          </cell>
        </row>
        <row r="15439">
          <cell r="A15439" t="str">
            <v>FERVIC</v>
          </cell>
          <cell r="J15439">
            <v>0</v>
          </cell>
        </row>
        <row r="15440">
          <cell r="A15440" t="str">
            <v>FERVIC</v>
          </cell>
          <cell r="J15440">
            <v>0</v>
          </cell>
        </row>
        <row r="15441">
          <cell r="A15441" t="str">
            <v>FERVIC</v>
          </cell>
          <cell r="J15441">
            <v>0</v>
          </cell>
        </row>
        <row r="15442">
          <cell r="A15442" t="str">
            <v>FERVIC</v>
          </cell>
          <cell r="J15442">
            <v>0</v>
          </cell>
        </row>
        <row r="15443">
          <cell r="A15443" t="str">
            <v>FERVIC</v>
          </cell>
          <cell r="J15443">
            <v>0</v>
          </cell>
        </row>
        <row r="15444">
          <cell r="A15444" t="str">
            <v>FERVIC</v>
          </cell>
          <cell r="J15444">
            <v>0</v>
          </cell>
        </row>
        <row r="15445">
          <cell r="A15445" t="str">
            <v>FERVIC</v>
          </cell>
          <cell r="J15445">
            <v>0</v>
          </cell>
        </row>
        <row r="15446">
          <cell r="A15446" t="str">
            <v>FERVIC</v>
          </cell>
          <cell r="J15446">
            <v>0</v>
          </cell>
        </row>
        <row r="15447">
          <cell r="A15447" t="str">
            <v>FERVIC</v>
          </cell>
          <cell r="J15447">
            <v>0</v>
          </cell>
        </row>
        <row r="15448">
          <cell r="A15448" t="str">
            <v>FERVIC</v>
          </cell>
          <cell r="J15448">
            <v>0</v>
          </cell>
        </row>
        <row r="15449">
          <cell r="A15449" t="str">
            <v>FERVIC</v>
          </cell>
          <cell r="J15449">
            <v>0</v>
          </cell>
        </row>
        <row r="15450">
          <cell r="A15450" t="str">
            <v>FERVIC</v>
          </cell>
          <cell r="J15450">
            <v>0</v>
          </cell>
        </row>
        <row r="15451">
          <cell r="A15451" t="str">
            <v>FERVIC</v>
          </cell>
          <cell r="J15451">
            <v>0</v>
          </cell>
        </row>
        <row r="15452">
          <cell r="A15452" t="str">
            <v>FERVIC</v>
          </cell>
          <cell r="J15452">
            <v>0</v>
          </cell>
        </row>
        <row r="15453">
          <cell r="A15453" t="str">
            <v>FERVIC</v>
          </cell>
          <cell r="J15453">
            <v>0</v>
          </cell>
        </row>
        <row r="15454">
          <cell r="A15454" t="str">
            <v>FERVIC</v>
          </cell>
          <cell r="J15454">
            <v>0</v>
          </cell>
        </row>
        <row r="15455">
          <cell r="A15455" t="str">
            <v>FERVIC</v>
          </cell>
          <cell r="J15455">
            <v>0</v>
          </cell>
        </row>
        <row r="15456">
          <cell r="A15456" t="str">
            <v>FERVIC</v>
          </cell>
          <cell r="J15456">
            <v>0</v>
          </cell>
        </row>
        <row r="15457">
          <cell r="A15457" t="str">
            <v>FERVIC</v>
          </cell>
          <cell r="J15457">
            <v>0</v>
          </cell>
        </row>
        <row r="15458">
          <cell r="A15458" t="str">
            <v>FERVIC</v>
          </cell>
          <cell r="J15458">
            <v>0</v>
          </cell>
        </row>
        <row r="15459">
          <cell r="A15459" t="str">
            <v>FERVIC</v>
          </cell>
          <cell r="J15459">
            <v>0</v>
          </cell>
        </row>
        <row r="15460">
          <cell r="A15460" t="str">
            <v>FERVIC</v>
          </cell>
          <cell r="J15460">
            <v>0</v>
          </cell>
        </row>
        <row r="15461">
          <cell r="A15461" t="str">
            <v>FERVIC</v>
          </cell>
          <cell r="J15461">
            <v>0</v>
          </cell>
        </row>
        <row r="15462">
          <cell r="A15462" t="str">
            <v>FERVIC</v>
          </cell>
          <cell r="J15462">
            <v>0</v>
          </cell>
        </row>
        <row r="15463">
          <cell r="A15463" t="str">
            <v>FERVIC</v>
          </cell>
          <cell r="J15463">
            <v>0</v>
          </cell>
        </row>
        <row r="15464">
          <cell r="A15464" t="str">
            <v>FERVIC</v>
          </cell>
          <cell r="J15464">
            <v>0</v>
          </cell>
        </row>
        <row r="15465">
          <cell r="A15465" t="str">
            <v>FERVIC</v>
          </cell>
          <cell r="J15465">
            <v>0</v>
          </cell>
        </row>
        <row r="15466">
          <cell r="A15466" t="str">
            <v>FERVIC</v>
          </cell>
          <cell r="J15466">
            <v>0</v>
          </cell>
        </row>
        <row r="15467">
          <cell r="A15467" t="str">
            <v>FERVIC</v>
          </cell>
          <cell r="J15467">
            <v>0</v>
          </cell>
        </row>
        <row r="15468">
          <cell r="A15468" t="str">
            <v>FERVIC</v>
          </cell>
          <cell r="J15468">
            <v>0</v>
          </cell>
        </row>
        <row r="15469">
          <cell r="A15469" t="str">
            <v>FERVIC</v>
          </cell>
          <cell r="J15469">
            <v>0</v>
          </cell>
        </row>
        <row r="15470">
          <cell r="A15470" t="str">
            <v>FERVIC</v>
          </cell>
          <cell r="J15470">
            <v>0</v>
          </cell>
        </row>
        <row r="15471">
          <cell r="A15471" t="str">
            <v>FERVIC</v>
          </cell>
          <cell r="J15471">
            <v>0</v>
          </cell>
        </row>
        <row r="15472">
          <cell r="A15472" t="str">
            <v>FERVIC</v>
          </cell>
          <cell r="J15472">
            <v>0</v>
          </cell>
        </row>
        <row r="15473">
          <cell r="A15473" t="str">
            <v>FERVIC</v>
          </cell>
          <cell r="J15473">
            <v>0</v>
          </cell>
        </row>
        <row r="15474">
          <cell r="A15474" t="str">
            <v>FERVIC</v>
          </cell>
          <cell r="J15474">
            <v>0</v>
          </cell>
        </row>
        <row r="15475">
          <cell r="A15475" t="str">
            <v>FERVIC</v>
          </cell>
          <cell r="J15475">
            <v>0</v>
          </cell>
        </row>
        <row r="15476">
          <cell r="A15476" t="str">
            <v>FERVIC</v>
          </cell>
          <cell r="J15476">
            <v>0</v>
          </cell>
        </row>
        <row r="15477">
          <cell r="A15477" t="str">
            <v>FERVIC</v>
          </cell>
          <cell r="J15477">
            <v>0</v>
          </cell>
        </row>
        <row r="15478">
          <cell r="A15478" t="str">
            <v>FERVIC</v>
          </cell>
          <cell r="J15478">
            <v>0</v>
          </cell>
        </row>
        <row r="15479">
          <cell r="A15479" t="str">
            <v>FERVIC</v>
          </cell>
          <cell r="J15479">
            <v>0</v>
          </cell>
        </row>
        <row r="15480">
          <cell r="A15480" t="str">
            <v>FERVIC</v>
          </cell>
          <cell r="J15480">
            <v>0</v>
          </cell>
        </row>
        <row r="15481">
          <cell r="A15481" t="str">
            <v>FERVIC</v>
          </cell>
          <cell r="J15481">
            <v>0</v>
          </cell>
        </row>
        <row r="15482">
          <cell r="A15482" t="str">
            <v>FERVIC</v>
          </cell>
          <cell r="J15482">
            <v>0</v>
          </cell>
        </row>
        <row r="15483">
          <cell r="A15483" t="str">
            <v>FERVIC</v>
          </cell>
          <cell r="J15483">
            <v>0</v>
          </cell>
        </row>
        <row r="15484">
          <cell r="A15484" t="str">
            <v>FERVIC</v>
          </cell>
          <cell r="J15484">
            <v>0</v>
          </cell>
        </row>
        <row r="15485">
          <cell r="A15485" t="str">
            <v>FERVIC</v>
          </cell>
          <cell r="J15485">
            <v>0</v>
          </cell>
        </row>
        <row r="15486">
          <cell r="A15486" t="str">
            <v>FERVIC</v>
          </cell>
          <cell r="J15486">
            <v>0</v>
          </cell>
        </row>
        <row r="15487">
          <cell r="A15487" t="str">
            <v>FERVIC</v>
          </cell>
          <cell r="J15487">
            <v>0</v>
          </cell>
        </row>
        <row r="15488">
          <cell r="A15488" t="str">
            <v>FERVIC</v>
          </cell>
          <cell r="J15488">
            <v>0</v>
          </cell>
        </row>
        <row r="15489">
          <cell r="A15489" t="str">
            <v>FERVIC</v>
          </cell>
          <cell r="J15489">
            <v>0</v>
          </cell>
        </row>
        <row r="15490">
          <cell r="A15490" t="str">
            <v>FERVIC</v>
          </cell>
          <cell r="J15490">
            <v>0</v>
          </cell>
        </row>
        <row r="15491">
          <cell r="A15491" t="str">
            <v>FERVIC</v>
          </cell>
          <cell r="J15491">
            <v>0</v>
          </cell>
        </row>
        <row r="15492">
          <cell r="A15492" t="str">
            <v>FERVIC</v>
          </cell>
          <cell r="J15492">
            <v>0</v>
          </cell>
        </row>
        <row r="15493">
          <cell r="A15493" t="str">
            <v>FERVIC</v>
          </cell>
          <cell r="J15493">
            <v>0</v>
          </cell>
        </row>
        <row r="15494">
          <cell r="A15494" t="str">
            <v>FERVIC</v>
          </cell>
          <cell r="J15494">
            <v>0</v>
          </cell>
        </row>
        <row r="15495">
          <cell r="A15495" t="str">
            <v>FERVIC</v>
          </cell>
          <cell r="J15495">
            <v>0</v>
          </cell>
        </row>
        <row r="15496">
          <cell r="A15496" t="str">
            <v>FERVIC</v>
          </cell>
          <cell r="J15496">
            <v>0</v>
          </cell>
        </row>
        <row r="15497">
          <cell r="A15497" t="str">
            <v>FERVIC</v>
          </cell>
          <cell r="J15497">
            <v>0</v>
          </cell>
        </row>
        <row r="15498">
          <cell r="A15498" t="str">
            <v>FERVIC</v>
          </cell>
          <cell r="J15498">
            <v>0</v>
          </cell>
        </row>
        <row r="15499">
          <cell r="A15499" t="str">
            <v>FERVIC</v>
          </cell>
          <cell r="J15499">
            <v>0</v>
          </cell>
        </row>
        <row r="15500">
          <cell r="A15500" t="str">
            <v>FERVIC</v>
          </cell>
          <cell r="J15500">
            <v>0</v>
          </cell>
        </row>
        <row r="15501">
          <cell r="A15501" t="str">
            <v>FERVIC</v>
          </cell>
          <cell r="J15501">
            <v>0</v>
          </cell>
        </row>
        <row r="15502">
          <cell r="A15502" t="str">
            <v>FERVIC</v>
          </cell>
          <cell r="J15502">
            <v>0</v>
          </cell>
        </row>
        <row r="15503">
          <cell r="A15503" t="str">
            <v>FERVIC</v>
          </cell>
          <cell r="J15503">
            <v>0</v>
          </cell>
        </row>
        <row r="15504">
          <cell r="A15504" t="str">
            <v>FERVIC</v>
          </cell>
          <cell r="J15504">
            <v>0</v>
          </cell>
        </row>
        <row r="15505">
          <cell r="A15505" t="str">
            <v>FERVIC</v>
          </cell>
          <cell r="J15505">
            <v>0</v>
          </cell>
        </row>
        <row r="15506">
          <cell r="A15506" t="str">
            <v>FERVIC</v>
          </cell>
          <cell r="J15506">
            <v>0</v>
          </cell>
        </row>
        <row r="15507">
          <cell r="A15507" t="str">
            <v>FERVIC</v>
          </cell>
          <cell r="J15507">
            <v>0</v>
          </cell>
        </row>
        <row r="15508">
          <cell r="A15508" t="str">
            <v>FERVIC</v>
          </cell>
          <cell r="J15508">
            <v>0</v>
          </cell>
        </row>
        <row r="15509">
          <cell r="A15509" t="str">
            <v>FERVIC</v>
          </cell>
          <cell r="J15509">
            <v>0</v>
          </cell>
        </row>
        <row r="15510">
          <cell r="A15510" t="str">
            <v>FERVIC</v>
          </cell>
          <cell r="J15510">
            <v>0</v>
          </cell>
        </row>
        <row r="15511">
          <cell r="A15511" t="str">
            <v>FERVIC</v>
          </cell>
          <cell r="J15511">
            <v>0</v>
          </cell>
        </row>
        <row r="15512">
          <cell r="A15512" t="str">
            <v>FERVIC</v>
          </cell>
          <cell r="J15512">
            <v>0</v>
          </cell>
        </row>
        <row r="15513">
          <cell r="A15513" t="str">
            <v>FERVIC</v>
          </cell>
          <cell r="J15513">
            <v>0</v>
          </cell>
        </row>
        <row r="15514">
          <cell r="A15514" t="str">
            <v>FERVIC</v>
          </cell>
          <cell r="J15514">
            <v>0</v>
          </cell>
        </row>
        <row r="15515">
          <cell r="A15515" t="str">
            <v>FERVIC</v>
          </cell>
          <cell r="J15515">
            <v>0</v>
          </cell>
        </row>
        <row r="15516">
          <cell r="A15516" t="str">
            <v>FERVIC</v>
          </cell>
          <cell r="J15516">
            <v>0</v>
          </cell>
        </row>
        <row r="15517">
          <cell r="A15517" t="str">
            <v>FERVIC</v>
          </cell>
          <cell r="J15517">
            <v>0</v>
          </cell>
        </row>
        <row r="15518">
          <cell r="A15518" t="str">
            <v>FERVIC</v>
          </cell>
          <cell r="J15518">
            <v>0</v>
          </cell>
        </row>
        <row r="15519">
          <cell r="A15519" t="str">
            <v>FERVIC</v>
          </cell>
          <cell r="J15519">
            <v>0</v>
          </cell>
        </row>
        <row r="15520">
          <cell r="A15520" t="str">
            <v>FERVIC</v>
          </cell>
          <cell r="J15520">
            <v>0</v>
          </cell>
        </row>
        <row r="15521">
          <cell r="A15521" t="str">
            <v>FERVIC</v>
          </cell>
          <cell r="J15521">
            <v>0</v>
          </cell>
        </row>
        <row r="15522">
          <cell r="A15522" t="str">
            <v>FERVIC</v>
          </cell>
          <cell r="J15522">
            <v>0</v>
          </cell>
        </row>
        <row r="15523">
          <cell r="A15523" t="str">
            <v>FERVIC</v>
          </cell>
          <cell r="J15523">
            <v>0</v>
          </cell>
        </row>
        <row r="15524">
          <cell r="A15524" t="str">
            <v>FERVIC</v>
          </cell>
          <cell r="J15524">
            <v>0</v>
          </cell>
        </row>
        <row r="15525">
          <cell r="A15525" t="str">
            <v>FERVIC</v>
          </cell>
          <cell r="J15525">
            <v>0</v>
          </cell>
        </row>
        <row r="15526">
          <cell r="A15526" t="str">
            <v>FERVIC</v>
          </cell>
          <cell r="J15526">
            <v>0</v>
          </cell>
        </row>
        <row r="15527">
          <cell r="A15527" t="str">
            <v>FERVIC</v>
          </cell>
          <cell r="J15527">
            <v>0</v>
          </cell>
        </row>
        <row r="15528">
          <cell r="A15528" t="str">
            <v>FERVIC</v>
          </cell>
          <cell r="J15528">
            <v>0</v>
          </cell>
        </row>
        <row r="15529">
          <cell r="A15529" t="str">
            <v>FERVIC</v>
          </cell>
          <cell r="J15529">
            <v>0</v>
          </cell>
        </row>
        <row r="15530">
          <cell r="A15530" t="str">
            <v>FERVIC</v>
          </cell>
          <cell r="J15530">
            <v>0</v>
          </cell>
        </row>
        <row r="15531">
          <cell r="A15531" t="str">
            <v>FERVIC</v>
          </cell>
          <cell r="J15531">
            <v>0</v>
          </cell>
        </row>
        <row r="15532">
          <cell r="A15532" t="str">
            <v>FERVIC</v>
          </cell>
          <cell r="J15532">
            <v>0</v>
          </cell>
        </row>
        <row r="15533">
          <cell r="A15533" t="str">
            <v>FERVIC</v>
          </cell>
          <cell r="J15533">
            <v>0</v>
          </cell>
        </row>
        <row r="15534">
          <cell r="A15534" t="str">
            <v>FERVIC</v>
          </cell>
          <cell r="J15534">
            <v>0</v>
          </cell>
        </row>
        <row r="15535">
          <cell r="A15535" t="str">
            <v>FERVIC</v>
          </cell>
          <cell r="J15535">
            <v>0</v>
          </cell>
        </row>
        <row r="15536">
          <cell r="A15536" t="str">
            <v>FERVIC</v>
          </cell>
          <cell r="J15536">
            <v>0</v>
          </cell>
        </row>
        <row r="15537">
          <cell r="A15537" t="str">
            <v>FERVIC</v>
          </cell>
          <cell r="J15537">
            <v>0</v>
          </cell>
        </row>
        <row r="15538">
          <cell r="A15538" t="str">
            <v>FERVIC</v>
          </cell>
          <cell r="J15538">
            <v>0</v>
          </cell>
        </row>
        <row r="15539">
          <cell r="A15539" t="str">
            <v>FERVIC</v>
          </cell>
          <cell r="J15539">
            <v>0</v>
          </cell>
        </row>
        <row r="15540">
          <cell r="A15540" t="str">
            <v>FERVIC</v>
          </cell>
          <cell r="J15540">
            <v>0</v>
          </cell>
        </row>
        <row r="15541">
          <cell r="A15541" t="str">
            <v>FERVIC</v>
          </cell>
          <cell r="J15541">
            <v>0</v>
          </cell>
        </row>
        <row r="15542">
          <cell r="A15542" t="str">
            <v>FERVIC</v>
          </cell>
          <cell r="J15542">
            <v>0</v>
          </cell>
        </row>
        <row r="15543">
          <cell r="A15543" t="str">
            <v>FERVIC</v>
          </cell>
          <cell r="J15543">
            <v>0</v>
          </cell>
        </row>
        <row r="15544">
          <cell r="A15544" t="str">
            <v>FERVIC</v>
          </cell>
          <cell r="J15544">
            <v>0</v>
          </cell>
        </row>
        <row r="15545">
          <cell r="A15545" t="str">
            <v>FERVIC</v>
          </cell>
          <cell r="J15545">
            <v>0</v>
          </cell>
        </row>
        <row r="15546">
          <cell r="A15546" t="str">
            <v>FERVIC</v>
          </cell>
          <cell r="J15546">
            <v>0</v>
          </cell>
        </row>
        <row r="15547">
          <cell r="A15547" t="str">
            <v>FERVIC</v>
          </cell>
          <cell r="J15547">
            <v>0</v>
          </cell>
        </row>
        <row r="15548">
          <cell r="A15548" t="str">
            <v>FERVIC</v>
          </cell>
          <cell r="J15548">
            <v>0</v>
          </cell>
        </row>
        <row r="15549">
          <cell r="A15549" t="str">
            <v>FERVIC</v>
          </cell>
          <cell r="J15549">
            <v>0</v>
          </cell>
        </row>
        <row r="15550">
          <cell r="A15550" t="str">
            <v>FERVIC</v>
          </cell>
          <cell r="J15550">
            <v>0</v>
          </cell>
        </row>
        <row r="15551">
          <cell r="A15551" t="str">
            <v>FERVIC</v>
          </cell>
          <cell r="J15551">
            <v>0</v>
          </cell>
        </row>
        <row r="15552">
          <cell r="A15552" t="str">
            <v>FERVIC</v>
          </cell>
          <cell r="J15552">
            <v>0</v>
          </cell>
        </row>
        <row r="15553">
          <cell r="A15553" t="str">
            <v>FERVIC</v>
          </cell>
          <cell r="J15553">
            <v>0</v>
          </cell>
        </row>
        <row r="15554">
          <cell r="A15554" t="str">
            <v>FERVIC</v>
          </cell>
          <cell r="J15554">
            <v>0</v>
          </cell>
        </row>
        <row r="15555">
          <cell r="A15555" t="str">
            <v>FERVIC</v>
          </cell>
          <cell r="J15555">
            <v>0</v>
          </cell>
        </row>
        <row r="15556">
          <cell r="A15556" t="str">
            <v>FERVIC</v>
          </cell>
          <cell r="J15556">
            <v>0</v>
          </cell>
        </row>
        <row r="15557">
          <cell r="A15557" t="str">
            <v>FERVIC</v>
          </cell>
          <cell r="J15557">
            <v>0</v>
          </cell>
        </row>
        <row r="15558">
          <cell r="A15558" t="str">
            <v>FERVIC</v>
          </cell>
          <cell r="J15558">
            <v>0</v>
          </cell>
        </row>
        <row r="15559">
          <cell r="A15559" t="str">
            <v>FERVIC</v>
          </cell>
          <cell r="J15559">
            <v>0</v>
          </cell>
        </row>
        <row r="15560">
          <cell r="A15560" t="str">
            <v>FERVIC</v>
          </cell>
          <cell r="J15560">
            <v>0</v>
          </cell>
        </row>
        <row r="15561">
          <cell r="J15561">
            <v>0</v>
          </cell>
        </row>
        <row r="15562">
          <cell r="J15562">
            <v>0</v>
          </cell>
        </row>
        <row r="15563">
          <cell r="J15563">
            <v>0</v>
          </cell>
        </row>
        <row r="15564">
          <cell r="A15564" t="str">
            <v>CIV</v>
          </cell>
          <cell r="B15564" t="str">
            <v>101-00000-000-0000</v>
          </cell>
          <cell r="J15564">
            <v>35689259.009999998</v>
          </cell>
        </row>
        <row r="15565">
          <cell r="A15565" t="str">
            <v>CIV</v>
          </cell>
          <cell r="B15565" t="str">
            <v>101-00002-000-0000</v>
          </cell>
          <cell r="J15565">
            <v>2464400.04</v>
          </cell>
        </row>
        <row r="15566">
          <cell r="A15566" t="str">
            <v>CIV</v>
          </cell>
          <cell r="B15566" t="str">
            <v>101-00002-002-0000</v>
          </cell>
          <cell r="J15566">
            <v>25241.48</v>
          </cell>
        </row>
        <row r="15567">
          <cell r="A15567" t="str">
            <v>CIV</v>
          </cell>
          <cell r="B15567" t="str">
            <v>101-00002-002-0004</v>
          </cell>
          <cell r="J15567">
            <v>25241.48</v>
          </cell>
        </row>
        <row r="15568">
          <cell r="A15568" t="str">
            <v>CIV</v>
          </cell>
          <cell r="B15568" t="str">
            <v>101-00002-003-0000</v>
          </cell>
          <cell r="J15568">
            <v>2424532.09</v>
          </cell>
        </row>
        <row r="15569">
          <cell r="A15569" t="str">
            <v>CIV</v>
          </cell>
          <cell r="B15569" t="str">
            <v>101-00002-003-0005</v>
          </cell>
          <cell r="J15569">
            <v>2402423.62</v>
          </cell>
        </row>
        <row r="15570">
          <cell r="A15570" t="str">
            <v>CIV</v>
          </cell>
          <cell r="B15570" t="str">
            <v>101-00002-003-0051</v>
          </cell>
          <cell r="J15570">
            <v>22108.47</v>
          </cell>
        </row>
        <row r="15571">
          <cell r="A15571" t="str">
            <v>CIV</v>
          </cell>
          <cell r="B15571" t="str">
            <v>101-00002-004-0000</v>
          </cell>
          <cell r="J15571">
            <v>14626.47</v>
          </cell>
        </row>
        <row r="15572">
          <cell r="A15572" t="str">
            <v>CIV</v>
          </cell>
          <cell r="B15572" t="str">
            <v>101-00002-004-0004</v>
          </cell>
          <cell r="J15572">
            <v>14626.47</v>
          </cell>
        </row>
        <row r="15573">
          <cell r="A15573" t="str">
            <v>CIV</v>
          </cell>
          <cell r="B15573" t="str">
            <v>101-00004-000-0000</v>
          </cell>
          <cell r="J15573">
            <v>2939642.87</v>
          </cell>
        </row>
        <row r="15574">
          <cell r="A15574" t="str">
            <v>CIV</v>
          </cell>
          <cell r="B15574" t="str">
            <v>101-00004-002-0000</v>
          </cell>
          <cell r="J15574">
            <v>2767995.06</v>
          </cell>
        </row>
        <row r="15575">
          <cell r="A15575" t="str">
            <v>CIV</v>
          </cell>
          <cell r="B15575" t="str">
            <v>101-00004-002-0956</v>
          </cell>
          <cell r="J15575">
            <v>998386.3</v>
          </cell>
        </row>
        <row r="15576">
          <cell r="A15576" t="str">
            <v>CIV</v>
          </cell>
          <cell r="B15576" t="str">
            <v>101-00004-002-2347</v>
          </cell>
          <cell r="J15576">
            <v>259292.31</v>
          </cell>
        </row>
        <row r="15577">
          <cell r="A15577" t="str">
            <v>CIV</v>
          </cell>
          <cell r="B15577" t="str">
            <v>101-00004-002-2533</v>
          </cell>
          <cell r="J15577">
            <v>1478154.06</v>
          </cell>
        </row>
        <row r="15578">
          <cell r="A15578" t="str">
            <v>CIV</v>
          </cell>
          <cell r="B15578" t="str">
            <v>101-00004-002-3331</v>
          </cell>
          <cell r="J15578">
            <v>32162.39</v>
          </cell>
        </row>
        <row r="15579">
          <cell r="A15579" t="str">
            <v>CIV</v>
          </cell>
          <cell r="B15579" t="str">
            <v>101-00004-002-3332</v>
          </cell>
          <cell r="J15579">
            <v>0</v>
          </cell>
        </row>
        <row r="15580">
          <cell r="A15580" t="str">
            <v>CIV</v>
          </cell>
          <cell r="B15580" t="str">
            <v>101-00004-003-0000</v>
          </cell>
          <cell r="J15580">
            <v>171647.81</v>
          </cell>
        </row>
        <row r="15581">
          <cell r="A15581" t="str">
            <v>CIV</v>
          </cell>
          <cell r="B15581" t="str">
            <v>101-00004-003-0507</v>
          </cell>
          <cell r="J15581">
            <v>23625.58</v>
          </cell>
        </row>
        <row r="15582">
          <cell r="A15582" t="str">
            <v>CIV</v>
          </cell>
          <cell r="B15582" t="str">
            <v>101-00004-003-2347</v>
          </cell>
          <cell r="J15582">
            <v>148022.23000000001</v>
          </cell>
        </row>
        <row r="15583">
          <cell r="A15583" t="str">
            <v>CIV</v>
          </cell>
          <cell r="B15583" t="str">
            <v>101-00005-000-0000</v>
          </cell>
          <cell r="J15583">
            <v>75800.25</v>
          </cell>
        </row>
        <row r="15584">
          <cell r="A15584" t="str">
            <v>CIV</v>
          </cell>
          <cell r="B15584" t="str">
            <v>101-00005-001-0000</v>
          </cell>
          <cell r="J15584">
            <v>75457.25</v>
          </cell>
        </row>
        <row r="15585">
          <cell r="A15585" t="str">
            <v>CIV</v>
          </cell>
          <cell r="B15585" t="str">
            <v>101-00005-001-0108</v>
          </cell>
          <cell r="J15585">
            <v>457.25</v>
          </cell>
        </row>
        <row r="15586">
          <cell r="A15586" t="str">
            <v>CIV</v>
          </cell>
          <cell r="B15586" t="str">
            <v>101-00005-001-1033</v>
          </cell>
          <cell r="J15586">
            <v>75000</v>
          </cell>
        </row>
        <row r="15587">
          <cell r="A15587" t="str">
            <v>CIV</v>
          </cell>
          <cell r="B15587" t="str">
            <v>101-00005-003-0000</v>
          </cell>
          <cell r="J15587">
            <v>343</v>
          </cell>
        </row>
        <row r="15588">
          <cell r="A15588" t="str">
            <v>CIV</v>
          </cell>
          <cell r="B15588" t="str">
            <v>101-00005-003-2274</v>
          </cell>
          <cell r="J15588">
            <v>343</v>
          </cell>
        </row>
        <row r="15589">
          <cell r="A15589" t="str">
            <v>CIV</v>
          </cell>
          <cell r="B15589" t="str">
            <v>101-00006-000-0000</v>
          </cell>
          <cell r="J15589">
            <v>256742.93</v>
          </cell>
        </row>
        <row r="15590">
          <cell r="A15590" t="str">
            <v>CIV</v>
          </cell>
          <cell r="B15590" t="str">
            <v>101-00006-001-0000</v>
          </cell>
          <cell r="J15590">
            <v>256742.93</v>
          </cell>
        </row>
        <row r="15591">
          <cell r="A15591" t="str">
            <v>CIV</v>
          </cell>
          <cell r="B15591" t="str">
            <v>101-00006-001-0430</v>
          </cell>
          <cell r="J15591">
            <v>231902.92</v>
          </cell>
        </row>
        <row r="15592">
          <cell r="A15592" t="str">
            <v>CIV</v>
          </cell>
          <cell r="B15592" t="str">
            <v>101-00006-001-0691</v>
          </cell>
          <cell r="J15592">
            <v>15426.81</v>
          </cell>
        </row>
        <row r="15593">
          <cell r="A15593" t="str">
            <v>CIV</v>
          </cell>
          <cell r="B15593" t="str">
            <v>101-00006-001-1852</v>
          </cell>
          <cell r="J15593">
            <v>9013.2000000000007</v>
          </cell>
        </row>
        <row r="15594">
          <cell r="A15594" t="str">
            <v>CIV</v>
          </cell>
          <cell r="B15594" t="str">
            <v>101-00006-001-2128</v>
          </cell>
          <cell r="J15594">
            <v>400</v>
          </cell>
        </row>
        <row r="15595">
          <cell r="A15595" t="str">
            <v>CIV</v>
          </cell>
          <cell r="B15595" t="str">
            <v>101-00008-000-0000</v>
          </cell>
          <cell r="J15595">
            <v>208529.81</v>
          </cell>
        </row>
        <row r="15596">
          <cell r="A15596" t="str">
            <v>CIV</v>
          </cell>
          <cell r="B15596" t="str">
            <v>101-00008-001-0000</v>
          </cell>
          <cell r="J15596">
            <v>14828.81</v>
          </cell>
        </row>
        <row r="15597">
          <cell r="A15597" t="str">
            <v>CIV</v>
          </cell>
          <cell r="B15597" t="str">
            <v>101-00008-002-0000</v>
          </cell>
          <cell r="J15597">
            <v>6894</v>
          </cell>
        </row>
        <row r="15598">
          <cell r="A15598" t="str">
            <v>CIV</v>
          </cell>
          <cell r="B15598" t="str">
            <v>101-00008-010-0000</v>
          </cell>
          <cell r="J15598">
            <v>165148</v>
          </cell>
        </row>
        <row r="15599">
          <cell r="A15599" t="str">
            <v>CIV</v>
          </cell>
          <cell r="B15599" t="str">
            <v>101-00008-012-0000</v>
          </cell>
          <cell r="J15599">
            <v>21659</v>
          </cell>
        </row>
        <row r="15600">
          <cell r="A15600" t="str">
            <v>CIV</v>
          </cell>
          <cell r="B15600" t="str">
            <v>101-00009-000-0000</v>
          </cell>
          <cell r="J15600">
            <v>16787</v>
          </cell>
        </row>
        <row r="15601">
          <cell r="A15601" t="str">
            <v>CIV</v>
          </cell>
          <cell r="B15601" t="str">
            <v>101-00009-006-0000</v>
          </cell>
          <cell r="J15601">
            <v>16787</v>
          </cell>
        </row>
        <row r="15602">
          <cell r="A15602" t="str">
            <v>CIV</v>
          </cell>
          <cell r="B15602" t="str">
            <v>101-00010-000-0000</v>
          </cell>
          <cell r="J15602">
            <v>87753.81</v>
          </cell>
        </row>
        <row r="15603">
          <cell r="A15603" t="str">
            <v>CIV</v>
          </cell>
          <cell r="B15603" t="str">
            <v>101-00010-001-0000</v>
          </cell>
          <cell r="J15603">
            <v>87753.81</v>
          </cell>
        </row>
        <row r="15604">
          <cell r="A15604" t="str">
            <v>CIV</v>
          </cell>
          <cell r="B15604" t="str">
            <v>101-00011-000-0000</v>
          </cell>
          <cell r="J15604">
            <v>361821.36</v>
          </cell>
        </row>
        <row r="15605">
          <cell r="A15605" t="str">
            <v>CIV</v>
          </cell>
          <cell r="B15605" t="str">
            <v>101-00011-001-0000</v>
          </cell>
          <cell r="J15605">
            <v>361821.36</v>
          </cell>
        </row>
        <row r="15606">
          <cell r="A15606" t="str">
            <v>CIV</v>
          </cell>
          <cell r="B15606" t="str">
            <v>101-00012-000-0000</v>
          </cell>
          <cell r="J15606">
            <v>3600000</v>
          </cell>
        </row>
        <row r="15607">
          <cell r="A15607" t="str">
            <v>CIV</v>
          </cell>
          <cell r="B15607" t="str">
            <v>101-00012-080-0000</v>
          </cell>
          <cell r="J15607">
            <v>3600000</v>
          </cell>
        </row>
        <row r="15608">
          <cell r="A15608" t="str">
            <v>CIV</v>
          </cell>
          <cell r="B15608" t="str">
            <v>101-00013-000-0000</v>
          </cell>
          <cell r="J15608">
            <v>12116812.609999999</v>
          </cell>
        </row>
        <row r="15609">
          <cell r="A15609" t="str">
            <v>CIV</v>
          </cell>
          <cell r="B15609" t="str">
            <v>101-00013-080-0000</v>
          </cell>
          <cell r="J15609">
            <v>12116812.609999999</v>
          </cell>
        </row>
        <row r="15610">
          <cell r="A15610" t="str">
            <v>CIV</v>
          </cell>
          <cell r="B15610" t="str">
            <v>101-00015-000-0000</v>
          </cell>
          <cell r="J15610">
            <v>13560968.33</v>
          </cell>
        </row>
        <row r="15611">
          <cell r="A15611" t="str">
            <v>CIV</v>
          </cell>
          <cell r="B15611" t="str">
            <v>101-00015-001-0000</v>
          </cell>
          <cell r="J15611">
            <v>13560968.33</v>
          </cell>
        </row>
        <row r="15612">
          <cell r="A15612" t="str">
            <v>CIV</v>
          </cell>
          <cell r="B15612" t="str">
            <v>101-00015-001-0058</v>
          </cell>
          <cell r="J15612">
            <v>50000</v>
          </cell>
        </row>
        <row r="15613">
          <cell r="A15613" t="str">
            <v>CIV</v>
          </cell>
          <cell r="B15613" t="str">
            <v>101-00015-001-0468</v>
          </cell>
          <cell r="J15613">
            <v>3517736.61</v>
          </cell>
        </row>
        <row r="15614">
          <cell r="A15614" t="str">
            <v>CIV</v>
          </cell>
          <cell r="B15614" t="str">
            <v>101-00015-001-0469</v>
          </cell>
          <cell r="J15614">
            <v>80000</v>
          </cell>
        </row>
        <row r="15615">
          <cell r="A15615" t="str">
            <v>CIV</v>
          </cell>
          <cell r="B15615" t="str">
            <v>101-00015-001-0733</v>
          </cell>
          <cell r="J15615">
            <v>40000</v>
          </cell>
        </row>
        <row r="15616">
          <cell r="A15616" t="str">
            <v>CIV</v>
          </cell>
          <cell r="B15616" t="str">
            <v>101-00015-001-1149</v>
          </cell>
          <cell r="J15616">
            <v>300000</v>
          </cell>
        </row>
        <row r="15617">
          <cell r="A15617" t="str">
            <v>CIV</v>
          </cell>
          <cell r="B15617" t="str">
            <v>101-00015-001-1604</v>
          </cell>
          <cell r="J15617">
            <v>40000</v>
          </cell>
        </row>
        <row r="15618">
          <cell r="A15618" t="str">
            <v>CIV</v>
          </cell>
          <cell r="B15618" t="str">
            <v>101-00015-001-2300</v>
          </cell>
          <cell r="J15618">
            <v>952773.66</v>
          </cell>
        </row>
        <row r="15619">
          <cell r="A15619" t="str">
            <v>CIV</v>
          </cell>
          <cell r="B15619" t="str">
            <v>101-00015-001-2303</v>
          </cell>
          <cell r="J15619">
            <v>590000</v>
          </cell>
        </row>
        <row r="15620">
          <cell r="A15620" t="str">
            <v>CIV</v>
          </cell>
          <cell r="B15620" t="str">
            <v>101-00015-001-2304</v>
          </cell>
          <cell r="J15620">
            <v>24440.6</v>
          </cell>
        </row>
        <row r="15621">
          <cell r="A15621" t="str">
            <v>CIV</v>
          </cell>
          <cell r="B15621" t="str">
            <v>101-00015-001-2305</v>
          </cell>
          <cell r="J15621">
            <v>2446297.46</v>
          </cell>
        </row>
        <row r="15622">
          <cell r="A15622" t="str">
            <v>CIV</v>
          </cell>
          <cell r="B15622" t="str">
            <v>101-00015-001-2871</v>
          </cell>
          <cell r="J15622">
            <v>118000</v>
          </cell>
        </row>
        <row r="15623">
          <cell r="A15623" t="str">
            <v>CIV</v>
          </cell>
          <cell r="B15623" t="str">
            <v>101-00015-001-2872</v>
          </cell>
          <cell r="J15623">
            <v>150000</v>
          </cell>
        </row>
        <row r="15624">
          <cell r="A15624" t="str">
            <v>CIV</v>
          </cell>
          <cell r="B15624" t="str">
            <v>101-00015-001-3141</v>
          </cell>
          <cell r="J15624">
            <v>5251720</v>
          </cell>
        </row>
        <row r="15625">
          <cell r="A15625" t="str">
            <v>CIV</v>
          </cell>
          <cell r="B15625" t="str">
            <v>102-00000-000-0000</v>
          </cell>
          <cell r="J15625">
            <v>2344717.2200000002</v>
          </cell>
        </row>
        <row r="15626">
          <cell r="A15626" t="str">
            <v>CIV</v>
          </cell>
          <cell r="B15626" t="str">
            <v>102-00001-000-0000</v>
          </cell>
          <cell r="J15626">
            <v>150063.34</v>
          </cell>
        </row>
        <row r="15627">
          <cell r="A15627" t="str">
            <v>CIV</v>
          </cell>
          <cell r="B15627" t="str">
            <v>102-00001-001-0000</v>
          </cell>
          <cell r="J15627">
            <v>496868.24</v>
          </cell>
        </row>
        <row r="15628">
          <cell r="A15628" t="str">
            <v>CIV</v>
          </cell>
          <cell r="B15628" t="str">
            <v>102-00001-002-0000</v>
          </cell>
          <cell r="J15628">
            <v>-346804.9</v>
          </cell>
        </row>
        <row r="15629">
          <cell r="A15629" t="str">
            <v>CIV</v>
          </cell>
          <cell r="B15629" t="str">
            <v>102-00002-000-0000</v>
          </cell>
          <cell r="J15629">
            <v>482239.93</v>
          </cell>
        </row>
        <row r="15630">
          <cell r="A15630" t="str">
            <v>CIV</v>
          </cell>
          <cell r="B15630" t="str">
            <v>102-00002-001-0000</v>
          </cell>
          <cell r="J15630">
            <v>7020513.0599999996</v>
          </cell>
        </row>
        <row r="15631">
          <cell r="A15631" t="str">
            <v>CIV</v>
          </cell>
          <cell r="B15631" t="str">
            <v>102-00002-002-0000</v>
          </cell>
          <cell r="J15631">
            <v>-6538273.1299999999</v>
          </cell>
        </row>
        <row r="15632">
          <cell r="A15632" t="str">
            <v>CIV</v>
          </cell>
          <cell r="B15632" t="str">
            <v>102-00003-000-0000</v>
          </cell>
          <cell r="J15632">
            <v>485766.58</v>
          </cell>
        </row>
        <row r="15633">
          <cell r="A15633" t="str">
            <v>CIV</v>
          </cell>
          <cell r="B15633" t="str">
            <v>102-00003-001-0000</v>
          </cell>
          <cell r="J15633">
            <v>1227730.71</v>
          </cell>
        </row>
        <row r="15634">
          <cell r="A15634" t="str">
            <v>CIV</v>
          </cell>
          <cell r="B15634" t="str">
            <v>102-00003-002-0000</v>
          </cell>
          <cell r="J15634">
            <v>-741964.13</v>
          </cell>
        </row>
        <row r="15635">
          <cell r="A15635" t="str">
            <v>CIV</v>
          </cell>
          <cell r="B15635" t="str">
            <v>102-00004-001-0000</v>
          </cell>
          <cell r="J15635">
            <v>179812.59</v>
          </cell>
        </row>
        <row r="15636">
          <cell r="A15636" t="str">
            <v>CIV</v>
          </cell>
          <cell r="B15636" t="str">
            <v>102-00004-002-0000</v>
          </cell>
          <cell r="J15636">
            <v>-179812.59</v>
          </cell>
        </row>
        <row r="15637">
          <cell r="A15637" t="str">
            <v>CIV</v>
          </cell>
          <cell r="B15637" t="str">
            <v>102-00015-000-0000</v>
          </cell>
          <cell r="J15637">
            <v>1226647.3700000001</v>
          </cell>
        </row>
        <row r="15638">
          <cell r="A15638" t="str">
            <v>CIV</v>
          </cell>
          <cell r="B15638" t="str">
            <v>102-00015-001-0000</v>
          </cell>
          <cell r="J15638">
            <v>1226647.3700000001</v>
          </cell>
        </row>
        <row r="15639">
          <cell r="A15639" t="str">
            <v>CIV</v>
          </cell>
          <cell r="B15639" t="str">
            <v>102-00015-001-1809</v>
          </cell>
          <cell r="J15639">
            <v>314714.87</v>
          </cell>
        </row>
        <row r="15640">
          <cell r="A15640" t="str">
            <v>CIV</v>
          </cell>
          <cell r="B15640" t="str">
            <v>102-00015-001-3303</v>
          </cell>
          <cell r="J15640">
            <v>911932.5</v>
          </cell>
        </row>
        <row r="15641">
          <cell r="A15641" t="str">
            <v>CIV</v>
          </cell>
          <cell r="B15641" t="str">
            <v>103-00000-000-0000</v>
          </cell>
          <cell r="J15641">
            <v>4497720.49</v>
          </cell>
        </row>
        <row r="15642">
          <cell r="A15642" t="str">
            <v>CIV</v>
          </cell>
          <cell r="B15642" t="str">
            <v>103-00001-000-0000</v>
          </cell>
          <cell r="J15642">
            <v>4497720.49</v>
          </cell>
        </row>
        <row r="15643">
          <cell r="A15643" t="str">
            <v>CIV</v>
          </cell>
          <cell r="B15643" t="str">
            <v>103-00001-001-0000</v>
          </cell>
          <cell r="J15643">
            <v>4497720.49</v>
          </cell>
        </row>
        <row r="15644">
          <cell r="A15644" t="str">
            <v>CIV</v>
          </cell>
          <cell r="B15644" t="str">
            <v>201-00000-000-0000</v>
          </cell>
          <cell r="J15644">
            <v>-3398698.23</v>
          </cell>
        </row>
        <row r="15645">
          <cell r="A15645" t="str">
            <v>CIV</v>
          </cell>
          <cell r="B15645" t="str">
            <v>201-00002-000-0000</v>
          </cell>
          <cell r="J15645">
            <v>-727882.8</v>
          </cell>
        </row>
        <row r="15646">
          <cell r="A15646" t="str">
            <v>CIV</v>
          </cell>
          <cell r="B15646" t="str">
            <v>201-00002-001-0000</v>
          </cell>
          <cell r="J15646">
            <v>-32311.66</v>
          </cell>
        </row>
        <row r="15647">
          <cell r="A15647" t="str">
            <v>CIV</v>
          </cell>
          <cell r="B15647" t="str">
            <v>201-00002-001-2918</v>
          </cell>
          <cell r="J15647">
            <v>-32311.66</v>
          </cell>
        </row>
        <row r="15648">
          <cell r="A15648" t="str">
            <v>CIV</v>
          </cell>
          <cell r="B15648" t="str">
            <v>201-00002-002-0000</v>
          </cell>
          <cell r="J15648">
            <v>-695571.14</v>
          </cell>
        </row>
        <row r="15649">
          <cell r="A15649" t="str">
            <v>CIV</v>
          </cell>
          <cell r="B15649" t="str">
            <v>201-00002-002-0092</v>
          </cell>
          <cell r="J15649">
            <v>-15628.97</v>
          </cell>
        </row>
        <row r="15650">
          <cell r="A15650" t="str">
            <v>CIV</v>
          </cell>
          <cell r="B15650" t="str">
            <v>201-00002-002-0113</v>
          </cell>
          <cell r="J15650">
            <v>-337636.75</v>
          </cell>
        </row>
        <row r="15651">
          <cell r="A15651" t="str">
            <v>CIV</v>
          </cell>
          <cell r="B15651" t="str">
            <v>201-00002-002-0306</v>
          </cell>
          <cell r="J15651">
            <v>0</v>
          </cell>
        </row>
        <row r="15652">
          <cell r="A15652" t="str">
            <v>CIV</v>
          </cell>
          <cell r="B15652" t="str">
            <v>201-00002-002-0687</v>
          </cell>
          <cell r="J15652">
            <v>-25000</v>
          </cell>
        </row>
        <row r="15653">
          <cell r="A15653" t="str">
            <v>CIV</v>
          </cell>
          <cell r="B15653" t="str">
            <v>201-00002-002-1308</v>
          </cell>
          <cell r="J15653">
            <v>-45838.37</v>
          </cell>
        </row>
        <row r="15654">
          <cell r="A15654" t="str">
            <v>CIV</v>
          </cell>
          <cell r="B15654" t="str">
            <v>201-00002-002-1338</v>
          </cell>
          <cell r="J15654">
            <v>-26680</v>
          </cell>
        </row>
        <row r="15655">
          <cell r="A15655" t="str">
            <v>CIV</v>
          </cell>
          <cell r="B15655" t="str">
            <v>201-00002-002-1809</v>
          </cell>
          <cell r="J15655">
            <v>-0.01</v>
          </cell>
        </row>
        <row r="15656">
          <cell r="A15656" t="str">
            <v>CIV</v>
          </cell>
          <cell r="B15656" t="str">
            <v>201-00002-002-1863</v>
          </cell>
          <cell r="J15656">
            <v>-94621.17</v>
          </cell>
        </row>
        <row r="15657">
          <cell r="A15657" t="str">
            <v>CIV</v>
          </cell>
          <cell r="B15657" t="str">
            <v>201-00002-002-2278</v>
          </cell>
          <cell r="J15657">
            <v>-121475.93</v>
          </cell>
        </row>
        <row r="15658">
          <cell r="A15658" t="str">
            <v>CIV</v>
          </cell>
          <cell r="B15658" t="str">
            <v>201-00002-002-2834</v>
          </cell>
          <cell r="J15658">
            <v>-7977.31</v>
          </cell>
        </row>
        <row r="15659">
          <cell r="A15659" t="str">
            <v>CIV</v>
          </cell>
          <cell r="B15659" t="str">
            <v>201-00002-002-3122</v>
          </cell>
          <cell r="J15659">
            <v>0</v>
          </cell>
        </row>
        <row r="15660">
          <cell r="A15660" t="str">
            <v>CIV</v>
          </cell>
          <cell r="B15660" t="str">
            <v>201-00002-002-3303</v>
          </cell>
          <cell r="J15660">
            <v>0</v>
          </cell>
        </row>
        <row r="15661">
          <cell r="A15661" t="str">
            <v>CIV</v>
          </cell>
          <cell r="B15661" t="str">
            <v>201-00002-002-3461</v>
          </cell>
          <cell r="J15661">
            <v>-20712.63</v>
          </cell>
        </row>
        <row r="15662">
          <cell r="A15662" t="str">
            <v>CIV</v>
          </cell>
          <cell r="B15662" t="str">
            <v>201-00004-000-0000</v>
          </cell>
          <cell r="J15662">
            <v>-1219457.05</v>
          </cell>
        </row>
        <row r="15663">
          <cell r="A15663" t="str">
            <v>CIV</v>
          </cell>
          <cell r="B15663" t="str">
            <v>201-00004-001-0000</v>
          </cell>
          <cell r="J15663">
            <v>-1219457.05</v>
          </cell>
        </row>
        <row r="15664">
          <cell r="A15664" t="str">
            <v>CIV</v>
          </cell>
          <cell r="B15664" t="str">
            <v>201-00004-001-0468</v>
          </cell>
          <cell r="J15664">
            <v>-0.01</v>
          </cell>
        </row>
        <row r="15665">
          <cell r="A15665" t="str">
            <v>CIV</v>
          </cell>
          <cell r="B15665" t="str">
            <v>201-00004-001-2284</v>
          </cell>
          <cell r="J15665">
            <v>-1219457.04</v>
          </cell>
        </row>
        <row r="15666">
          <cell r="A15666" t="str">
            <v>CIV</v>
          </cell>
          <cell r="B15666" t="str">
            <v>201-00005-000-0000</v>
          </cell>
          <cell r="J15666">
            <v>-114.05</v>
          </cell>
        </row>
        <row r="15667">
          <cell r="A15667" t="str">
            <v>CIV</v>
          </cell>
          <cell r="B15667" t="str">
            <v>201-00005-001-0000</v>
          </cell>
          <cell r="J15667">
            <v>-1</v>
          </cell>
        </row>
        <row r="15668">
          <cell r="A15668" t="str">
            <v>CIV</v>
          </cell>
          <cell r="B15668" t="str">
            <v>201-00005-003-0000</v>
          </cell>
          <cell r="J15668">
            <v>-113.05</v>
          </cell>
        </row>
        <row r="15669">
          <cell r="A15669" t="str">
            <v>CIV</v>
          </cell>
          <cell r="B15669" t="str">
            <v>201-00006-000-0000</v>
          </cell>
          <cell r="J15669">
            <v>-105549.22</v>
          </cell>
        </row>
        <row r="15670">
          <cell r="A15670" t="str">
            <v>CIV</v>
          </cell>
          <cell r="B15670" t="str">
            <v>201-00006-002-0000</v>
          </cell>
          <cell r="J15670">
            <v>1908.47</v>
          </cell>
        </row>
        <row r="15671">
          <cell r="A15671" t="str">
            <v>CIV</v>
          </cell>
          <cell r="B15671" t="str">
            <v>201-00006-003-0000</v>
          </cell>
          <cell r="J15671">
            <v>151.72</v>
          </cell>
        </row>
        <row r="15672">
          <cell r="A15672" t="str">
            <v>CIV</v>
          </cell>
          <cell r="B15672" t="str">
            <v>201-00006-004-0000</v>
          </cell>
          <cell r="J15672">
            <v>82.9</v>
          </cell>
        </row>
        <row r="15673">
          <cell r="A15673" t="str">
            <v>CIV</v>
          </cell>
          <cell r="B15673" t="str">
            <v>201-00006-012-0000</v>
          </cell>
          <cell r="J15673">
            <v>-107692.31</v>
          </cell>
        </row>
        <row r="15674">
          <cell r="A15674" t="str">
            <v>CIV</v>
          </cell>
          <cell r="B15674" t="str">
            <v>201-00008-000-0000</v>
          </cell>
          <cell r="J15674">
            <v>-409631.55</v>
          </cell>
        </row>
        <row r="15675">
          <cell r="A15675" t="str">
            <v>CIV</v>
          </cell>
          <cell r="B15675" t="str">
            <v>201-00009-000-0000</v>
          </cell>
          <cell r="J15675">
            <v>-506357.85</v>
          </cell>
        </row>
        <row r="15676">
          <cell r="A15676" t="str">
            <v>CIV</v>
          </cell>
          <cell r="B15676" t="str">
            <v>201-00009-001-0000</v>
          </cell>
          <cell r="J15676">
            <v>-506357.85</v>
          </cell>
        </row>
        <row r="15677">
          <cell r="A15677" t="str">
            <v>CIV</v>
          </cell>
          <cell r="B15677" t="str">
            <v>201-00010-000-0000</v>
          </cell>
          <cell r="J15677">
            <v>-429705.71</v>
          </cell>
        </row>
        <row r="15678">
          <cell r="A15678" t="str">
            <v>CIV</v>
          </cell>
          <cell r="B15678" t="str">
            <v>201-00010-001-0000</v>
          </cell>
          <cell r="J15678">
            <v>-429705.71</v>
          </cell>
        </row>
        <row r="15679">
          <cell r="A15679" t="str">
            <v>CIV</v>
          </cell>
          <cell r="B15679" t="str">
            <v>202-00000-000-0000</v>
          </cell>
          <cell r="J15679">
            <v>-1084242.26</v>
          </cell>
        </row>
        <row r="15680">
          <cell r="A15680" t="str">
            <v>CIV</v>
          </cell>
          <cell r="B15680" t="str">
            <v>202-00001-000-0000</v>
          </cell>
          <cell r="J15680">
            <v>-1084242.26</v>
          </cell>
        </row>
        <row r="15681">
          <cell r="A15681" t="str">
            <v>CIV</v>
          </cell>
          <cell r="B15681" t="str">
            <v>202-00001-009-0000</v>
          </cell>
          <cell r="J15681">
            <v>-1084242.26</v>
          </cell>
        </row>
        <row r="15682">
          <cell r="A15682" t="str">
            <v>CIV</v>
          </cell>
          <cell r="B15682" t="str">
            <v>202-00001-009-2300</v>
          </cell>
          <cell r="J15682">
            <v>-51039</v>
          </cell>
        </row>
        <row r="15683">
          <cell r="A15683" t="str">
            <v>CIV</v>
          </cell>
          <cell r="B15683" t="str">
            <v>202-00001-009-2304</v>
          </cell>
          <cell r="J15683">
            <v>-228203.26</v>
          </cell>
        </row>
        <row r="15684">
          <cell r="A15684" t="str">
            <v>CIV</v>
          </cell>
          <cell r="B15684" t="str">
            <v>202-00001-009-2305</v>
          </cell>
          <cell r="J15684">
            <v>0</v>
          </cell>
        </row>
        <row r="15685">
          <cell r="A15685" t="str">
            <v>CIV</v>
          </cell>
          <cell r="B15685" t="str">
            <v>202-00001-009-2872</v>
          </cell>
          <cell r="J15685">
            <v>-805000</v>
          </cell>
        </row>
        <row r="15686">
          <cell r="A15686" t="str">
            <v>CIV</v>
          </cell>
          <cell r="B15686" t="str">
            <v>301-00000-000-0000</v>
          </cell>
          <cell r="J15686">
            <v>-31685748.449999999</v>
          </cell>
        </row>
        <row r="15687">
          <cell r="A15687" t="str">
            <v>CIV</v>
          </cell>
          <cell r="B15687" t="str">
            <v>301-00001-000-0000</v>
          </cell>
          <cell r="J15687">
            <v>-60000</v>
          </cell>
        </row>
        <row r="15688">
          <cell r="A15688" t="str">
            <v>CIV</v>
          </cell>
          <cell r="B15688" t="str">
            <v>301-00001-001-0000</v>
          </cell>
          <cell r="J15688">
            <v>-50000</v>
          </cell>
        </row>
        <row r="15689">
          <cell r="A15689" t="str">
            <v>CIV</v>
          </cell>
          <cell r="B15689" t="str">
            <v>301-00001-002-0000</v>
          </cell>
          <cell r="J15689">
            <v>-10000</v>
          </cell>
        </row>
        <row r="15690">
          <cell r="A15690" t="str">
            <v>CIV</v>
          </cell>
          <cell r="B15690" t="str">
            <v>301-00004-000-0000</v>
          </cell>
          <cell r="J15690">
            <v>-31625748.449999999</v>
          </cell>
        </row>
        <row r="15691">
          <cell r="A15691" t="str">
            <v>CIV</v>
          </cell>
          <cell r="B15691" t="str">
            <v>301-00004-004-0000</v>
          </cell>
          <cell r="J15691">
            <v>-12441.78</v>
          </cell>
        </row>
        <row r="15692">
          <cell r="A15692" t="str">
            <v>CIV</v>
          </cell>
          <cell r="B15692" t="str">
            <v>301-00004-005-0000</v>
          </cell>
          <cell r="J15692">
            <v>-229903.81</v>
          </cell>
        </row>
        <row r="15693">
          <cell r="A15693" t="str">
            <v>CIV</v>
          </cell>
          <cell r="B15693" t="str">
            <v>301-00004-006-0000</v>
          </cell>
          <cell r="J15693">
            <v>-11658017.720000001</v>
          </cell>
        </row>
        <row r="15694">
          <cell r="A15694" t="str">
            <v>CIV</v>
          </cell>
          <cell r="B15694" t="str">
            <v>301-00004-007-0000</v>
          </cell>
          <cell r="J15694">
            <v>-1991109.97</v>
          </cell>
        </row>
        <row r="15695">
          <cell r="A15695" t="str">
            <v>CIV</v>
          </cell>
          <cell r="B15695" t="str">
            <v>301-00004-008-0000</v>
          </cell>
          <cell r="J15695">
            <v>-2060541.05</v>
          </cell>
        </row>
        <row r="15696">
          <cell r="A15696" t="str">
            <v>CIV</v>
          </cell>
          <cell r="B15696" t="str">
            <v>301-00004-009-0000</v>
          </cell>
          <cell r="J15696">
            <v>-1478548.27</v>
          </cell>
        </row>
        <row r="15697">
          <cell r="A15697" t="str">
            <v>CIV</v>
          </cell>
          <cell r="B15697" t="str">
            <v>301-00004-010-0000</v>
          </cell>
          <cell r="J15697">
            <v>-2093698.88</v>
          </cell>
        </row>
        <row r="15698">
          <cell r="A15698" t="str">
            <v>CIV</v>
          </cell>
          <cell r="B15698" t="str">
            <v>301-00004-011-0000</v>
          </cell>
          <cell r="J15698">
            <v>-1910962.22</v>
          </cell>
        </row>
        <row r="15699">
          <cell r="A15699" t="str">
            <v>CIV</v>
          </cell>
          <cell r="B15699" t="str">
            <v>301-00004-012-0000</v>
          </cell>
          <cell r="J15699">
            <v>-924746</v>
          </cell>
        </row>
        <row r="15700">
          <cell r="A15700" t="str">
            <v>CIV</v>
          </cell>
          <cell r="B15700" t="str">
            <v>301-00004-013-0000</v>
          </cell>
          <cell r="J15700">
            <v>-16184961.689999999</v>
          </cell>
        </row>
        <row r="15701">
          <cell r="A15701" t="str">
            <v>CIV</v>
          </cell>
          <cell r="B15701" t="str">
            <v>301-00004-014-0000</v>
          </cell>
          <cell r="J15701">
            <v>-672384.37</v>
          </cell>
        </row>
        <row r="15702">
          <cell r="A15702" t="str">
            <v>CIV</v>
          </cell>
          <cell r="B15702" t="str">
            <v>301-00004-015-0000</v>
          </cell>
          <cell r="J15702">
            <v>-682083.9</v>
          </cell>
        </row>
        <row r="15703">
          <cell r="A15703" t="str">
            <v>CIV</v>
          </cell>
          <cell r="B15703" t="str">
            <v>301-00004-016-0000</v>
          </cell>
          <cell r="J15703">
            <v>9118806.4900000002</v>
          </cell>
        </row>
        <row r="15704">
          <cell r="A15704" t="str">
            <v>CIV</v>
          </cell>
          <cell r="B15704" t="str">
            <v>301-00004-017-0000</v>
          </cell>
          <cell r="J15704">
            <v>-845155.28</v>
          </cell>
        </row>
        <row r="15705">
          <cell r="A15705" t="str">
            <v>CIV</v>
          </cell>
          <cell r="B15705" t="str">
            <v>410-00000-000-0000</v>
          </cell>
          <cell r="J15705">
            <v>-15092162.640000001</v>
          </cell>
        </row>
        <row r="15706">
          <cell r="A15706" t="str">
            <v>CIV</v>
          </cell>
          <cell r="B15706" t="str">
            <v>410-26001-000-0000</v>
          </cell>
          <cell r="J15706">
            <v>-6951600</v>
          </cell>
        </row>
        <row r="15707">
          <cell r="A15707" t="str">
            <v>CIV</v>
          </cell>
          <cell r="B15707" t="str">
            <v>410-26001-002-0000</v>
          </cell>
          <cell r="J15707">
            <v>-6951600</v>
          </cell>
        </row>
        <row r="15708">
          <cell r="A15708" t="str">
            <v>CIV</v>
          </cell>
          <cell r="B15708" t="str">
            <v>410-26001-002-2533</v>
          </cell>
          <cell r="J15708">
            <v>-6951600</v>
          </cell>
        </row>
        <row r="15709">
          <cell r="A15709" t="str">
            <v>CIV</v>
          </cell>
          <cell r="B15709" t="str">
            <v>410-26029-000-0000</v>
          </cell>
          <cell r="J15709">
            <v>-1914625.68</v>
          </cell>
        </row>
        <row r="15710">
          <cell r="A15710" t="str">
            <v>CIV</v>
          </cell>
          <cell r="B15710" t="str">
            <v>410-26029-002-0000</v>
          </cell>
          <cell r="J15710">
            <v>-1914625.68</v>
          </cell>
        </row>
        <row r="15711">
          <cell r="A15711" t="str">
            <v>CIV</v>
          </cell>
          <cell r="B15711" t="str">
            <v>410-26029-002-0956</v>
          </cell>
          <cell r="J15711">
            <v>-1914625.68</v>
          </cell>
        </row>
        <row r="15712">
          <cell r="A15712" t="str">
            <v>CIV</v>
          </cell>
          <cell r="B15712" t="str">
            <v>410-26033-000-0000</v>
          </cell>
          <cell r="J15712">
            <v>-1334642.6499999999</v>
          </cell>
        </row>
        <row r="15713">
          <cell r="A15713" t="str">
            <v>CIV</v>
          </cell>
          <cell r="B15713" t="str">
            <v>410-26033-002-0000</v>
          </cell>
          <cell r="J15713">
            <v>-1334642.6499999999</v>
          </cell>
        </row>
        <row r="15714">
          <cell r="A15714" t="str">
            <v>CIV</v>
          </cell>
          <cell r="B15714" t="str">
            <v>410-26033-002-0956</v>
          </cell>
          <cell r="J15714">
            <v>-1334642.6499999999</v>
          </cell>
        </row>
        <row r="15715">
          <cell r="A15715" t="str">
            <v>CIV</v>
          </cell>
          <cell r="B15715" t="str">
            <v>410-26301-000-0000</v>
          </cell>
          <cell r="J15715">
            <v>-1143850.8500000001</v>
          </cell>
        </row>
        <row r="15716">
          <cell r="A15716" t="str">
            <v>CIV</v>
          </cell>
          <cell r="B15716" t="str">
            <v>410-26301-002-0000</v>
          </cell>
          <cell r="J15716">
            <v>-1143850.8500000001</v>
          </cell>
        </row>
        <row r="15717">
          <cell r="A15717" t="str">
            <v>CIV</v>
          </cell>
          <cell r="B15717" t="str">
            <v>410-26301-002-2533</v>
          </cell>
          <cell r="J15717">
            <v>-1143850.8500000001</v>
          </cell>
        </row>
        <row r="15718">
          <cell r="A15718" t="str">
            <v>CIV</v>
          </cell>
          <cell r="B15718" t="str">
            <v>410-26361-000-0000</v>
          </cell>
          <cell r="J15718">
            <v>-2389394.88</v>
          </cell>
        </row>
        <row r="15719">
          <cell r="A15719" t="str">
            <v>CIV</v>
          </cell>
          <cell r="B15719" t="str">
            <v>410-26361-002-0000</v>
          </cell>
          <cell r="J15719">
            <v>-2389394.88</v>
          </cell>
        </row>
        <row r="15720">
          <cell r="A15720" t="str">
            <v>CIV</v>
          </cell>
          <cell r="B15720" t="str">
            <v>410-26361-002-2533</v>
          </cell>
          <cell r="J15720">
            <v>-2389394.88</v>
          </cell>
        </row>
        <row r="15721">
          <cell r="A15721" t="str">
            <v>CIV</v>
          </cell>
          <cell r="B15721" t="str">
            <v>410-26362-000-0000</v>
          </cell>
          <cell r="J15721">
            <v>-105833.94</v>
          </cell>
        </row>
        <row r="15722">
          <cell r="A15722" t="str">
            <v>CIV</v>
          </cell>
          <cell r="B15722" t="str">
            <v>410-26362-002-0000</v>
          </cell>
          <cell r="J15722">
            <v>-105833.94</v>
          </cell>
        </row>
        <row r="15723">
          <cell r="A15723" t="str">
            <v>CIV</v>
          </cell>
          <cell r="B15723" t="str">
            <v>410-26362-002-2533</v>
          </cell>
          <cell r="J15723">
            <v>-105833.94</v>
          </cell>
        </row>
        <row r="15724">
          <cell r="A15724" t="str">
            <v>CIV</v>
          </cell>
          <cell r="B15724" t="str">
            <v>410-26401-000-0000</v>
          </cell>
          <cell r="J15724">
            <v>-53742.400000000001</v>
          </cell>
        </row>
        <row r="15725">
          <cell r="A15725" t="str">
            <v>CIV</v>
          </cell>
          <cell r="B15725" t="str">
            <v>410-26401-002-0000</v>
          </cell>
          <cell r="J15725">
            <v>-53742.400000000001</v>
          </cell>
        </row>
        <row r="15726">
          <cell r="A15726" t="str">
            <v>CIV</v>
          </cell>
          <cell r="B15726" t="str">
            <v>410-26401-002-2347</v>
          </cell>
          <cell r="J15726">
            <v>-53742.400000000001</v>
          </cell>
        </row>
        <row r="15727">
          <cell r="A15727" t="str">
            <v>CIV</v>
          </cell>
          <cell r="B15727" t="str">
            <v>410-26403-000-0000</v>
          </cell>
          <cell r="J15727">
            <v>-13435.6</v>
          </cell>
        </row>
        <row r="15728">
          <cell r="A15728" t="str">
            <v>CIV</v>
          </cell>
          <cell r="B15728" t="str">
            <v>410-26403-002-0000</v>
          </cell>
          <cell r="J15728">
            <v>-13435.6</v>
          </cell>
        </row>
        <row r="15729">
          <cell r="A15729" t="str">
            <v>CIV</v>
          </cell>
          <cell r="B15729" t="str">
            <v>410-26403-002-0507</v>
          </cell>
          <cell r="J15729">
            <v>-13435.6</v>
          </cell>
        </row>
        <row r="15730">
          <cell r="A15730" t="str">
            <v>CIV</v>
          </cell>
          <cell r="B15730" t="str">
            <v>410-26404-000-0000</v>
          </cell>
          <cell r="J15730">
            <v>-1710</v>
          </cell>
        </row>
        <row r="15731">
          <cell r="A15731" t="str">
            <v>CIV</v>
          </cell>
          <cell r="B15731" t="str">
            <v>410-26404-002-0000</v>
          </cell>
          <cell r="J15731">
            <v>-1710</v>
          </cell>
        </row>
        <row r="15732">
          <cell r="A15732" t="str">
            <v>CIV</v>
          </cell>
          <cell r="B15732" t="str">
            <v>410-26404-002-2347</v>
          </cell>
          <cell r="J15732">
            <v>-1710</v>
          </cell>
        </row>
        <row r="15733">
          <cell r="A15733" t="str">
            <v>CIV</v>
          </cell>
          <cell r="B15733" t="str">
            <v>410-26405-000-0000</v>
          </cell>
          <cell r="J15733">
            <v>-8550</v>
          </cell>
        </row>
        <row r="15734">
          <cell r="A15734" t="str">
            <v>CIV</v>
          </cell>
          <cell r="B15734" t="str">
            <v>410-26405-002-0000</v>
          </cell>
          <cell r="J15734">
            <v>-8550</v>
          </cell>
        </row>
        <row r="15735">
          <cell r="A15735" t="str">
            <v>CIV</v>
          </cell>
          <cell r="B15735" t="str">
            <v>410-26405-002-2347</v>
          </cell>
          <cell r="J15735">
            <v>-8550</v>
          </cell>
        </row>
        <row r="15736">
          <cell r="A15736" t="str">
            <v>CIV</v>
          </cell>
          <cell r="B15736" t="str">
            <v>410-26406-000-0000</v>
          </cell>
          <cell r="J15736">
            <v>-9404.92</v>
          </cell>
        </row>
        <row r="15737">
          <cell r="A15737" t="str">
            <v>CIV</v>
          </cell>
          <cell r="B15737" t="str">
            <v>410-26406-002-0000</v>
          </cell>
          <cell r="J15737">
            <v>-9404.92</v>
          </cell>
        </row>
        <row r="15738">
          <cell r="A15738" t="str">
            <v>CIV</v>
          </cell>
          <cell r="B15738" t="str">
            <v>410-26406-002-2347</v>
          </cell>
          <cell r="J15738">
            <v>-9404.92</v>
          </cell>
        </row>
        <row r="15739">
          <cell r="A15739" t="str">
            <v>CIV</v>
          </cell>
          <cell r="B15739" t="str">
            <v>410-26407-000-0000</v>
          </cell>
          <cell r="J15739">
            <v>-26871.200000000001</v>
          </cell>
        </row>
        <row r="15740">
          <cell r="A15740" t="str">
            <v>CIV</v>
          </cell>
          <cell r="B15740" t="str">
            <v>410-26407-002-0000</v>
          </cell>
          <cell r="J15740">
            <v>-26871.200000000001</v>
          </cell>
        </row>
        <row r="15741">
          <cell r="A15741" t="str">
            <v>CIV</v>
          </cell>
          <cell r="B15741" t="str">
            <v>410-26407-002-2347</v>
          </cell>
          <cell r="J15741">
            <v>-26871.200000000001</v>
          </cell>
        </row>
        <row r="15742">
          <cell r="A15742" t="str">
            <v>CIV</v>
          </cell>
          <cell r="B15742" t="str">
            <v>410-26408-000-0000</v>
          </cell>
          <cell r="J15742">
            <v>-30901.88</v>
          </cell>
        </row>
        <row r="15743">
          <cell r="A15743" t="str">
            <v>CIV</v>
          </cell>
          <cell r="B15743" t="str">
            <v>410-26408-002-0000</v>
          </cell>
          <cell r="J15743">
            <v>-30901.88</v>
          </cell>
        </row>
        <row r="15744">
          <cell r="A15744" t="str">
            <v>CIV</v>
          </cell>
          <cell r="B15744" t="str">
            <v>410-26408-002-2347</v>
          </cell>
          <cell r="J15744">
            <v>-30901.88</v>
          </cell>
        </row>
        <row r="15745">
          <cell r="A15745" t="str">
            <v>CIV</v>
          </cell>
          <cell r="B15745" t="str">
            <v>410-26409-000-0000</v>
          </cell>
          <cell r="J15745">
            <v>-40306.800000000003</v>
          </cell>
        </row>
        <row r="15746">
          <cell r="A15746" t="str">
            <v>CIV</v>
          </cell>
          <cell r="B15746" t="str">
            <v>410-26409-002-0000</v>
          </cell>
          <cell r="J15746">
            <v>-40306.800000000003</v>
          </cell>
        </row>
        <row r="15747">
          <cell r="A15747" t="str">
            <v>CIV</v>
          </cell>
          <cell r="B15747" t="str">
            <v>410-26409-002-2347</v>
          </cell>
          <cell r="J15747">
            <v>-40306.800000000003</v>
          </cell>
        </row>
        <row r="15748">
          <cell r="A15748" t="str">
            <v>CIV</v>
          </cell>
          <cell r="B15748" t="str">
            <v>410-26410-000-0000</v>
          </cell>
          <cell r="J15748">
            <v>-20153.400000000001</v>
          </cell>
        </row>
        <row r="15749">
          <cell r="A15749" t="str">
            <v>CIV</v>
          </cell>
          <cell r="B15749" t="str">
            <v>410-26410-002-0000</v>
          </cell>
          <cell r="J15749">
            <v>-20153.400000000001</v>
          </cell>
        </row>
        <row r="15750">
          <cell r="A15750" t="str">
            <v>CIV</v>
          </cell>
          <cell r="B15750" t="str">
            <v>410-26410-002-2347</v>
          </cell>
          <cell r="J15750">
            <v>-20153.400000000001</v>
          </cell>
        </row>
        <row r="15751">
          <cell r="A15751" t="str">
            <v>CIV</v>
          </cell>
          <cell r="B15751" t="str">
            <v>410-26411-000-0000</v>
          </cell>
          <cell r="J15751">
            <v>-13435.6</v>
          </cell>
        </row>
        <row r="15752">
          <cell r="A15752" t="str">
            <v>CIV</v>
          </cell>
          <cell r="B15752" t="str">
            <v>410-26411-002-0000</v>
          </cell>
          <cell r="J15752">
            <v>-13435.6</v>
          </cell>
        </row>
        <row r="15753">
          <cell r="A15753" t="str">
            <v>CIV</v>
          </cell>
          <cell r="B15753" t="str">
            <v>410-26411-002-2347</v>
          </cell>
          <cell r="J15753">
            <v>-13435.6</v>
          </cell>
        </row>
        <row r="15754">
          <cell r="A15754" t="str">
            <v>CIV</v>
          </cell>
          <cell r="B15754" t="str">
            <v>410-26412-000-0000</v>
          </cell>
          <cell r="J15754">
            <v>-6717.8</v>
          </cell>
        </row>
        <row r="15755">
          <cell r="A15755" t="str">
            <v>CIV</v>
          </cell>
          <cell r="B15755" t="str">
            <v>410-26412-002-0000</v>
          </cell>
          <cell r="J15755">
            <v>-6717.8</v>
          </cell>
        </row>
        <row r="15756">
          <cell r="A15756" t="str">
            <v>CIV</v>
          </cell>
          <cell r="B15756" t="str">
            <v>410-26412-002-2347</v>
          </cell>
          <cell r="J15756">
            <v>-6717.8</v>
          </cell>
        </row>
        <row r="15757">
          <cell r="A15757" t="str">
            <v>CIV</v>
          </cell>
          <cell r="B15757" t="str">
            <v>410-26413-000-0000</v>
          </cell>
          <cell r="J15757">
            <v>-6717.8</v>
          </cell>
        </row>
        <row r="15758">
          <cell r="A15758" t="str">
            <v>CIV</v>
          </cell>
          <cell r="B15758" t="str">
            <v>410-26413-002-0000</v>
          </cell>
          <cell r="J15758">
            <v>-6717.8</v>
          </cell>
        </row>
        <row r="15759">
          <cell r="A15759" t="str">
            <v>CIV</v>
          </cell>
          <cell r="B15759" t="str">
            <v>410-26413-002-2347</v>
          </cell>
          <cell r="J15759">
            <v>-6717.8</v>
          </cell>
        </row>
        <row r="15760">
          <cell r="A15760" t="str">
            <v>CIV</v>
          </cell>
          <cell r="B15760" t="str">
            <v>410-26414-000-0000</v>
          </cell>
          <cell r="J15760">
            <v>-1343.56</v>
          </cell>
        </row>
        <row r="15761">
          <cell r="A15761" t="str">
            <v>CIV</v>
          </cell>
          <cell r="B15761" t="str">
            <v>410-26414-002-0000</v>
          </cell>
          <cell r="J15761">
            <v>-1343.56</v>
          </cell>
        </row>
        <row r="15762">
          <cell r="A15762" t="str">
            <v>CIV</v>
          </cell>
          <cell r="B15762" t="str">
            <v>410-26414-002-2347</v>
          </cell>
          <cell r="J15762">
            <v>-1343.56</v>
          </cell>
        </row>
        <row r="15763">
          <cell r="A15763" t="str">
            <v>CIV</v>
          </cell>
          <cell r="B15763" t="str">
            <v>410-26415-000-0000</v>
          </cell>
          <cell r="J15763">
            <v>-12092.04</v>
          </cell>
        </row>
        <row r="15764">
          <cell r="A15764" t="str">
            <v>CIV</v>
          </cell>
          <cell r="B15764" t="str">
            <v>410-26415-002-0000</v>
          </cell>
          <cell r="J15764">
            <v>-12092.04</v>
          </cell>
        </row>
        <row r="15765">
          <cell r="A15765" t="str">
            <v>CIV</v>
          </cell>
          <cell r="B15765" t="str">
            <v>410-26415-002-2347</v>
          </cell>
          <cell r="J15765">
            <v>-12092.04</v>
          </cell>
        </row>
        <row r="15766">
          <cell r="A15766" t="str">
            <v>CIV</v>
          </cell>
          <cell r="B15766" t="str">
            <v>410-26416-000-0000</v>
          </cell>
          <cell r="J15766">
            <v>-36276.120000000003</v>
          </cell>
        </row>
        <row r="15767">
          <cell r="A15767" t="str">
            <v>CIV</v>
          </cell>
          <cell r="B15767" t="str">
            <v>410-26416-002-0000</v>
          </cell>
          <cell r="J15767">
            <v>-36276.120000000003</v>
          </cell>
        </row>
        <row r="15768">
          <cell r="A15768" t="str">
            <v>CIV</v>
          </cell>
          <cell r="B15768" t="str">
            <v>410-26416-002-2347</v>
          </cell>
          <cell r="J15768">
            <v>-36276.120000000003</v>
          </cell>
        </row>
        <row r="15769">
          <cell r="A15769" t="str">
            <v>CIV</v>
          </cell>
          <cell r="B15769" t="str">
            <v>410-26417-000-0000</v>
          </cell>
          <cell r="J15769">
            <v>-8061.36</v>
          </cell>
        </row>
        <row r="15770">
          <cell r="A15770" t="str">
            <v>CIV</v>
          </cell>
          <cell r="B15770" t="str">
            <v>410-26417-002-0000</v>
          </cell>
          <cell r="J15770">
            <v>-8061.36</v>
          </cell>
        </row>
        <row r="15771">
          <cell r="A15771" t="str">
            <v>CIV</v>
          </cell>
          <cell r="B15771" t="str">
            <v>410-26417-002-2347</v>
          </cell>
          <cell r="J15771">
            <v>-8061.36</v>
          </cell>
        </row>
        <row r="15772">
          <cell r="A15772" t="str">
            <v>CIV</v>
          </cell>
          <cell r="B15772" t="str">
            <v>410-26418-000-0000</v>
          </cell>
          <cell r="J15772">
            <v>-53742.400000000001</v>
          </cell>
        </row>
        <row r="15773">
          <cell r="A15773" t="str">
            <v>CIV</v>
          </cell>
          <cell r="B15773" t="str">
            <v>410-26418-002-0000</v>
          </cell>
          <cell r="J15773">
            <v>-53742.400000000001</v>
          </cell>
        </row>
        <row r="15774">
          <cell r="A15774" t="str">
            <v>CIV</v>
          </cell>
          <cell r="B15774" t="str">
            <v>410-26418-002-0507</v>
          </cell>
          <cell r="J15774">
            <v>-53742.400000000001</v>
          </cell>
        </row>
        <row r="15775">
          <cell r="A15775" t="str">
            <v>CIV</v>
          </cell>
          <cell r="B15775" t="str">
            <v>410-26419-000-0000</v>
          </cell>
          <cell r="J15775">
            <v>-16122.72</v>
          </cell>
        </row>
        <row r="15776">
          <cell r="A15776" t="str">
            <v>CIV</v>
          </cell>
          <cell r="B15776" t="str">
            <v>410-26419-002-0000</v>
          </cell>
          <cell r="J15776">
            <v>-16122.72</v>
          </cell>
        </row>
        <row r="15777">
          <cell r="A15777" t="str">
            <v>CIV</v>
          </cell>
          <cell r="B15777" t="str">
            <v>410-26419-002-2347</v>
          </cell>
          <cell r="J15777">
            <v>-16122.72</v>
          </cell>
        </row>
        <row r="15778">
          <cell r="A15778" t="str">
            <v>CIV</v>
          </cell>
          <cell r="B15778" t="str">
            <v>410-26420-000-0000</v>
          </cell>
          <cell r="J15778">
            <v>-13435.6</v>
          </cell>
        </row>
        <row r="15779">
          <cell r="A15779" t="str">
            <v>CIV</v>
          </cell>
          <cell r="B15779" t="str">
            <v>410-26420-002-0000</v>
          </cell>
          <cell r="J15779">
            <v>-13435.6</v>
          </cell>
        </row>
        <row r="15780">
          <cell r="A15780" t="str">
            <v>CIV</v>
          </cell>
          <cell r="B15780" t="str">
            <v>410-26420-002-2347</v>
          </cell>
          <cell r="J15780">
            <v>-13435.6</v>
          </cell>
        </row>
        <row r="15781">
          <cell r="A15781" t="str">
            <v>CIV</v>
          </cell>
          <cell r="B15781" t="str">
            <v>410-26421-000-0000</v>
          </cell>
          <cell r="J15781">
            <v>-20153.400000000001</v>
          </cell>
        </row>
        <row r="15782">
          <cell r="A15782" t="str">
            <v>CIV</v>
          </cell>
          <cell r="B15782" t="str">
            <v>410-26421-002-0000</v>
          </cell>
          <cell r="J15782">
            <v>-20153.400000000001</v>
          </cell>
        </row>
        <row r="15783">
          <cell r="A15783" t="str">
            <v>CIV</v>
          </cell>
          <cell r="B15783" t="str">
            <v>410-26421-002-2347</v>
          </cell>
          <cell r="J15783">
            <v>-20153.400000000001</v>
          </cell>
        </row>
        <row r="15784">
          <cell r="A15784" t="str">
            <v>CIV</v>
          </cell>
          <cell r="B15784" t="str">
            <v>410-26422-000-0000</v>
          </cell>
          <cell r="J15784">
            <v>-67178</v>
          </cell>
        </row>
        <row r="15785">
          <cell r="A15785" t="str">
            <v>CIV</v>
          </cell>
          <cell r="B15785" t="str">
            <v>410-26422-002-0000</v>
          </cell>
          <cell r="J15785">
            <v>-67178</v>
          </cell>
        </row>
        <row r="15786">
          <cell r="A15786" t="str">
            <v>CIV</v>
          </cell>
          <cell r="B15786" t="str">
            <v>410-26422-002-2347</v>
          </cell>
          <cell r="J15786">
            <v>-67178</v>
          </cell>
        </row>
        <row r="15787">
          <cell r="A15787" t="str">
            <v>CIV</v>
          </cell>
          <cell r="B15787" t="str">
            <v>410-26423-000-0000</v>
          </cell>
          <cell r="J15787">
            <v>-20153.400000000001</v>
          </cell>
        </row>
        <row r="15788">
          <cell r="A15788" t="str">
            <v>CIV</v>
          </cell>
          <cell r="B15788" t="str">
            <v>410-26423-002-0000</v>
          </cell>
          <cell r="J15788">
            <v>-20153.400000000001</v>
          </cell>
        </row>
        <row r="15789">
          <cell r="A15789" t="str">
            <v>CIV</v>
          </cell>
          <cell r="B15789" t="str">
            <v>410-26423-002-2347</v>
          </cell>
          <cell r="J15789">
            <v>-20153.400000000001</v>
          </cell>
        </row>
        <row r="15790">
          <cell r="A15790" t="str">
            <v>CIV</v>
          </cell>
          <cell r="B15790" t="str">
            <v>410-26424-000-0000</v>
          </cell>
          <cell r="J15790">
            <v>-26871.200000000001</v>
          </cell>
        </row>
        <row r="15791">
          <cell r="A15791" t="str">
            <v>CIV</v>
          </cell>
          <cell r="B15791" t="str">
            <v>410-26424-002-0000</v>
          </cell>
          <cell r="J15791">
            <v>-26871.200000000001</v>
          </cell>
        </row>
        <row r="15792">
          <cell r="A15792" t="str">
            <v>CIV</v>
          </cell>
          <cell r="B15792" t="str">
            <v>410-26424-002-2347</v>
          </cell>
          <cell r="J15792">
            <v>-26871.200000000001</v>
          </cell>
        </row>
        <row r="15793">
          <cell r="A15793" t="str">
            <v>CIV</v>
          </cell>
          <cell r="B15793" t="str">
            <v>410-26425-000-0000</v>
          </cell>
          <cell r="J15793">
            <v>-8061.36</v>
          </cell>
        </row>
        <row r="15794">
          <cell r="A15794" t="str">
            <v>CIV</v>
          </cell>
          <cell r="B15794" t="str">
            <v>410-26425-002-0000</v>
          </cell>
          <cell r="J15794">
            <v>-8061.36</v>
          </cell>
        </row>
        <row r="15795">
          <cell r="A15795" t="str">
            <v>CIV</v>
          </cell>
          <cell r="B15795" t="str">
            <v>410-26425-002-2347</v>
          </cell>
          <cell r="J15795">
            <v>-8061.36</v>
          </cell>
        </row>
        <row r="15796">
          <cell r="A15796" t="str">
            <v>CIV</v>
          </cell>
          <cell r="B15796" t="str">
            <v>410-26426-000-0000</v>
          </cell>
          <cell r="J15796">
            <v>-6717.8</v>
          </cell>
        </row>
        <row r="15797">
          <cell r="A15797" t="str">
            <v>CIV</v>
          </cell>
          <cell r="B15797" t="str">
            <v>410-26426-002-0000</v>
          </cell>
          <cell r="J15797">
            <v>-6717.8</v>
          </cell>
        </row>
        <row r="15798">
          <cell r="A15798" t="str">
            <v>CIV</v>
          </cell>
          <cell r="B15798" t="str">
            <v>410-26426-002-2347</v>
          </cell>
          <cell r="J15798">
            <v>-6717.8</v>
          </cell>
        </row>
        <row r="15799">
          <cell r="A15799" t="str">
            <v>CIV</v>
          </cell>
          <cell r="B15799" t="str">
            <v>410-26427-000-0000</v>
          </cell>
          <cell r="J15799">
            <v>-40306.800000000003</v>
          </cell>
        </row>
        <row r="15800">
          <cell r="A15800" t="str">
            <v>CIV</v>
          </cell>
          <cell r="B15800" t="str">
            <v>410-26427-002-0000</v>
          </cell>
          <cell r="J15800">
            <v>-40306.800000000003</v>
          </cell>
        </row>
        <row r="15801">
          <cell r="A15801" t="str">
            <v>CIV</v>
          </cell>
          <cell r="B15801" t="str">
            <v>410-26427-002-2347</v>
          </cell>
          <cell r="J15801">
            <v>-40306.800000000003</v>
          </cell>
        </row>
        <row r="15802">
          <cell r="A15802" t="str">
            <v>CIV</v>
          </cell>
          <cell r="B15802" t="str">
            <v>410-26428-000-0000</v>
          </cell>
          <cell r="J15802">
            <v>-6717.8</v>
          </cell>
        </row>
        <row r="15803">
          <cell r="A15803" t="str">
            <v>CIV</v>
          </cell>
          <cell r="B15803" t="str">
            <v>410-26428-002-0000</v>
          </cell>
          <cell r="J15803">
            <v>-6717.8</v>
          </cell>
        </row>
        <row r="15804">
          <cell r="A15804" t="str">
            <v>CIV</v>
          </cell>
          <cell r="B15804" t="str">
            <v>410-26428-002-2347</v>
          </cell>
          <cell r="J15804">
            <v>-6717.8</v>
          </cell>
        </row>
        <row r="15805">
          <cell r="A15805" t="str">
            <v>CIV</v>
          </cell>
          <cell r="B15805" t="str">
            <v>410-26429-000-0000</v>
          </cell>
          <cell r="J15805">
            <v>-6717.8</v>
          </cell>
        </row>
        <row r="15806">
          <cell r="A15806" t="str">
            <v>CIV</v>
          </cell>
          <cell r="B15806" t="str">
            <v>410-26429-002-0000</v>
          </cell>
          <cell r="J15806">
            <v>-6717.8</v>
          </cell>
        </row>
        <row r="15807">
          <cell r="A15807" t="str">
            <v>CIV</v>
          </cell>
          <cell r="B15807" t="str">
            <v>410-26429-002-2347</v>
          </cell>
          <cell r="J15807">
            <v>-6717.8</v>
          </cell>
        </row>
        <row r="15808">
          <cell r="A15808" t="str">
            <v>CIV</v>
          </cell>
          <cell r="B15808" t="str">
            <v>410-26430-000-0000</v>
          </cell>
          <cell r="J15808">
            <v>-6717.8</v>
          </cell>
        </row>
        <row r="15809">
          <cell r="A15809" t="str">
            <v>CIV</v>
          </cell>
          <cell r="B15809" t="str">
            <v>410-26430-002-0000</v>
          </cell>
          <cell r="J15809">
            <v>-6717.8</v>
          </cell>
        </row>
        <row r="15810">
          <cell r="A15810" t="str">
            <v>CIV</v>
          </cell>
          <cell r="B15810" t="str">
            <v>410-26430-002-2347</v>
          </cell>
          <cell r="J15810">
            <v>-6717.8</v>
          </cell>
        </row>
        <row r="15811">
          <cell r="A15811" t="str">
            <v>CIV</v>
          </cell>
          <cell r="B15811" t="str">
            <v>410-26431-000-0000</v>
          </cell>
          <cell r="J15811">
            <v>-40306.800000000003</v>
          </cell>
        </row>
        <row r="15812">
          <cell r="A15812" t="str">
            <v>CIV</v>
          </cell>
          <cell r="B15812" t="str">
            <v>410-26431-002-0000</v>
          </cell>
          <cell r="J15812">
            <v>-40306.800000000003</v>
          </cell>
        </row>
        <row r="15813">
          <cell r="A15813" t="str">
            <v>CIV</v>
          </cell>
          <cell r="B15813" t="str">
            <v>410-26431-002-2347</v>
          </cell>
          <cell r="J15813">
            <v>-40306.800000000003</v>
          </cell>
        </row>
        <row r="15814">
          <cell r="A15814" t="str">
            <v>CIV</v>
          </cell>
          <cell r="B15814" t="str">
            <v>410-26432-000-0000</v>
          </cell>
          <cell r="J15814">
            <v>-26871.200000000001</v>
          </cell>
        </row>
        <row r="15815">
          <cell r="A15815" t="str">
            <v>CIV</v>
          </cell>
          <cell r="B15815" t="str">
            <v>410-26432-002-0000</v>
          </cell>
          <cell r="J15815">
            <v>-26871.200000000001</v>
          </cell>
        </row>
        <row r="15816">
          <cell r="A15816" t="str">
            <v>CIV</v>
          </cell>
          <cell r="B15816" t="str">
            <v>410-26432-002-2347</v>
          </cell>
          <cell r="J15816">
            <v>-26871.200000000001</v>
          </cell>
        </row>
        <row r="15817">
          <cell r="A15817" t="str">
            <v>CIV</v>
          </cell>
          <cell r="B15817" t="str">
            <v>410-26433-000-0000</v>
          </cell>
          <cell r="J15817">
            <v>-2687.12</v>
          </cell>
        </row>
        <row r="15818">
          <cell r="A15818" t="str">
            <v>CIV</v>
          </cell>
          <cell r="B15818" t="str">
            <v>410-26433-002-0000</v>
          </cell>
          <cell r="J15818">
            <v>-2687.12</v>
          </cell>
        </row>
        <row r="15819">
          <cell r="A15819" t="str">
            <v>CIV</v>
          </cell>
          <cell r="B15819" t="str">
            <v>410-26433-002-2347</v>
          </cell>
          <cell r="J15819">
            <v>-2687.12</v>
          </cell>
        </row>
        <row r="15820">
          <cell r="A15820" t="str">
            <v>CIV</v>
          </cell>
          <cell r="B15820" t="str">
            <v>410-26434-000-0000</v>
          </cell>
          <cell r="J15820">
            <v>-2687.12</v>
          </cell>
        </row>
        <row r="15821">
          <cell r="A15821" t="str">
            <v>CIV</v>
          </cell>
          <cell r="B15821" t="str">
            <v>410-26434-002-0000</v>
          </cell>
          <cell r="J15821">
            <v>-2687.12</v>
          </cell>
        </row>
        <row r="15822">
          <cell r="A15822" t="str">
            <v>CIV</v>
          </cell>
          <cell r="B15822" t="str">
            <v>410-26434-002-2347</v>
          </cell>
          <cell r="J15822">
            <v>-2687.12</v>
          </cell>
        </row>
        <row r="15823">
          <cell r="A15823" t="str">
            <v>CIV</v>
          </cell>
          <cell r="B15823" t="str">
            <v>410-26435-000-0000</v>
          </cell>
          <cell r="J15823">
            <v>-1474</v>
          </cell>
        </row>
        <row r="15824">
          <cell r="A15824" t="str">
            <v>CIV</v>
          </cell>
          <cell r="B15824" t="str">
            <v>410-26435-002-0000</v>
          </cell>
          <cell r="J15824">
            <v>-1474</v>
          </cell>
        </row>
        <row r="15825">
          <cell r="A15825" t="str">
            <v>CIV</v>
          </cell>
          <cell r="B15825" t="str">
            <v>410-26435-002-2347</v>
          </cell>
          <cell r="J15825">
            <v>-1474</v>
          </cell>
        </row>
        <row r="15826">
          <cell r="A15826" t="str">
            <v>CIV</v>
          </cell>
          <cell r="B15826" t="str">
            <v>410-26436-000-0000</v>
          </cell>
          <cell r="J15826">
            <v>-20153.400000000001</v>
          </cell>
        </row>
        <row r="15827">
          <cell r="A15827" t="str">
            <v>CIV</v>
          </cell>
          <cell r="B15827" t="str">
            <v>410-26436-002-0000</v>
          </cell>
          <cell r="J15827">
            <v>-20153.400000000001</v>
          </cell>
        </row>
        <row r="15828">
          <cell r="A15828" t="str">
            <v>CIV</v>
          </cell>
          <cell r="B15828" t="str">
            <v>410-26436-002-2347</v>
          </cell>
          <cell r="J15828">
            <v>-20153.400000000001</v>
          </cell>
        </row>
        <row r="15829">
          <cell r="A15829" t="str">
            <v>CIV</v>
          </cell>
          <cell r="B15829" t="str">
            <v>410-26438-000-0000</v>
          </cell>
          <cell r="J15829">
            <v>-13435.6</v>
          </cell>
        </row>
        <row r="15830">
          <cell r="A15830" t="str">
            <v>CIV</v>
          </cell>
          <cell r="B15830" t="str">
            <v>410-26438-002-0000</v>
          </cell>
          <cell r="J15830">
            <v>-13435.6</v>
          </cell>
        </row>
        <row r="15831">
          <cell r="A15831" t="str">
            <v>CIV</v>
          </cell>
          <cell r="B15831" t="str">
            <v>410-26438-002-0507</v>
          </cell>
          <cell r="J15831">
            <v>-13435.6</v>
          </cell>
        </row>
        <row r="15832">
          <cell r="A15832" t="str">
            <v>CIV</v>
          </cell>
          <cell r="B15832" t="str">
            <v>410-26439-000-0000</v>
          </cell>
          <cell r="J15832">
            <v>-1710</v>
          </cell>
        </row>
        <row r="15833">
          <cell r="A15833" t="str">
            <v>CIV</v>
          </cell>
          <cell r="B15833" t="str">
            <v>410-26439-002-0000</v>
          </cell>
          <cell r="J15833">
            <v>-1710</v>
          </cell>
        </row>
        <row r="15834">
          <cell r="A15834" t="str">
            <v>CIV</v>
          </cell>
          <cell r="B15834" t="str">
            <v>410-26439-002-0507</v>
          </cell>
          <cell r="J15834">
            <v>-1710</v>
          </cell>
        </row>
        <row r="15835">
          <cell r="A15835" t="str">
            <v>CIV</v>
          </cell>
          <cell r="B15835" t="str">
            <v>410-26440-000-0000</v>
          </cell>
          <cell r="J15835">
            <v>-20153.400000000001</v>
          </cell>
        </row>
        <row r="15836">
          <cell r="A15836" t="str">
            <v>CIV</v>
          </cell>
          <cell r="B15836" t="str">
            <v>410-26440-002-0000</v>
          </cell>
          <cell r="J15836">
            <v>-20153.400000000001</v>
          </cell>
        </row>
        <row r="15837">
          <cell r="A15837" t="str">
            <v>CIV</v>
          </cell>
          <cell r="B15837" t="str">
            <v>410-26440-002-2347</v>
          </cell>
          <cell r="J15837">
            <v>-20153.400000000001</v>
          </cell>
        </row>
        <row r="15838">
          <cell r="A15838" t="str">
            <v>CIV</v>
          </cell>
          <cell r="B15838" t="str">
            <v>410-26441-000-0000</v>
          </cell>
          <cell r="J15838">
            <v>-6717.8</v>
          </cell>
        </row>
        <row r="15839">
          <cell r="A15839" t="str">
            <v>CIV</v>
          </cell>
          <cell r="B15839" t="str">
            <v>410-26441-002-0000</v>
          </cell>
          <cell r="J15839">
            <v>-6717.8</v>
          </cell>
        </row>
        <row r="15840">
          <cell r="A15840" t="str">
            <v>CIV</v>
          </cell>
          <cell r="B15840" t="str">
            <v>410-26441-002-2347</v>
          </cell>
          <cell r="J15840">
            <v>-6717.8</v>
          </cell>
        </row>
        <row r="15841">
          <cell r="A15841" t="str">
            <v>CIV</v>
          </cell>
          <cell r="B15841" t="str">
            <v>410-26442-000-0000</v>
          </cell>
          <cell r="J15841">
            <v>-28214.76</v>
          </cell>
        </row>
        <row r="15842">
          <cell r="A15842" t="str">
            <v>CIV</v>
          </cell>
          <cell r="B15842" t="str">
            <v>410-26442-002-0000</v>
          </cell>
          <cell r="J15842">
            <v>-28214.76</v>
          </cell>
        </row>
        <row r="15843">
          <cell r="A15843" t="str">
            <v>CIV</v>
          </cell>
          <cell r="B15843" t="str">
            <v>410-26442-002-2347</v>
          </cell>
          <cell r="J15843">
            <v>-28214.76</v>
          </cell>
        </row>
        <row r="15844">
          <cell r="A15844" t="str">
            <v>CIV</v>
          </cell>
          <cell r="B15844" t="str">
            <v>410-26443-000-0000</v>
          </cell>
          <cell r="J15844">
            <v>-6717.8</v>
          </cell>
        </row>
        <row r="15845">
          <cell r="A15845" t="str">
            <v>CIV</v>
          </cell>
          <cell r="B15845" t="str">
            <v>410-26443-002-0000</v>
          </cell>
          <cell r="J15845">
            <v>-6717.8</v>
          </cell>
        </row>
        <row r="15846">
          <cell r="A15846" t="str">
            <v>CIV</v>
          </cell>
          <cell r="B15846" t="str">
            <v>410-26443-002-2347</v>
          </cell>
          <cell r="J15846">
            <v>-6717.8</v>
          </cell>
        </row>
        <row r="15847">
          <cell r="A15847" t="str">
            <v>CIV</v>
          </cell>
          <cell r="B15847" t="str">
            <v>410-26444-000-0000</v>
          </cell>
          <cell r="J15847">
            <v>-13435.6</v>
          </cell>
        </row>
        <row r="15848">
          <cell r="A15848" t="str">
            <v>CIV</v>
          </cell>
          <cell r="B15848" t="str">
            <v>410-26444-002-0000</v>
          </cell>
          <cell r="J15848">
            <v>-13435.6</v>
          </cell>
        </row>
        <row r="15849">
          <cell r="A15849" t="str">
            <v>CIV</v>
          </cell>
          <cell r="B15849" t="str">
            <v>410-26444-002-2347</v>
          </cell>
          <cell r="J15849">
            <v>-13435.6</v>
          </cell>
        </row>
        <row r="15850">
          <cell r="A15850" t="str">
            <v>CIV</v>
          </cell>
          <cell r="B15850" t="str">
            <v>410-26445-000-0000</v>
          </cell>
          <cell r="J15850">
            <v>-13435.6</v>
          </cell>
        </row>
        <row r="15851">
          <cell r="A15851" t="str">
            <v>CIV</v>
          </cell>
          <cell r="B15851" t="str">
            <v>410-26445-002-0000</v>
          </cell>
          <cell r="J15851">
            <v>-13435.6</v>
          </cell>
        </row>
        <row r="15852">
          <cell r="A15852" t="str">
            <v>CIV</v>
          </cell>
          <cell r="B15852" t="str">
            <v>410-26445-002-2347</v>
          </cell>
          <cell r="J15852">
            <v>-13435.6</v>
          </cell>
        </row>
        <row r="15853">
          <cell r="A15853" t="str">
            <v>CIV</v>
          </cell>
          <cell r="B15853" t="str">
            <v>410-26446-000-0000</v>
          </cell>
          <cell r="J15853">
            <v>-10748.48</v>
          </cell>
        </row>
        <row r="15854">
          <cell r="A15854" t="str">
            <v>CIV</v>
          </cell>
          <cell r="B15854" t="str">
            <v>410-26446-002-0000</v>
          </cell>
          <cell r="J15854">
            <v>-10748.48</v>
          </cell>
        </row>
        <row r="15855">
          <cell r="A15855" t="str">
            <v>CIV</v>
          </cell>
          <cell r="B15855" t="str">
            <v>410-26446-002-2347</v>
          </cell>
          <cell r="J15855">
            <v>-10748.48</v>
          </cell>
        </row>
        <row r="15856">
          <cell r="A15856" t="str">
            <v>CIV</v>
          </cell>
          <cell r="B15856" t="str">
            <v>410-26447-000-0000</v>
          </cell>
          <cell r="J15856">
            <v>-40306.800000000003</v>
          </cell>
        </row>
        <row r="15857">
          <cell r="A15857" t="str">
            <v>CIV</v>
          </cell>
          <cell r="B15857" t="str">
            <v>410-26447-002-0000</v>
          </cell>
          <cell r="J15857">
            <v>-40306.800000000003</v>
          </cell>
        </row>
        <row r="15858">
          <cell r="A15858" t="str">
            <v>CIV</v>
          </cell>
          <cell r="B15858" t="str">
            <v>410-26447-002-2347</v>
          </cell>
          <cell r="J15858">
            <v>-40306.800000000003</v>
          </cell>
        </row>
        <row r="15859">
          <cell r="A15859" t="str">
            <v>CIV</v>
          </cell>
          <cell r="B15859" t="str">
            <v>410-26448-000-0000</v>
          </cell>
          <cell r="J15859">
            <v>-26871.200000000001</v>
          </cell>
        </row>
        <row r="15860">
          <cell r="A15860" t="str">
            <v>CIV</v>
          </cell>
          <cell r="B15860" t="str">
            <v>410-26448-002-0000</v>
          </cell>
          <cell r="J15860">
            <v>-26871.200000000001</v>
          </cell>
        </row>
        <row r="15861">
          <cell r="A15861" t="str">
            <v>CIV</v>
          </cell>
          <cell r="B15861" t="str">
            <v>410-26448-002-2347</v>
          </cell>
          <cell r="J15861">
            <v>-26871.200000000001</v>
          </cell>
        </row>
        <row r="15862">
          <cell r="A15862" t="str">
            <v>CIV</v>
          </cell>
          <cell r="B15862" t="str">
            <v>410-26449-000-0000</v>
          </cell>
          <cell r="J15862">
            <v>-13435.6</v>
          </cell>
        </row>
        <row r="15863">
          <cell r="A15863" t="str">
            <v>CIV</v>
          </cell>
          <cell r="B15863" t="str">
            <v>410-26449-002-0000</v>
          </cell>
          <cell r="J15863">
            <v>-13435.6</v>
          </cell>
        </row>
        <row r="15864">
          <cell r="A15864" t="str">
            <v>CIV</v>
          </cell>
          <cell r="B15864" t="str">
            <v>410-26449-002-2347</v>
          </cell>
          <cell r="J15864">
            <v>-13435.6</v>
          </cell>
        </row>
        <row r="15865">
          <cell r="A15865" t="str">
            <v>CIV</v>
          </cell>
          <cell r="B15865" t="str">
            <v>410-26450-000-0000</v>
          </cell>
          <cell r="J15865">
            <v>-20153.400000000001</v>
          </cell>
        </row>
        <row r="15866">
          <cell r="A15866" t="str">
            <v>CIV</v>
          </cell>
          <cell r="B15866" t="str">
            <v>410-26450-002-0000</v>
          </cell>
          <cell r="J15866">
            <v>-20153.400000000001</v>
          </cell>
        </row>
        <row r="15867">
          <cell r="A15867" t="str">
            <v>CIV</v>
          </cell>
          <cell r="B15867" t="str">
            <v>410-26450-002-2347</v>
          </cell>
          <cell r="J15867">
            <v>-20153.400000000001</v>
          </cell>
        </row>
        <row r="15868">
          <cell r="A15868" t="str">
            <v>CIV</v>
          </cell>
          <cell r="B15868" t="str">
            <v>410-26451-000-0000</v>
          </cell>
          <cell r="J15868">
            <v>-53742.400000000001</v>
          </cell>
        </row>
        <row r="15869">
          <cell r="A15869" t="str">
            <v>CIV</v>
          </cell>
          <cell r="B15869" t="str">
            <v>410-26451-002-0000</v>
          </cell>
          <cell r="J15869">
            <v>-53742.400000000001</v>
          </cell>
        </row>
        <row r="15870">
          <cell r="A15870" t="str">
            <v>CIV</v>
          </cell>
          <cell r="B15870" t="str">
            <v>410-26451-002-2347</v>
          </cell>
          <cell r="J15870">
            <v>-53742.400000000001</v>
          </cell>
        </row>
        <row r="15871">
          <cell r="A15871" t="str">
            <v>CIV</v>
          </cell>
          <cell r="B15871" t="str">
            <v>410-26452-000-0000</v>
          </cell>
          <cell r="J15871">
            <v>-26871.200000000001</v>
          </cell>
        </row>
        <row r="15872">
          <cell r="A15872" t="str">
            <v>CIV</v>
          </cell>
          <cell r="B15872" t="str">
            <v>410-26452-002-0000</v>
          </cell>
          <cell r="J15872">
            <v>-26871.200000000001</v>
          </cell>
        </row>
        <row r="15873">
          <cell r="A15873" t="str">
            <v>CIV</v>
          </cell>
          <cell r="B15873" t="str">
            <v>410-26452-002-2347</v>
          </cell>
          <cell r="J15873">
            <v>-26871.200000000001</v>
          </cell>
        </row>
        <row r="15874">
          <cell r="A15874" t="str">
            <v>CIV</v>
          </cell>
          <cell r="B15874" t="str">
            <v>410-26453-000-0000</v>
          </cell>
          <cell r="J15874">
            <v>-13435.6</v>
          </cell>
        </row>
        <row r="15875">
          <cell r="A15875" t="str">
            <v>CIV</v>
          </cell>
          <cell r="B15875" t="str">
            <v>410-26453-002-0000</v>
          </cell>
          <cell r="J15875">
            <v>-13435.6</v>
          </cell>
        </row>
        <row r="15876">
          <cell r="A15876" t="str">
            <v>CIV</v>
          </cell>
          <cell r="B15876" t="str">
            <v>410-26453-002-2347</v>
          </cell>
          <cell r="J15876">
            <v>-13435.6</v>
          </cell>
        </row>
        <row r="15877">
          <cell r="A15877" t="str">
            <v>CIV</v>
          </cell>
          <cell r="B15877" t="str">
            <v>410-26454-000-0000</v>
          </cell>
          <cell r="J15877">
            <v>-6717.8</v>
          </cell>
        </row>
        <row r="15878">
          <cell r="A15878" t="str">
            <v>CIV</v>
          </cell>
          <cell r="B15878" t="str">
            <v>410-26454-002-0000</v>
          </cell>
          <cell r="J15878">
            <v>-6717.8</v>
          </cell>
        </row>
        <row r="15879">
          <cell r="A15879" t="str">
            <v>CIV</v>
          </cell>
          <cell r="B15879" t="str">
            <v>410-26454-002-2347</v>
          </cell>
          <cell r="J15879">
            <v>-6717.8</v>
          </cell>
        </row>
        <row r="15880">
          <cell r="A15880" t="str">
            <v>CIV</v>
          </cell>
          <cell r="B15880" t="str">
            <v>410-26455-000-0000</v>
          </cell>
          <cell r="J15880">
            <v>-5374.24</v>
          </cell>
        </row>
        <row r="15881">
          <cell r="A15881" t="str">
            <v>CIV</v>
          </cell>
          <cell r="B15881" t="str">
            <v>410-26455-002-0000</v>
          </cell>
          <cell r="J15881">
            <v>-5374.24</v>
          </cell>
        </row>
        <row r="15882">
          <cell r="A15882" t="str">
            <v>CIV</v>
          </cell>
          <cell r="B15882" t="str">
            <v>410-26455-002-2347</v>
          </cell>
          <cell r="J15882">
            <v>-5374.24</v>
          </cell>
        </row>
        <row r="15883">
          <cell r="A15883" t="str">
            <v>CIV</v>
          </cell>
          <cell r="B15883" t="str">
            <v>410-26457-000-0000</v>
          </cell>
          <cell r="J15883">
            <v>-27726.2</v>
          </cell>
        </row>
        <row r="15884">
          <cell r="A15884" t="str">
            <v>CIV</v>
          </cell>
          <cell r="B15884" t="str">
            <v>410-26457-002-0000</v>
          </cell>
          <cell r="J15884">
            <v>-27726.2</v>
          </cell>
        </row>
        <row r="15885">
          <cell r="A15885" t="str">
            <v>CIV</v>
          </cell>
          <cell r="B15885" t="str">
            <v>410-26457-002-0507</v>
          </cell>
          <cell r="J15885">
            <v>-27726.2</v>
          </cell>
        </row>
        <row r="15886">
          <cell r="A15886" t="str">
            <v>CIV</v>
          </cell>
          <cell r="B15886" t="str">
            <v>410-26459-000-0000</v>
          </cell>
          <cell r="J15886">
            <v>-3184</v>
          </cell>
        </row>
        <row r="15887">
          <cell r="A15887" t="str">
            <v>CIV</v>
          </cell>
          <cell r="B15887" t="str">
            <v>410-26459-002-0000</v>
          </cell>
          <cell r="J15887">
            <v>-3184</v>
          </cell>
        </row>
        <row r="15888">
          <cell r="A15888" t="str">
            <v>CIV</v>
          </cell>
          <cell r="B15888" t="str">
            <v>410-26459-002-2347</v>
          </cell>
          <cell r="J15888">
            <v>-3184</v>
          </cell>
        </row>
        <row r="15889">
          <cell r="A15889" t="str">
            <v>CIV</v>
          </cell>
          <cell r="B15889" t="str">
            <v>410-26460-000-0000</v>
          </cell>
          <cell r="J15889">
            <v>-40306.800000000003</v>
          </cell>
        </row>
        <row r="15890">
          <cell r="A15890" t="str">
            <v>CIV</v>
          </cell>
          <cell r="B15890" t="str">
            <v>410-26460-002-0000</v>
          </cell>
          <cell r="J15890">
            <v>-40306.800000000003</v>
          </cell>
        </row>
        <row r="15891">
          <cell r="A15891" t="str">
            <v>CIV</v>
          </cell>
          <cell r="B15891" t="str">
            <v>410-26460-002-2347</v>
          </cell>
          <cell r="J15891">
            <v>-40306.800000000003</v>
          </cell>
        </row>
        <row r="15892">
          <cell r="A15892" t="str">
            <v>CIV</v>
          </cell>
          <cell r="B15892" t="str">
            <v>410-26461-000-0000</v>
          </cell>
          <cell r="J15892">
            <v>-29558.32</v>
          </cell>
        </row>
        <row r="15893">
          <cell r="A15893" t="str">
            <v>CIV</v>
          </cell>
          <cell r="B15893" t="str">
            <v>410-26461-002-0000</v>
          </cell>
          <cell r="J15893">
            <v>-29558.32</v>
          </cell>
        </row>
        <row r="15894">
          <cell r="A15894" t="str">
            <v>CIV</v>
          </cell>
          <cell r="B15894" t="str">
            <v>410-26461-002-2347</v>
          </cell>
          <cell r="J15894">
            <v>-29558.32</v>
          </cell>
        </row>
        <row r="15895">
          <cell r="A15895" t="str">
            <v>CIV</v>
          </cell>
          <cell r="B15895" t="str">
            <v>410-26462-000-0000</v>
          </cell>
          <cell r="J15895">
            <v>-13435.6</v>
          </cell>
        </row>
        <row r="15896">
          <cell r="A15896" t="str">
            <v>CIV</v>
          </cell>
          <cell r="B15896" t="str">
            <v>410-26462-002-0000</v>
          </cell>
          <cell r="J15896">
            <v>-13435.6</v>
          </cell>
        </row>
        <row r="15897">
          <cell r="A15897" t="str">
            <v>CIV</v>
          </cell>
          <cell r="B15897" t="str">
            <v>410-26462-002-2347</v>
          </cell>
          <cell r="J15897">
            <v>-13435.6</v>
          </cell>
        </row>
        <row r="15898">
          <cell r="A15898" t="str">
            <v>CIV</v>
          </cell>
          <cell r="B15898" t="str">
            <v>410-26463-000-0000</v>
          </cell>
          <cell r="J15898">
            <v>-6717.8</v>
          </cell>
        </row>
        <row r="15899">
          <cell r="A15899" t="str">
            <v>CIV</v>
          </cell>
          <cell r="B15899" t="str">
            <v>410-26463-002-0000</v>
          </cell>
          <cell r="J15899">
            <v>-6717.8</v>
          </cell>
        </row>
        <row r="15900">
          <cell r="A15900" t="str">
            <v>CIV</v>
          </cell>
          <cell r="B15900" t="str">
            <v>410-26463-002-2347</v>
          </cell>
          <cell r="J15900">
            <v>-6717.8</v>
          </cell>
        </row>
        <row r="15901">
          <cell r="A15901" t="str">
            <v>CIV</v>
          </cell>
          <cell r="B15901" t="str">
            <v>410-26464-000-0000</v>
          </cell>
          <cell r="J15901">
            <v>-53742.400000000001</v>
          </cell>
        </row>
        <row r="15902">
          <cell r="A15902" t="str">
            <v>CIV</v>
          </cell>
          <cell r="B15902" t="str">
            <v>410-26464-002-0000</v>
          </cell>
          <cell r="J15902">
            <v>-53742.400000000001</v>
          </cell>
        </row>
        <row r="15903">
          <cell r="A15903" t="str">
            <v>CIV</v>
          </cell>
          <cell r="B15903" t="str">
            <v>410-26464-002-2347</v>
          </cell>
          <cell r="J15903">
            <v>-53742.400000000001</v>
          </cell>
        </row>
        <row r="15904">
          <cell r="A15904" t="str">
            <v>CIV</v>
          </cell>
          <cell r="B15904" t="str">
            <v>410-26465-000-0000</v>
          </cell>
          <cell r="J15904">
            <v>-1343.56</v>
          </cell>
        </row>
        <row r="15905">
          <cell r="A15905" t="str">
            <v>CIV</v>
          </cell>
          <cell r="B15905" t="str">
            <v>410-26465-002-0000</v>
          </cell>
          <cell r="J15905">
            <v>-1343.56</v>
          </cell>
        </row>
        <row r="15906">
          <cell r="A15906" t="str">
            <v>CIV</v>
          </cell>
          <cell r="B15906" t="str">
            <v>410-26465-002-2347</v>
          </cell>
          <cell r="J15906">
            <v>-1343.56</v>
          </cell>
        </row>
        <row r="15907">
          <cell r="A15907" t="str">
            <v>CIV</v>
          </cell>
          <cell r="B15907" t="str">
            <v>410-26466-000-0000</v>
          </cell>
          <cell r="J15907">
            <v>-4030.68</v>
          </cell>
        </row>
        <row r="15908">
          <cell r="A15908" t="str">
            <v>CIV</v>
          </cell>
          <cell r="B15908" t="str">
            <v>410-26466-002-0000</v>
          </cell>
          <cell r="J15908">
            <v>-4030.68</v>
          </cell>
        </row>
        <row r="15909">
          <cell r="A15909" t="str">
            <v>CIV</v>
          </cell>
          <cell r="B15909" t="str">
            <v>410-26466-002-2347</v>
          </cell>
          <cell r="J15909">
            <v>-4030.68</v>
          </cell>
        </row>
        <row r="15910">
          <cell r="A15910" t="str">
            <v>CIV</v>
          </cell>
          <cell r="B15910" t="str">
            <v>410-26467-000-0000</v>
          </cell>
          <cell r="J15910">
            <v>-13435.6</v>
          </cell>
        </row>
        <row r="15911">
          <cell r="A15911" t="str">
            <v>CIV</v>
          </cell>
          <cell r="B15911" t="str">
            <v>410-26467-002-0000</v>
          </cell>
          <cell r="J15911">
            <v>-13435.6</v>
          </cell>
        </row>
        <row r="15912">
          <cell r="A15912" t="str">
            <v>CIV</v>
          </cell>
          <cell r="B15912" t="str">
            <v>410-26467-002-2347</v>
          </cell>
          <cell r="J15912">
            <v>-13435.6</v>
          </cell>
        </row>
        <row r="15913">
          <cell r="A15913" t="str">
            <v>CIV</v>
          </cell>
          <cell r="B15913" t="str">
            <v>410-26468-000-0000</v>
          </cell>
          <cell r="J15913">
            <v>-13435.6</v>
          </cell>
        </row>
        <row r="15914">
          <cell r="A15914" t="str">
            <v>CIV</v>
          </cell>
          <cell r="B15914" t="str">
            <v>410-26468-002-0000</v>
          </cell>
          <cell r="J15914">
            <v>-13435.6</v>
          </cell>
        </row>
        <row r="15915">
          <cell r="A15915" t="str">
            <v>CIV</v>
          </cell>
          <cell r="B15915" t="str">
            <v>410-26468-002-2347</v>
          </cell>
          <cell r="J15915">
            <v>-13435.6</v>
          </cell>
        </row>
        <row r="15916">
          <cell r="A15916" t="str">
            <v>CIV</v>
          </cell>
          <cell r="B15916" t="str">
            <v>410-26469-000-0000</v>
          </cell>
          <cell r="J15916">
            <v>-16122.72</v>
          </cell>
        </row>
        <row r="15917">
          <cell r="A15917" t="str">
            <v>CIV</v>
          </cell>
          <cell r="B15917" t="str">
            <v>410-26469-002-0000</v>
          </cell>
          <cell r="J15917">
            <v>-16122.72</v>
          </cell>
        </row>
        <row r="15918">
          <cell r="A15918" t="str">
            <v>CIV</v>
          </cell>
          <cell r="B15918" t="str">
            <v>410-26469-002-2347</v>
          </cell>
          <cell r="J15918">
            <v>-16122.72</v>
          </cell>
        </row>
        <row r="15919">
          <cell r="A15919" t="str">
            <v>CIV</v>
          </cell>
          <cell r="B15919" t="str">
            <v>410-26470-000-0000</v>
          </cell>
          <cell r="J15919">
            <v>-20153.400000000001</v>
          </cell>
        </row>
        <row r="15920">
          <cell r="A15920" t="str">
            <v>CIV</v>
          </cell>
          <cell r="B15920" t="str">
            <v>410-26470-002-0000</v>
          </cell>
          <cell r="J15920">
            <v>-20153.400000000001</v>
          </cell>
        </row>
        <row r="15921">
          <cell r="A15921" t="str">
            <v>CIV</v>
          </cell>
          <cell r="B15921" t="str">
            <v>410-26470-002-2347</v>
          </cell>
          <cell r="J15921">
            <v>-20153.400000000001</v>
          </cell>
        </row>
        <row r="15922">
          <cell r="A15922" t="str">
            <v>CIV</v>
          </cell>
          <cell r="B15922" t="str">
            <v>410-26471-000-0000</v>
          </cell>
          <cell r="J15922">
            <v>-8061.36</v>
          </cell>
        </row>
        <row r="15923">
          <cell r="A15923" t="str">
            <v>CIV</v>
          </cell>
          <cell r="B15923" t="str">
            <v>410-26471-002-0000</v>
          </cell>
          <cell r="J15923">
            <v>-8061.36</v>
          </cell>
        </row>
        <row r="15924">
          <cell r="A15924" t="str">
            <v>CIV</v>
          </cell>
          <cell r="B15924" t="str">
            <v>410-26471-002-2347</v>
          </cell>
          <cell r="J15924">
            <v>-8061.36</v>
          </cell>
        </row>
        <row r="15925">
          <cell r="A15925" t="str">
            <v>CIV</v>
          </cell>
          <cell r="B15925" t="str">
            <v>410-26777-000-0000</v>
          </cell>
          <cell r="J15925">
            <v>-2687.12</v>
          </cell>
        </row>
        <row r="15926">
          <cell r="A15926" t="str">
            <v>CIV</v>
          </cell>
          <cell r="B15926" t="str">
            <v>410-26777-002-0000</v>
          </cell>
          <cell r="J15926">
            <v>-2687.12</v>
          </cell>
        </row>
        <row r="15927">
          <cell r="A15927" t="str">
            <v>CIV</v>
          </cell>
          <cell r="B15927" t="str">
            <v>410-26777-002-3332</v>
          </cell>
          <cell r="J15927">
            <v>-2687.12</v>
          </cell>
        </row>
        <row r="15928">
          <cell r="A15928" t="str">
            <v>CIV</v>
          </cell>
          <cell r="B15928" t="str">
            <v>720-00000-000-0000</v>
          </cell>
          <cell r="J15928">
            <v>-89601.3</v>
          </cell>
        </row>
        <row r="15929">
          <cell r="A15929" t="str">
            <v>CIV</v>
          </cell>
          <cell r="B15929" t="str">
            <v>720-99999-000-0000</v>
          </cell>
          <cell r="J15929">
            <v>-89601.3</v>
          </cell>
        </row>
        <row r="15930">
          <cell r="A15930" t="str">
            <v>CIV</v>
          </cell>
          <cell r="B15930" t="str">
            <v>720-99999-001-0000</v>
          </cell>
          <cell r="J15930">
            <v>-89601.3</v>
          </cell>
        </row>
        <row r="15931">
          <cell r="A15931" t="str">
            <v>CIV</v>
          </cell>
          <cell r="B15931" t="str">
            <v>720-99999-001-0001</v>
          </cell>
          <cell r="J15931">
            <v>-89601.3</v>
          </cell>
        </row>
        <row r="15932">
          <cell r="A15932" t="str">
            <v>CIV</v>
          </cell>
          <cell r="B15932" t="str">
            <v>730-00000-000-0000</v>
          </cell>
          <cell r="J15932">
            <v>-1341.47</v>
          </cell>
        </row>
        <row r="15933">
          <cell r="A15933" t="str">
            <v>CIV</v>
          </cell>
          <cell r="B15933" t="str">
            <v>730-99999-000-0000</v>
          </cell>
          <cell r="J15933">
            <v>-1341.47</v>
          </cell>
        </row>
        <row r="15934">
          <cell r="A15934" t="str">
            <v>CIV</v>
          </cell>
          <cell r="B15934" t="str">
            <v>730-99999-002-0000</v>
          </cell>
          <cell r="J15934">
            <v>-1341.47</v>
          </cell>
        </row>
        <row r="15935">
          <cell r="A15935" t="str">
            <v>CIV</v>
          </cell>
          <cell r="B15935" t="str">
            <v>420-00000-000-0000</v>
          </cell>
          <cell r="J15935">
            <v>64116.53</v>
          </cell>
        </row>
        <row r="15936">
          <cell r="A15936" t="str">
            <v>CIV</v>
          </cell>
          <cell r="B15936" t="str">
            <v>420-26401-000-0000</v>
          </cell>
          <cell r="J15936">
            <v>4232.22</v>
          </cell>
        </row>
        <row r="15937">
          <cell r="A15937" t="str">
            <v>CIV</v>
          </cell>
          <cell r="B15937" t="str">
            <v>420-26401-002-0000</v>
          </cell>
          <cell r="J15937">
            <v>4232.22</v>
          </cell>
        </row>
        <row r="15938">
          <cell r="A15938" t="str">
            <v>CIV</v>
          </cell>
          <cell r="B15938" t="str">
            <v>420-26401-002-2347</v>
          </cell>
          <cell r="J15938">
            <v>4232.22</v>
          </cell>
        </row>
        <row r="15939">
          <cell r="A15939" t="str">
            <v>CIV</v>
          </cell>
          <cell r="B15939" t="str">
            <v>420-26404-000-0000</v>
          </cell>
          <cell r="J15939">
            <v>119.7</v>
          </cell>
        </row>
        <row r="15940">
          <cell r="A15940" t="str">
            <v>CIV</v>
          </cell>
          <cell r="B15940" t="str">
            <v>420-26404-002-0000</v>
          </cell>
          <cell r="J15940">
            <v>119.7</v>
          </cell>
        </row>
        <row r="15941">
          <cell r="A15941" t="str">
            <v>CIV</v>
          </cell>
          <cell r="B15941" t="str">
            <v>420-26404-002-2347</v>
          </cell>
          <cell r="J15941">
            <v>119.7</v>
          </cell>
        </row>
        <row r="15942">
          <cell r="A15942" t="str">
            <v>CIV</v>
          </cell>
          <cell r="B15942" t="str">
            <v>420-26405-000-0000</v>
          </cell>
          <cell r="J15942">
            <v>598.5</v>
          </cell>
        </row>
        <row r="15943">
          <cell r="A15943" t="str">
            <v>CIV</v>
          </cell>
          <cell r="B15943" t="str">
            <v>420-26405-002-0000</v>
          </cell>
          <cell r="J15943">
            <v>598.5</v>
          </cell>
        </row>
        <row r="15944">
          <cell r="A15944" t="str">
            <v>CIV</v>
          </cell>
          <cell r="B15944" t="str">
            <v>420-26405-002-2347</v>
          </cell>
          <cell r="J15944">
            <v>598.5</v>
          </cell>
        </row>
        <row r="15945">
          <cell r="A15945" t="str">
            <v>CIV</v>
          </cell>
          <cell r="B15945" t="str">
            <v>420-26406-000-0000</v>
          </cell>
          <cell r="J15945">
            <v>658.34</v>
          </cell>
        </row>
        <row r="15946">
          <cell r="A15946" t="str">
            <v>CIV</v>
          </cell>
          <cell r="B15946" t="str">
            <v>420-26406-002-0000</v>
          </cell>
          <cell r="J15946">
            <v>658.34</v>
          </cell>
        </row>
        <row r="15947">
          <cell r="A15947" t="str">
            <v>CIV</v>
          </cell>
          <cell r="B15947" t="str">
            <v>420-26406-002-2347</v>
          </cell>
          <cell r="J15947">
            <v>658.34</v>
          </cell>
        </row>
        <row r="15948">
          <cell r="A15948" t="str">
            <v>CIV</v>
          </cell>
          <cell r="B15948" t="str">
            <v>420-26407-000-0000</v>
          </cell>
          <cell r="J15948">
            <v>1880.98</v>
          </cell>
        </row>
        <row r="15949">
          <cell r="A15949" t="str">
            <v>CIV</v>
          </cell>
          <cell r="B15949" t="str">
            <v>420-26407-002-0000</v>
          </cell>
          <cell r="J15949">
            <v>1880.98</v>
          </cell>
        </row>
        <row r="15950">
          <cell r="A15950" t="str">
            <v>CIV</v>
          </cell>
          <cell r="B15950" t="str">
            <v>420-26407-002-2347</v>
          </cell>
          <cell r="J15950">
            <v>1880.98</v>
          </cell>
        </row>
        <row r="15951">
          <cell r="A15951" t="str">
            <v>CIV</v>
          </cell>
          <cell r="B15951" t="str">
            <v>420-26408-000-0000</v>
          </cell>
          <cell r="J15951">
            <v>2163.13</v>
          </cell>
        </row>
        <row r="15952">
          <cell r="A15952" t="str">
            <v>CIV</v>
          </cell>
          <cell r="B15952" t="str">
            <v>420-26408-002-0000</v>
          </cell>
          <cell r="J15952">
            <v>2163.13</v>
          </cell>
        </row>
        <row r="15953">
          <cell r="A15953" t="str">
            <v>CIV</v>
          </cell>
          <cell r="B15953" t="str">
            <v>420-26408-002-2347</v>
          </cell>
          <cell r="J15953">
            <v>2163.13</v>
          </cell>
        </row>
        <row r="15954">
          <cell r="A15954" t="str">
            <v>CIV</v>
          </cell>
          <cell r="B15954" t="str">
            <v>420-26409-000-0000</v>
          </cell>
          <cell r="J15954">
            <v>2821.48</v>
          </cell>
        </row>
        <row r="15955">
          <cell r="A15955" t="str">
            <v>CIV</v>
          </cell>
          <cell r="B15955" t="str">
            <v>420-26409-002-0000</v>
          </cell>
          <cell r="J15955">
            <v>2821.48</v>
          </cell>
        </row>
        <row r="15956">
          <cell r="A15956" t="str">
            <v>CIV</v>
          </cell>
          <cell r="B15956" t="str">
            <v>420-26409-002-2347</v>
          </cell>
          <cell r="J15956">
            <v>2821.48</v>
          </cell>
        </row>
        <row r="15957">
          <cell r="A15957" t="str">
            <v>CIV</v>
          </cell>
          <cell r="B15957" t="str">
            <v>420-26410-000-0000</v>
          </cell>
          <cell r="J15957">
            <v>1410.74</v>
          </cell>
        </row>
        <row r="15958">
          <cell r="A15958" t="str">
            <v>CIV</v>
          </cell>
          <cell r="B15958" t="str">
            <v>420-26410-002-0000</v>
          </cell>
          <cell r="J15958">
            <v>1410.74</v>
          </cell>
        </row>
        <row r="15959">
          <cell r="A15959" t="str">
            <v>CIV</v>
          </cell>
          <cell r="B15959" t="str">
            <v>420-26410-002-2347</v>
          </cell>
          <cell r="J15959">
            <v>1410.74</v>
          </cell>
        </row>
        <row r="15960">
          <cell r="A15960" t="str">
            <v>CIV</v>
          </cell>
          <cell r="B15960" t="str">
            <v>420-26411-000-0000</v>
          </cell>
          <cell r="J15960">
            <v>940.49</v>
          </cell>
        </row>
        <row r="15961">
          <cell r="A15961" t="str">
            <v>CIV</v>
          </cell>
          <cell r="B15961" t="str">
            <v>420-26411-002-0000</v>
          </cell>
          <cell r="J15961">
            <v>940.49</v>
          </cell>
        </row>
        <row r="15962">
          <cell r="A15962" t="str">
            <v>CIV</v>
          </cell>
          <cell r="B15962" t="str">
            <v>420-26411-002-2347</v>
          </cell>
          <cell r="J15962">
            <v>940.49</v>
          </cell>
        </row>
        <row r="15963">
          <cell r="A15963" t="str">
            <v>CIV</v>
          </cell>
          <cell r="B15963" t="str">
            <v>420-26412-000-0000</v>
          </cell>
          <cell r="J15963">
            <v>470.25</v>
          </cell>
        </row>
        <row r="15964">
          <cell r="A15964" t="str">
            <v>CIV</v>
          </cell>
          <cell r="B15964" t="str">
            <v>420-26412-002-0000</v>
          </cell>
          <cell r="J15964">
            <v>470.25</v>
          </cell>
        </row>
        <row r="15965">
          <cell r="A15965" t="str">
            <v>CIV</v>
          </cell>
          <cell r="B15965" t="str">
            <v>420-26412-002-2347</v>
          </cell>
          <cell r="J15965">
            <v>470.25</v>
          </cell>
        </row>
        <row r="15966">
          <cell r="A15966" t="str">
            <v>CIV</v>
          </cell>
          <cell r="B15966" t="str">
            <v>420-26414-000-0000</v>
          </cell>
          <cell r="J15966">
            <v>94.05</v>
          </cell>
        </row>
        <row r="15967">
          <cell r="A15967" t="str">
            <v>CIV</v>
          </cell>
          <cell r="B15967" t="str">
            <v>420-26414-002-0000</v>
          </cell>
          <cell r="J15967">
            <v>94.05</v>
          </cell>
        </row>
        <row r="15968">
          <cell r="A15968" t="str">
            <v>CIV</v>
          </cell>
          <cell r="B15968" t="str">
            <v>420-26414-002-2347</v>
          </cell>
          <cell r="J15968">
            <v>94.05</v>
          </cell>
        </row>
        <row r="15969">
          <cell r="A15969" t="str">
            <v>CIV</v>
          </cell>
          <cell r="B15969" t="str">
            <v>420-26415-000-0000</v>
          </cell>
          <cell r="J15969">
            <v>846.44</v>
          </cell>
        </row>
        <row r="15970">
          <cell r="A15970" t="str">
            <v>CIV</v>
          </cell>
          <cell r="B15970" t="str">
            <v>420-26415-002-0000</v>
          </cell>
          <cell r="J15970">
            <v>846.44</v>
          </cell>
        </row>
        <row r="15971">
          <cell r="A15971" t="str">
            <v>CIV</v>
          </cell>
          <cell r="B15971" t="str">
            <v>420-26415-002-2347</v>
          </cell>
          <cell r="J15971">
            <v>846.44</v>
          </cell>
        </row>
        <row r="15972">
          <cell r="A15972" t="str">
            <v>CIV</v>
          </cell>
          <cell r="B15972" t="str">
            <v>420-26416-000-0000</v>
          </cell>
          <cell r="J15972">
            <v>2539.33</v>
          </cell>
        </row>
        <row r="15973">
          <cell r="A15973" t="str">
            <v>CIV</v>
          </cell>
          <cell r="B15973" t="str">
            <v>420-26416-002-0000</v>
          </cell>
          <cell r="J15973">
            <v>2539.33</v>
          </cell>
        </row>
        <row r="15974">
          <cell r="A15974" t="str">
            <v>CIV</v>
          </cell>
          <cell r="B15974" t="str">
            <v>420-26416-002-2347</v>
          </cell>
          <cell r="J15974">
            <v>2539.33</v>
          </cell>
        </row>
        <row r="15975">
          <cell r="A15975" t="str">
            <v>CIV</v>
          </cell>
          <cell r="B15975" t="str">
            <v>420-26417-000-0000</v>
          </cell>
          <cell r="J15975">
            <v>564.29999999999995</v>
          </cell>
        </row>
        <row r="15976">
          <cell r="A15976" t="str">
            <v>CIV</v>
          </cell>
          <cell r="B15976" t="str">
            <v>420-26417-002-0000</v>
          </cell>
          <cell r="J15976">
            <v>564.29999999999995</v>
          </cell>
        </row>
        <row r="15977">
          <cell r="A15977" t="str">
            <v>CIV</v>
          </cell>
          <cell r="B15977" t="str">
            <v>420-26417-002-2347</v>
          </cell>
          <cell r="J15977">
            <v>564.29999999999995</v>
          </cell>
        </row>
        <row r="15978">
          <cell r="A15978" t="str">
            <v>CIV</v>
          </cell>
          <cell r="B15978" t="str">
            <v>420-26419-000-0000</v>
          </cell>
          <cell r="J15978">
            <v>1128.5899999999999</v>
          </cell>
        </row>
        <row r="15979">
          <cell r="A15979" t="str">
            <v>CIV</v>
          </cell>
          <cell r="B15979" t="str">
            <v>420-26419-002-0000</v>
          </cell>
          <cell r="J15979">
            <v>1128.5899999999999</v>
          </cell>
        </row>
        <row r="15980">
          <cell r="A15980" t="str">
            <v>CIV</v>
          </cell>
          <cell r="B15980" t="str">
            <v>420-26419-002-2347</v>
          </cell>
          <cell r="J15980">
            <v>1128.5899999999999</v>
          </cell>
        </row>
        <row r="15981">
          <cell r="A15981" t="str">
            <v>CIV</v>
          </cell>
          <cell r="B15981" t="str">
            <v>420-26420-000-0000</v>
          </cell>
          <cell r="J15981">
            <v>940.49</v>
          </cell>
        </row>
        <row r="15982">
          <cell r="A15982" t="str">
            <v>CIV</v>
          </cell>
          <cell r="B15982" t="str">
            <v>420-26420-002-0000</v>
          </cell>
          <cell r="J15982">
            <v>940.49</v>
          </cell>
        </row>
        <row r="15983">
          <cell r="A15983" t="str">
            <v>CIV</v>
          </cell>
          <cell r="B15983" t="str">
            <v>420-26420-002-2347</v>
          </cell>
          <cell r="J15983">
            <v>940.49</v>
          </cell>
        </row>
        <row r="15984">
          <cell r="A15984" t="str">
            <v>CIV</v>
          </cell>
          <cell r="B15984" t="str">
            <v>420-26421-000-0000</v>
          </cell>
          <cell r="J15984">
            <v>1410.74</v>
          </cell>
        </row>
        <row r="15985">
          <cell r="A15985" t="str">
            <v>CIV</v>
          </cell>
          <cell r="B15985" t="str">
            <v>420-26421-002-0000</v>
          </cell>
          <cell r="J15985">
            <v>1410.74</v>
          </cell>
        </row>
        <row r="15986">
          <cell r="A15986" t="str">
            <v>CIV</v>
          </cell>
          <cell r="B15986" t="str">
            <v>420-26421-002-2347</v>
          </cell>
          <cell r="J15986">
            <v>1410.74</v>
          </cell>
        </row>
        <row r="15987">
          <cell r="A15987" t="str">
            <v>CIV</v>
          </cell>
          <cell r="B15987" t="str">
            <v>420-26422-000-0000</v>
          </cell>
          <cell r="J15987">
            <v>4702.46</v>
          </cell>
        </row>
        <row r="15988">
          <cell r="A15988" t="str">
            <v>CIV</v>
          </cell>
          <cell r="B15988" t="str">
            <v>420-26422-002-0000</v>
          </cell>
          <cell r="J15988">
            <v>4702.46</v>
          </cell>
        </row>
        <row r="15989">
          <cell r="A15989" t="str">
            <v>CIV</v>
          </cell>
          <cell r="B15989" t="str">
            <v>420-26422-002-2347</v>
          </cell>
          <cell r="J15989">
            <v>4702.46</v>
          </cell>
        </row>
        <row r="15990">
          <cell r="A15990" t="str">
            <v>CIV</v>
          </cell>
          <cell r="B15990" t="str">
            <v>420-26423-000-0000</v>
          </cell>
          <cell r="J15990">
            <v>1410.74</v>
          </cell>
        </row>
        <row r="15991">
          <cell r="A15991" t="str">
            <v>CIV</v>
          </cell>
          <cell r="B15991" t="str">
            <v>420-26423-002-0000</v>
          </cell>
          <cell r="J15991">
            <v>1410.74</v>
          </cell>
        </row>
        <row r="15992">
          <cell r="A15992" t="str">
            <v>CIV</v>
          </cell>
          <cell r="B15992" t="str">
            <v>420-26423-002-2347</v>
          </cell>
          <cell r="J15992">
            <v>1410.74</v>
          </cell>
        </row>
        <row r="15993">
          <cell r="A15993" t="str">
            <v>CIV</v>
          </cell>
          <cell r="B15993" t="str">
            <v>420-26424-000-0000</v>
          </cell>
          <cell r="J15993">
            <v>1880.98</v>
          </cell>
        </row>
        <row r="15994">
          <cell r="A15994" t="str">
            <v>CIV</v>
          </cell>
          <cell r="B15994" t="str">
            <v>420-26424-002-0000</v>
          </cell>
          <cell r="J15994">
            <v>1880.98</v>
          </cell>
        </row>
        <row r="15995">
          <cell r="A15995" t="str">
            <v>CIV</v>
          </cell>
          <cell r="B15995" t="str">
            <v>420-26424-002-2347</v>
          </cell>
          <cell r="J15995">
            <v>1880.98</v>
          </cell>
        </row>
        <row r="15996">
          <cell r="A15996" t="str">
            <v>CIV</v>
          </cell>
          <cell r="B15996" t="str">
            <v>420-26425-000-0000</v>
          </cell>
          <cell r="J15996">
            <v>564.29999999999995</v>
          </cell>
        </row>
        <row r="15997">
          <cell r="A15997" t="str">
            <v>CIV</v>
          </cell>
          <cell r="B15997" t="str">
            <v>420-26425-002-0000</v>
          </cell>
          <cell r="J15997">
            <v>564.29999999999995</v>
          </cell>
        </row>
        <row r="15998">
          <cell r="A15998" t="str">
            <v>CIV</v>
          </cell>
          <cell r="B15998" t="str">
            <v>420-26425-002-2347</v>
          </cell>
          <cell r="J15998">
            <v>564.29999999999995</v>
          </cell>
        </row>
        <row r="15999">
          <cell r="A15999" t="str">
            <v>CIV</v>
          </cell>
          <cell r="B15999" t="str">
            <v>420-26426-000-0000</v>
          </cell>
          <cell r="J15999">
            <v>470.25</v>
          </cell>
        </row>
        <row r="16000">
          <cell r="A16000" t="str">
            <v>CIV</v>
          </cell>
          <cell r="B16000" t="str">
            <v>420-26426-002-0000</v>
          </cell>
          <cell r="J16000">
            <v>470.25</v>
          </cell>
        </row>
        <row r="16001">
          <cell r="A16001" t="str">
            <v>CIV</v>
          </cell>
          <cell r="B16001" t="str">
            <v>420-26426-002-2347</v>
          </cell>
          <cell r="J16001">
            <v>470.25</v>
          </cell>
        </row>
        <row r="16002">
          <cell r="A16002" t="str">
            <v>CIV</v>
          </cell>
          <cell r="B16002" t="str">
            <v>420-26427-000-0000</v>
          </cell>
          <cell r="J16002">
            <v>2821.48</v>
          </cell>
        </row>
        <row r="16003">
          <cell r="A16003" t="str">
            <v>CIV</v>
          </cell>
          <cell r="B16003" t="str">
            <v>420-26427-002-0000</v>
          </cell>
          <cell r="J16003">
            <v>2821.48</v>
          </cell>
        </row>
        <row r="16004">
          <cell r="A16004" t="str">
            <v>CIV</v>
          </cell>
          <cell r="B16004" t="str">
            <v>420-26427-002-2347</v>
          </cell>
          <cell r="J16004">
            <v>2821.48</v>
          </cell>
        </row>
        <row r="16005">
          <cell r="A16005" t="str">
            <v>CIV</v>
          </cell>
          <cell r="B16005" t="str">
            <v>420-26428-000-0000</v>
          </cell>
          <cell r="J16005">
            <v>470.25</v>
          </cell>
        </row>
        <row r="16006">
          <cell r="A16006" t="str">
            <v>CIV</v>
          </cell>
          <cell r="B16006" t="str">
            <v>420-26428-002-0000</v>
          </cell>
          <cell r="J16006">
            <v>470.25</v>
          </cell>
        </row>
        <row r="16007">
          <cell r="A16007" t="str">
            <v>CIV</v>
          </cell>
          <cell r="B16007" t="str">
            <v>420-26428-002-2347</v>
          </cell>
          <cell r="J16007">
            <v>470.25</v>
          </cell>
        </row>
        <row r="16008">
          <cell r="A16008" t="str">
            <v>CIV</v>
          </cell>
          <cell r="B16008" t="str">
            <v>420-26429-000-0000</v>
          </cell>
          <cell r="J16008">
            <v>470.25</v>
          </cell>
        </row>
        <row r="16009">
          <cell r="A16009" t="str">
            <v>CIV</v>
          </cell>
          <cell r="B16009" t="str">
            <v>420-26429-002-0000</v>
          </cell>
          <cell r="J16009">
            <v>470.25</v>
          </cell>
        </row>
        <row r="16010">
          <cell r="A16010" t="str">
            <v>CIV</v>
          </cell>
          <cell r="B16010" t="str">
            <v>420-26429-002-2347</v>
          </cell>
          <cell r="J16010">
            <v>470.25</v>
          </cell>
        </row>
        <row r="16011">
          <cell r="A16011" t="str">
            <v>CIV</v>
          </cell>
          <cell r="B16011" t="str">
            <v>420-26430-000-0000</v>
          </cell>
          <cell r="J16011">
            <v>470.25</v>
          </cell>
        </row>
        <row r="16012">
          <cell r="A16012" t="str">
            <v>CIV</v>
          </cell>
          <cell r="B16012" t="str">
            <v>420-26430-002-0000</v>
          </cell>
          <cell r="J16012">
            <v>470.25</v>
          </cell>
        </row>
        <row r="16013">
          <cell r="A16013" t="str">
            <v>CIV</v>
          </cell>
          <cell r="B16013" t="str">
            <v>420-26430-002-2347</v>
          </cell>
          <cell r="J16013">
            <v>470.25</v>
          </cell>
        </row>
        <row r="16014">
          <cell r="A16014" t="str">
            <v>CIV</v>
          </cell>
          <cell r="B16014" t="str">
            <v>420-26431-000-0000</v>
          </cell>
          <cell r="J16014">
            <v>2821.48</v>
          </cell>
        </row>
        <row r="16015">
          <cell r="A16015" t="str">
            <v>CIV</v>
          </cell>
          <cell r="B16015" t="str">
            <v>420-26431-002-0000</v>
          </cell>
          <cell r="J16015">
            <v>2821.48</v>
          </cell>
        </row>
        <row r="16016">
          <cell r="A16016" t="str">
            <v>CIV</v>
          </cell>
          <cell r="B16016" t="str">
            <v>420-26431-002-2347</v>
          </cell>
          <cell r="J16016">
            <v>2821.48</v>
          </cell>
        </row>
        <row r="16017">
          <cell r="A16017" t="str">
            <v>CIV</v>
          </cell>
          <cell r="B16017" t="str">
            <v>420-26432-000-0000</v>
          </cell>
          <cell r="J16017">
            <v>1880.98</v>
          </cell>
        </row>
        <row r="16018">
          <cell r="A16018" t="str">
            <v>CIV</v>
          </cell>
          <cell r="B16018" t="str">
            <v>420-26432-002-0000</v>
          </cell>
          <cell r="J16018">
            <v>1880.98</v>
          </cell>
        </row>
        <row r="16019">
          <cell r="A16019" t="str">
            <v>CIV</v>
          </cell>
          <cell r="B16019" t="str">
            <v>420-26432-002-2347</v>
          </cell>
          <cell r="J16019">
            <v>1880.98</v>
          </cell>
        </row>
        <row r="16020">
          <cell r="A16020" t="str">
            <v>CIV</v>
          </cell>
          <cell r="B16020" t="str">
            <v>420-26433-000-0000</v>
          </cell>
          <cell r="J16020">
            <v>188.1</v>
          </cell>
        </row>
        <row r="16021">
          <cell r="A16021" t="str">
            <v>CIV</v>
          </cell>
          <cell r="B16021" t="str">
            <v>420-26433-002-0000</v>
          </cell>
          <cell r="J16021">
            <v>188.1</v>
          </cell>
        </row>
        <row r="16022">
          <cell r="A16022" t="str">
            <v>CIV</v>
          </cell>
          <cell r="B16022" t="str">
            <v>420-26433-002-2347</v>
          </cell>
          <cell r="J16022">
            <v>188.1</v>
          </cell>
        </row>
        <row r="16023">
          <cell r="A16023" t="str">
            <v>CIV</v>
          </cell>
          <cell r="B16023" t="str">
            <v>420-26434-000-0000</v>
          </cell>
          <cell r="J16023">
            <v>188.1</v>
          </cell>
        </row>
        <row r="16024">
          <cell r="A16024" t="str">
            <v>CIV</v>
          </cell>
          <cell r="B16024" t="str">
            <v>420-26434-002-0000</v>
          </cell>
          <cell r="J16024">
            <v>188.1</v>
          </cell>
        </row>
        <row r="16025">
          <cell r="A16025" t="str">
            <v>CIV</v>
          </cell>
          <cell r="B16025" t="str">
            <v>420-26434-002-2347</v>
          </cell>
          <cell r="J16025">
            <v>188.1</v>
          </cell>
        </row>
        <row r="16026">
          <cell r="A16026" t="str">
            <v>CIV</v>
          </cell>
          <cell r="B16026" t="str">
            <v>420-26435-000-0000</v>
          </cell>
          <cell r="J16026">
            <v>103.18</v>
          </cell>
        </row>
        <row r="16027">
          <cell r="A16027" t="str">
            <v>CIV</v>
          </cell>
          <cell r="B16027" t="str">
            <v>420-26435-002-0000</v>
          </cell>
          <cell r="J16027">
            <v>103.18</v>
          </cell>
        </row>
        <row r="16028">
          <cell r="A16028" t="str">
            <v>CIV</v>
          </cell>
          <cell r="B16028" t="str">
            <v>420-26435-002-2347</v>
          </cell>
          <cell r="J16028">
            <v>103.18</v>
          </cell>
        </row>
        <row r="16029">
          <cell r="A16029" t="str">
            <v>CIV</v>
          </cell>
          <cell r="B16029" t="str">
            <v>420-26436-000-0000</v>
          </cell>
          <cell r="J16029">
            <v>1410.74</v>
          </cell>
        </row>
        <row r="16030">
          <cell r="A16030" t="str">
            <v>CIV</v>
          </cell>
          <cell r="B16030" t="str">
            <v>420-26436-002-0000</v>
          </cell>
          <cell r="J16030">
            <v>1410.74</v>
          </cell>
        </row>
        <row r="16031">
          <cell r="A16031" t="str">
            <v>CIV</v>
          </cell>
          <cell r="B16031" t="str">
            <v>420-26436-002-2347</v>
          </cell>
          <cell r="J16031">
            <v>1410.74</v>
          </cell>
        </row>
        <row r="16032">
          <cell r="A16032" t="str">
            <v>CIV</v>
          </cell>
          <cell r="B16032" t="str">
            <v>420-26440-000-0000</v>
          </cell>
          <cell r="J16032">
            <v>1410.74</v>
          </cell>
        </row>
        <row r="16033">
          <cell r="A16033" t="str">
            <v>CIV</v>
          </cell>
          <cell r="B16033" t="str">
            <v>420-26440-002-0000</v>
          </cell>
          <cell r="J16033">
            <v>1410.74</v>
          </cell>
        </row>
        <row r="16034">
          <cell r="A16034" t="str">
            <v>CIV</v>
          </cell>
          <cell r="B16034" t="str">
            <v>420-26440-002-2347</v>
          </cell>
          <cell r="J16034">
            <v>1410.74</v>
          </cell>
        </row>
        <row r="16035">
          <cell r="A16035" t="str">
            <v>CIV</v>
          </cell>
          <cell r="B16035" t="str">
            <v>420-26441-000-0000</v>
          </cell>
          <cell r="J16035">
            <v>470.25</v>
          </cell>
        </row>
        <row r="16036">
          <cell r="A16036" t="str">
            <v>CIV</v>
          </cell>
          <cell r="B16036" t="str">
            <v>420-26441-002-0000</v>
          </cell>
          <cell r="J16036">
            <v>470.25</v>
          </cell>
        </row>
        <row r="16037">
          <cell r="A16037" t="str">
            <v>CIV</v>
          </cell>
          <cell r="B16037" t="str">
            <v>420-26441-002-2347</v>
          </cell>
          <cell r="J16037">
            <v>470.25</v>
          </cell>
        </row>
        <row r="16038">
          <cell r="A16038" t="str">
            <v>CIV</v>
          </cell>
          <cell r="B16038" t="str">
            <v>420-26442-000-0000</v>
          </cell>
          <cell r="J16038">
            <v>1975.03</v>
          </cell>
        </row>
        <row r="16039">
          <cell r="A16039" t="str">
            <v>CIV</v>
          </cell>
          <cell r="B16039" t="str">
            <v>420-26442-002-0000</v>
          </cell>
          <cell r="J16039">
            <v>1975.03</v>
          </cell>
        </row>
        <row r="16040">
          <cell r="A16040" t="str">
            <v>CIV</v>
          </cell>
          <cell r="B16040" t="str">
            <v>420-26442-002-2347</v>
          </cell>
          <cell r="J16040">
            <v>1975.03</v>
          </cell>
        </row>
        <row r="16041">
          <cell r="A16041" t="str">
            <v>CIV</v>
          </cell>
          <cell r="B16041" t="str">
            <v>420-26443-000-0000</v>
          </cell>
          <cell r="J16041">
            <v>470.25</v>
          </cell>
        </row>
        <row r="16042">
          <cell r="A16042" t="str">
            <v>CIV</v>
          </cell>
          <cell r="B16042" t="str">
            <v>420-26443-002-0000</v>
          </cell>
          <cell r="J16042">
            <v>470.25</v>
          </cell>
        </row>
        <row r="16043">
          <cell r="A16043" t="str">
            <v>CIV</v>
          </cell>
          <cell r="B16043" t="str">
            <v>420-26443-002-2347</v>
          </cell>
          <cell r="J16043">
            <v>470.25</v>
          </cell>
        </row>
        <row r="16044">
          <cell r="A16044" t="str">
            <v>CIV</v>
          </cell>
          <cell r="B16044" t="str">
            <v>420-26444-000-0000</v>
          </cell>
          <cell r="J16044">
            <v>940.49</v>
          </cell>
        </row>
        <row r="16045">
          <cell r="A16045" t="str">
            <v>CIV</v>
          </cell>
          <cell r="B16045" t="str">
            <v>420-26444-002-0000</v>
          </cell>
          <cell r="J16045">
            <v>940.49</v>
          </cell>
        </row>
        <row r="16046">
          <cell r="A16046" t="str">
            <v>CIV</v>
          </cell>
          <cell r="B16046" t="str">
            <v>420-26444-002-2347</v>
          </cell>
          <cell r="J16046">
            <v>940.49</v>
          </cell>
        </row>
        <row r="16047">
          <cell r="A16047" t="str">
            <v>CIV</v>
          </cell>
          <cell r="B16047" t="str">
            <v>420-26445-000-0000</v>
          </cell>
          <cell r="J16047">
            <v>940.49</v>
          </cell>
        </row>
        <row r="16048">
          <cell r="A16048" t="str">
            <v>CIV</v>
          </cell>
          <cell r="B16048" t="str">
            <v>420-26445-002-0000</v>
          </cell>
          <cell r="J16048">
            <v>940.49</v>
          </cell>
        </row>
        <row r="16049">
          <cell r="A16049" t="str">
            <v>CIV</v>
          </cell>
          <cell r="B16049" t="str">
            <v>420-26445-002-2347</v>
          </cell>
          <cell r="J16049">
            <v>940.49</v>
          </cell>
        </row>
        <row r="16050">
          <cell r="A16050" t="str">
            <v>CIV</v>
          </cell>
          <cell r="B16050" t="str">
            <v>420-26446-000-0000</v>
          </cell>
          <cell r="J16050">
            <v>752.39</v>
          </cell>
        </row>
        <row r="16051">
          <cell r="A16051" t="str">
            <v>CIV</v>
          </cell>
          <cell r="B16051" t="str">
            <v>420-26446-002-0000</v>
          </cell>
          <cell r="J16051">
            <v>752.39</v>
          </cell>
        </row>
        <row r="16052">
          <cell r="A16052" t="str">
            <v>CIV</v>
          </cell>
          <cell r="B16052" t="str">
            <v>420-26446-002-2347</v>
          </cell>
          <cell r="J16052">
            <v>752.39</v>
          </cell>
        </row>
        <row r="16053">
          <cell r="A16053" t="str">
            <v>CIV</v>
          </cell>
          <cell r="B16053" t="str">
            <v>420-26447-000-0000</v>
          </cell>
          <cell r="J16053">
            <v>2821.48</v>
          </cell>
        </row>
        <row r="16054">
          <cell r="A16054" t="str">
            <v>CIV</v>
          </cell>
          <cell r="B16054" t="str">
            <v>420-26447-002-0000</v>
          </cell>
          <cell r="J16054">
            <v>2821.48</v>
          </cell>
        </row>
        <row r="16055">
          <cell r="A16055" t="str">
            <v>CIV</v>
          </cell>
          <cell r="B16055" t="str">
            <v>420-26447-002-2347</v>
          </cell>
          <cell r="J16055">
            <v>2821.48</v>
          </cell>
        </row>
        <row r="16056">
          <cell r="A16056" t="str">
            <v>CIV</v>
          </cell>
          <cell r="B16056" t="str">
            <v>420-26448-000-0000</v>
          </cell>
          <cell r="J16056">
            <v>1880.98</v>
          </cell>
        </row>
        <row r="16057">
          <cell r="A16057" t="str">
            <v>CIV</v>
          </cell>
          <cell r="B16057" t="str">
            <v>420-26448-002-0000</v>
          </cell>
          <cell r="J16057">
            <v>1880.98</v>
          </cell>
        </row>
        <row r="16058">
          <cell r="A16058" t="str">
            <v>CIV</v>
          </cell>
          <cell r="B16058" t="str">
            <v>420-26448-002-2347</v>
          </cell>
          <cell r="J16058">
            <v>1880.98</v>
          </cell>
        </row>
        <row r="16059">
          <cell r="A16059" t="str">
            <v>CIV</v>
          </cell>
          <cell r="B16059" t="str">
            <v>420-26449-000-0000</v>
          </cell>
          <cell r="J16059">
            <v>940.49</v>
          </cell>
        </row>
        <row r="16060">
          <cell r="A16060" t="str">
            <v>CIV</v>
          </cell>
          <cell r="B16060" t="str">
            <v>420-26449-002-0000</v>
          </cell>
          <cell r="J16060">
            <v>940.49</v>
          </cell>
        </row>
        <row r="16061">
          <cell r="A16061" t="str">
            <v>CIV</v>
          </cell>
          <cell r="B16061" t="str">
            <v>420-26449-002-2347</v>
          </cell>
          <cell r="J16061">
            <v>940.49</v>
          </cell>
        </row>
        <row r="16062">
          <cell r="A16062" t="str">
            <v>CIV</v>
          </cell>
          <cell r="B16062" t="str">
            <v>420-26450-000-0000</v>
          </cell>
          <cell r="J16062">
            <v>1410.74</v>
          </cell>
        </row>
        <row r="16063">
          <cell r="A16063" t="str">
            <v>CIV</v>
          </cell>
          <cell r="B16063" t="str">
            <v>420-26450-002-0000</v>
          </cell>
          <cell r="J16063">
            <v>1410.74</v>
          </cell>
        </row>
        <row r="16064">
          <cell r="A16064" t="str">
            <v>CIV</v>
          </cell>
          <cell r="B16064" t="str">
            <v>420-26450-002-2347</v>
          </cell>
          <cell r="J16064">
            <v>1410.74</v>
          </cell>
        </row>
        <row r="16065">
          <cell r="A16065" t="str">
            <v>CIV</v>
          </cell>
          <cell r="B16065" t="str">
            <v>420-26451-000-0000</v>
          </cell>
          <cell r="J16065">
            <v>3761.97</v>
          </cell>
        </row>
        <row r="16066">
          <cell r="A16066" t="str">
            <v>CIV</v>
          </cell>
          <cell r="B16066" t="str">
            <v>420-26451-002-0000</v>
          </cell>
          <cell r="J16066">
            <v>3761.97</v>
          </cell>
        </row>
        <row r="16067">
          <cell r="A16067" t="str">
            <v>CIV</v>
          </cell>
          <cell r="B16067" t="str">
            <v>420-26451-002-2347</v>
          </cell>
          <cell r="J16067">
            <v>3761.97</v>
          </cell>
        </row>
        <row r="16068">
          <cell r="A16068" t="str">
            <v>CIV</v>
          </cell>
          <cell r="B16068" t="str">
            <v>420-26452-000-0000</v>
          </cell>
          <cell r="J16068">
            <v>1880.98</v>
          </cell>
        </row>
        <row r="16069">
          <cell r="A16069" t="str">
            <v>CIV</v>
          </cell>
          <cell r="B16069" t="str">
            <v>420-26452-002-0000</v>
          </cell>
          <cell r="J16069">
            <v>1880.98</v>
          </cell>
        </row>
        <row r="16070">
          <cell r="A16070" t="str">
            <v>CIV</v>
          </cell>
          <cell r="B16070" t="str">
            <v>420-26452-002-2347</v>
          </cell>
          <cell r="J16070">
            <v>1880.98</v>
          </cell>
        </row>
        <row r="16071">
          <cell r="A16071" t="str">
            <v>CIV</v>
          </cell>
          <cell r="B16071" t="str">
            <v>420-26453-000-0000</v>
          </cell>
          <cell r="J16071">
            <v>940.49</v>
          </cell>
        </row>
        <row r="16072">
          <cell r="A16072" t="str">
            <v>CIV</v>
          </cell>
          <cell r="B16072" t="str">
            <v>420-26453-002-0000</v>
          </cell>
          <cell r="J16072">
            <v>940.49</v>
          </cell>
        </row>
        <row r="16073">
          <cell r="A16073" t="str">
            <v>CIV</v>
          </cell>
          <cell r="B16073" t="str">
            <v>420-26453-002-2347</v>
          </cell>
          <cell r="J16073">
            <v>940.49</v>
          </cell>
        </row>
        <row r="16074">
          <cell r="A16074" t="str">
            <v>CIV</v>
          </cell>
          <cell r="B16074" t="str">
            <v>420-26454-000-0000</v>
          </cell>
          <cell r="J16074">
            <v>470.25</v>
          </cell>
        </row>
        <row r="16075">
          <cell r="A16075" t="str">
            <v>CIV</v>
          </cell>
          <cell r="B16075" t="str">
            <v>420-26454-002-0000</v>
          </cell>
          <cell r="J16075">
            <v>470.25</v>
          </cell>
        </row>
        <row r="16076">
          <cell r="A16076" t="str">
            <v>CIV</v>
          </cell>
          <cell r="B16076" t="str">
            <v>420-26454-002-2347</v>
          </cell>
          <cell r="J16076">
            <v>470.25</v>
          </cell>
        </row>
        <row r="16077">
          <cell r="A16077" t="str">
            <v>CIV</v>
          </cell>
          <cell r="B16077" t="str">
            <v>420-26455-000-0000</v>
          </cell>
          <cell r="J16077">
            <v>376.2</v>
          </cell>
        </row>
        <row r="16078">
          <cell r="A16078" t="str">
            <v>CIV</v>
          </cell>
          <cell r="B16078" t="str">
            <v>420-26455-002-0000</v>
          </cell>
          <cell r="J16078">
            <v>376.2</v>
          </cell>
        </row>
        <row r="16079">
          <cell r="A16079" t="str">
            <v>CIV</v>
          </cell>
          <cell r="B16079" t="str">
            <v>420-26455-002-2347</v>
          </cell>
          <cell r="J16079">
            <v>376.2</v>
          </cell>
        </row>
        <row r="16080">
          <cell r="A16080" t="str">
            <v>CIV</v>
          </cell>
          <cell r="B16080" t="str">
            <v>530-00000-000-0000</v>
          </cell>
          <cell r="J16080">
            <v>683779.82</v>
          </cell>
        </row>
        <row r="16081">
          <cell r="A16081" t="str">
            <v>CIV</v>
          </cell>
          <cell r="B16081" t="str">
            <v>530-21056-000-0000</v>
          </cell>
          <cell r="J16081">
            <v>1031.9000000000001</v>
          </cell>
        </row>
        <row r="16082">
          <cell r="A16082" t="str">
            <v>CIV</v>
          </cell>
          <cell r="B16082" t="str">
            <v>530-21056-023-0000</v>
          </cell>
          <cell r="J16082">
            <v>1031.9000000000001</v>
          </cell>
        </row>
        <row r="16083">
          <cell r="A16083" t="str">
            <v>CIV</v>
          </cell>
          <cell r="B16083" t="str">
            <v>530-25027-000-0000</v>
          </cell>
          <cell r="J16083">
            <v>-1859176.66</v>
          </cell>
        </row>
        <row r="16084">
          <cell r="A16084" t="str">
            <v>CIV</v>
          </cell>
          <cell r="B16084" t="str">
            <v>530-25027-016-0000</v>
          </cell>
          <cell r="J16084">
            <v>10496.72</v>
          </cell>
        </row>
        <row r="16085">
          <cell r="A16085" t="str">
            <v>CIV</v>
          </cell>
          <cell r="B16085" t="str">
            <v>530-25027-055-0000</v>
          </cell>
          <cell r="J16085">
            <v>-1869673.38</v>
          </cell>
        </row>
        <row r="16086">
          <cell r="A16086" t="str">
            <v>CIV</v>
          </cell>
          <cell r="B16086" t="str">
            <v>530-26029-000-0000</v>
          </cell>
          <cell r="J16086">
            <v>1453355.89</v>
          </cell>
        </row>
        <row r="16087">
          <cell r="A16087" t="str">
            <v>CIV</v>
          </cell>
          <cell r="B16087" t="str">
            <v>530-26029-017-0000</v>
          </cell>
          <cell r="J16087">
            <v>1195063.8600000001</v>
          </cell>
        </row>
        <row r="16088">
          <cell r="A16088" t="str">
            <v>CIV</v>
          </cell>
          <cell r="B16088" t="str">
            <v>530-26029-018-0000</v>
          </cell>
          <cell r="J16088">
            <v>9624.24</v>
          </cell>
        </row>
        <row r="16089">
          <cell r="A16089" t="str">
            <v>CIV</v>
          </cell>
          <cell r="B16089" t="str">
            <v>530-26029-018-0002</v>
          </cell>
          <cell r="J16089">
            <v>9624.24</v>
          </cell>
        </row>
        <row r="16090">
          <cell r="A16090" t="str">
            <v>CIV</v>
          </cell>
          <cell r="B16090" t="str">
            <v>530-26029-055-0000</v>
          </cell>
          <cell r="J16090">
            <v>248667.79</v>
          </cell>
        </row>
        <row r="16091">
          <cell r="A16091" t="str">
            <v>CIV</v>
          </cell>
          <cell r="B16091" t="str">
            <v>530-26033-000-0000</v>
          </cell>
          <cell r="J16091">
            <v>9779.44</v>
          </cell>
        </row>
        <row r="16092">
          <cell r="A16092" t="str">
            <v>CIV</v>
          </cell>
          <cell r="B16092" t="str">
            <v>530-26033-018-0000</v>
          </cell>
          <cell r="J16092">
            <v>9779.44</v>
          </cell>
        </row>
        <row r="16093">
          <cell r="A16093" t="str">
            <v>CIV</v>
          </cell>
          <cell r="B16093" t="str">
            <v>530-26033-018-0002</v>
          </cell>
          <cell r="J16093">
            <v>9779.44</v>
          </cell>
        </row>
        <row r="16094">
          <cell r="A16094" t="str">
            <v>CIV</v>
          </cell>
          <cell r="B16094" t="str">
            <v>530-26301-000-0000</v>
          </cell>
          <cell r="J16094">
            <v>433084.19</v>
          </cell>
        </row>
        <row r="16095">
          <cell r="A16095" t="str">
            <v>CIV</v>
          </cell>
          <cell r="B16095" t="str">
            <v>530-26301-017-0000</v>
          </cell>
          <cell r="J16095">
            <v>108000</v>
          </cell>
        </row>
        <row r="16096">
          <cell r="A16096" t="str">
            <v>CIV</v>
          </cell>
          <cell r="B16096" t="str">
            <v>530-26301-055-0000</v>
          </cell>
          <cell r="J16096">
            <v>325084.19</v>
          </cell>
        </row>
        <row r="16097">
          <cell r="A16097" t="str">
            <v>CIV</v>
          </cell>
          <cell r="B16097" t="str">
            <v>530-26361-000-0000</v>
          </cell>
          <cell r="J16097">
            <v>324223.58</v>
          </cell>
        </row>
        <row r="16098">
          <cell r="A16098" t="str">
            <v>CIV</v>
          </cell>
          <cell r="B16098" t="str">
            <v>530-26361-055-0000</v>
          </cell>
          <cell r="J16098">
            <v>324223.58</v>
          </cell>
        </row>
        <row r="16099">
          <cell r="A16099" t="str">
            <v>CIV</v>
          </cell>
          <cell r="B16099" t="str">
            <v>530-26362-000-0000</v>
          </cell>
          <cell r="J16099">
            <v>26669.59</v>
          </cell>
        </row>
        <row r="16100">
          <cell r="A16100" t="str">
            <v>CIV</v>
          </cell>
          <cell r="B16100" t="str">
            <v>530-26362-055-0000</v>
          </cell>
          <cell r="J16100">
            <v>26669.59</v>
          </cell>
        </row>
        <row r="16101">
          <cell r="A16101" t="str">
            <v>CIV</v>
          </cell>
          <cell r="B16101" t="str">
            <v>530-26404-000-0000</v>
          </cell>
          <cell r="J16101">
            <v>615.15</v>
          </cell>
        </row>
        <row r="16102">
          <cell r="A16102" t="str">
            <v>CIV</v>
          </cell>
          <cell r="B16102" t="str">
            <v>530-26404-055-0000</v>
          </cell>
          <cell r="J16102">
            <v>615.15</v>
          </cell>
        </row>
        <row r="16103">
          <cell r="A16103" t="str">
            <v>CIV</v>
          </cell>
          <cell r="B16103" t="str">
            <v>530-26419-000-0000</v>
          </cell>
          <cell r="J16103">
            <v>2677.78</v>
          </cell>
        </row>
        <row r="16104">
          <cell r="A16104" t="str">
            <v>CIV</v>
          </cell>
          <cell r="B16104" t="str">
            <v>530-26419-055-0000</v>
          </cell>
          <cell r="J16104">
            <v>2677.78</v>
          </cell>
        </row>
        <row r="16105">
          <cell r="A16105" t="str">
            <v>CIV</v>
          </cell>
          <cell r="B16105" t="str">
            <v>530-26422-000-0000</v>
          </cell>
          <cell r="J16105">
            <v>-61493.65</v>
          </cell>
        </row>
        <row r="16106">
          <cell r="A16106" t="str">
            <v>CIV</v>
          </cell>
          <cell r="B16106" t="str">
            <v>530-26422-055-0000</v>
          </cell>
          <cell r="J16106">
            <v>-61493.65</v>
          </cell>
        </row>
        <row r="16107">
          <cell r="A16107" t="str">
            <v>CIV</v>
          </cell>
          <cell r="B16107" t="str">
            <v>530-26423-000-0000</v>
          </cell>
          <cell r="J16107">
            <v>7393.74</v>
          </cell>
        </row>
        <row r="16108">
          <cell r="A16108" t="str">
            <v>CIV</v>
          </cell>
          <cell r="B16108" t="str">
            <v>530-26423-055-0000</v>
          </cell>
          <cell r="J16108">
            <v>7393.74</v>
          </cell>
        </row>
        <row r="16109">
          <cell r="A16109" t="str">
            <v>CIV</v>
          </cell>
          <cell r="B16109" t="str">
            <v>530-26424-000-0000</v>
          </cell>
          <cell r="J16109">
            <v>8786.61</v>
          </cell>
        </row>
        <row r="16110">
          <cell r="A16110" t="str">
            <v>CIV</v>
          </cell>
          <cell r="B16110" t="str">
            <v>530-26424-055-0000</v>
          </cell>
          <cell r="J16110">
            <v>8786.61</v>
          </cell>
        </row>
        <row r="16111">
          <cell r="A16111" t="str">
            <v>CIV</v>
          </cell>
          <cell r="B16111" t="str">
            <v>530-26425-000-0000</v>
          </cell>
          <cell r="J16111">
            <v>2568.65</v>
          </cell>
        </row>
        <row r="16112">
          <cell r="A16112" t="str">
            <v>CIV</v>
          </cell>
          <cell r="B16112" t="str">
            <v>530-26425-055-0000</v>
          </cell>
          <cell r="J16112">
            <v>2568.65</v>
          </cell>
        </row>
        <row r="16113">
          <cell r="A16113" t="str">
            <v>CIV</v>
          </cell>
          <cell r="B16113" t="str">
            <v>530-26426-000-0000</v>
          </cell>
          <cell r="J16113">
            <v>2032.54</v>
          </cell>
        </row>
        <row r="16114">
          <cell r="A16114" t="str">
            <v>CIV</v>
          </cell>
          <cell r="B16114" t="str">
            <v>530-26426-055-0000</v>
          </cell>
          <cell r="J16114">
            <v>2032.54</v>
          </cell>
        </row>
        <row r="16115">
          <cell r="A16115" t="str">
            <v>CIV</v>
          </cell>
          <cell r="B16115" t="str">
            <v>530-26427-000-0000</v>
          </cell>
          <cell r="J16115">
            <v>13503.94</v>
          </cell>
        </row>
        <row r="16116">
          <cell r="A16116" t="str">
            <v>CIV</v>
          </cell>
          <cell r="B16116" t="str">
            <v>530-26427-055-0000</v>
          </cell>
          <cell r="J16116">
            <v>13503.94</v>
          </cell>
        </row>
        <row r="16117">
          <cell r="A16117" t="str">
            <v>CIV</v>
          </cell>
          <cell r="B16117" t="str">
            <v>530-26428-000-0000</v>
          </cell>
          <cell r="J16117">
            <v>2032.54</v>
          </cell>
        </row>
        <row r="16118">
          <cell r="A16118" t="str">
            <v>CIV</v>
          </cell>
          <cell r="B16118" t="str">
            <v>530-26428-055-0000</v>
          </cell>
          <cell r="J16118">
            <v>2032.54</v>
          </cell>
        </row>
        <row r="16119">
          <cell r="A16119" t="str">
            <v>CIV</v>
          </cell>
          <cell r="B16119" t="str">
            <v>530-26430-000-0000</v>
          </cell>
          <cell r="J16119">
            <v>2032.54</v>
          </cell>
        </row>
        <row r="16120">
          <cell r="A16120" t="str">
            <v>CIV</v>
          </cell>
          <cell r="B16120" t="str">
            <v>530-26430-055-0000</v>
          </cell>
          <cell r="J16120">
            <v>2032.54</v>
          </cell>
        </row>
        <row r="16121">
          <cell r="A16121" t="str">
            <v>CIV</v>
          </cell>
          <cell r="B16121" t="str">
            <v>530-26431-000-0000</v>
          </cell>
          <cell r="J16121">
            <v>12220.42</v>
          </cell>
        </row>
        <row r="16122">
          <cell r="A16122" t="str">
            <v>CIV</v>
          </cell>
          <cell r="B16122" t="str">
            <v>530-26431-055-0000</v>
          </cell>
          <cell r="J16122">
            <v>12220.42</v>
          </cell>
        </row>
        <row r="16123">
          <cell r="A16123" t="str">
            <v>CIV</v>
          </cell>
          <cell r="B16123" t="str">
            <v>530-26432-000-0000</v>
          </cell>
          <cell r="J16123">
            <v>10074.33</v>
          </cell>
        </row>
        <row r="16124">
          <cell r="A16124" t="str">
            <v>CIV</v>
          </cell>
          <cell r="B16124" t="str">
            <v>530-26432-055-0000</v>
          </cell>
          <cell r="J16124">
            <v>10074.33</v>
          </cell>
        </row>
        <row r="16125">
          <cell r="A16125" t="str">
            <v>CIV</v>
          </cell>
          <cell r="B16125" t="str">
            <v>530-26433-000-0000</v>
          </cell>
          <cell r="J16125">
            <v>424.17</v>
          </cell>
        </row>
        <row r="16126">
          <cell r="A16126" t="str">
            <v>CIV</v>
          </cell>
          <cell r="B16126" t="str">
            <v>530-26433-055-0000</v>
          </cell>
          <cell r="J16126">
            <v>424.17</v>
          </cell>
        </row>
        <row r="16127">
          <cell r="A16127" t="str">
            <v>CIV</v>
          </cell>
          <cell r="B16127" t="str">
            <v>530-26434-000-0000</v>
          </cell>
          <cell r="J16127">
            <v>424.17</v>
          </cell>
        </row>
        <row r="16128">
          <cell r="A16128" t="str">
            <v>CIV</v>
          </cell>
          <cell r="B16128" t="str">
            <v>530-26434-055-0000</v>
          </cell>
          <cell r="J16128">
            <v>424.17</v>
          </cell>
        </row>
        <row r="16129">
          <cell r="A16129" t="str">
            <v>CIV</v>
          </cell>
          <cell r="B16129" t="str">
            <v>530-26438-000-0000</v>
          </cell>
          <cell r="J16129">
            <v>5225.97</v>
          </cell>
        </row>
        <row r="16130">
          <cell r="A16130" t="str">
            <v>CIV</v>
          </cell>
          <cell r="B16130" t="str">
            <v>530-26438-055-0000</v>
          </cell>
          <cell r="J16130">
            <v>5225.97</v>
          </cell>
        </row>
        <row r="16131">
          <cell r="A16131" t="str">
            <v>CIV</v>
          </cell>
          <cell r="B16131" t="str">
            <v>530-26439-000-0000</v>
          </cell>
          <cell r="J16131">
            <v>997.43</v>
          </cell>
        </row>
        <row r="16132">
          <cell r="A16132" t="str">
            <v>CIV</v>
          </cell>
          <cell r="B16132" t="str">
            <v>530-26439-055-0000</v>
          </cell>
          <cell r="J16132">
            <v>997.43</v>
          </cell>
        </row>
        <row r="16133">
          <cell r="A16133" t="str">
            <v>CIV</v>
          </cell>
          <cell r="B16133" t="str">
            <v>530-26440-000-0000</v>
          </cell>
          <cell r="J16133">
            <v>6283.26</v>
          </cell>
        </row>
        <row r="16134">
          <cell r="A16134" t="str">
            <v>CIV</v>
          </cell>
          <cell r="B16134" t="str">
            <v>530-26440-055-0000</v>
          </cell>
          <cell r="J16134">
            <v>6283.26</v>
          </cell>
        </row>
        <row r="16135">
          <cell r="A16135" t="str">
            <v>CIV</v>
          </cell>
          <cell r="B16135" t="str">
            <v>530-26441-000-0000</v>
          </cell>
          <cell r="J16135">
            <v>2248.5500000000002</v>
          </cell>
        </row>
        <row r="16136">
          <cell r="A16136" t="str">
            <v>CIV</v>
          </cell>
          <cell r="B16136" t="str">
            <v>530-26441-055-0000</v>
          </cell>
          <cell r="J16136">
            <v>2248.5500000000002</v>
          </cell>
        </row>
        <row r="16137">
          <cell r="A16137" t="str">
            <v>CIV</v>
          </cell>
          <cell r="B16137" t="str">
            <v>530-26442-000-0000</v>
          </cell>
          <cell r="J16137">
            <v>7023.65</v>
          </cell>
        </row>
        <row r="16138">
          <cell r="A16138" t="str">
            <v>CIV</v>
          </cell>
          <cell r="B16138" t="str">
            <v>530-26442-055-0000</v>
          </cell>
          <cell r="J16138">
            <v>7023.65</v>
          </cell>
        </row>
        <row r="16139">
          <cell r="A16139" t="str">
            <v>CIV</v>
          </cell>
          <cell r="B16139" t="str">
            <v>530-26443-000-0000</v>
          </cell>
          <cell r="J16139">
            <v>2248.5500000000002</v>
          </cell>
        </row>
        <row r="16140">
          <cell r="A16140" t="str">
            <v>CIV</v>
          </cell>
          <cell r="B16140" t="str">
            <v>530-26443-055-0000</v>
          </cell>
          <cell r="J16140">
            <v>2248.5500000000002</v>
          </cell>
        </row>
        <row r="16141">
          <cell r="A16141" t="str">
            <v>CIV</v>
          </cell>
          <cell r="B16141" t="str">
            <v>530-26444-000-0000</v>
          </cell>
          <cell r="J16141">
            <v>7090.41</v>
          </cell>
        </row>
        <row r="16142">
          <cell r="A16142" t="str">
            <v>CIV</v>
          </cell>
          <cell r="B16142" t="str">
            <v>530-26444-055-0000</v>
          </cell>
          <cell r="J16142">
            <v>7090.41</v>
          </cell>
        </row>
        <row r="16143">
          <cell r="A16143" t="str">
            <v>CIV</v>
          </cell>
          <cell r="B16143" t="str">
            <v>530-26445-000-0000</v>
          </cell>
          <cell r="J16143">
            <v>618.35</v>
          </cell>
        </row>
        <row r="16144">
          <cell r="A16144" t="str">
            <v>CIV</v>
          </cell>
          <cell r="B16144" t="str">
            <v>530-26445-055-0000</v>
          </cell>
          <cell r="J16144">
            <v>618.35</v>
          </cell>
        </row>
        <row r="16145">
          <cell r="A16145" t="str">
            <v>CIV</v>
          </cell>
          <cell r="B16145" t="str">
            <v>530-26446-000-0000</v>
          </cell>
          <cell r="J16145">
            <v>3021.43</v>
          </cell>
        </row>
        <row r="16146">
          <cell r="A16146" t="str">
            <v>CIV</v>
          </cell>
          <cell r="B16146" t="str">
            <v>530-26446-055-0000</v>
          </cell>
          <cell r="J16146">
            <v>3021.43</v>
          </cell>
        </row>
        <row r="16147">
          <cell r="A16147" t="str">
            <v>CIV</v>
          </cell>
          <cell r="B16147" t="str">
            <v>530-26447-000-0000</v>
          </cell>
          <cell r="J16147">
            <v>13491.27</v>
          </cell>
        </row>
        <row r="16148">
          <cell r="A16148" t="str">
            <v>CIV</v>
          </cell>
          <cell r="B16148" t="str">
            <v>530-26447-055-0000</v>
          </cell>
          <cell r="J16148">
            <v>13491.27</v>
          </cell>
        </row>
        <row r="16149">
          <cell r="A16149" t="str">
            <v>CIV</v>
          </cell>
          <cell r="B16149" t="str">
            <v>530-26448-000-0000</v>
          </cell>
          <cell r="J16149">
            <v>8994.19</v>
          </cell>
        </row>
        <row r="16150">
          <cell r="A16150" t="str">
            <v>CIV</v>
          </cell>
          <cell r="B16150" t="str">
            <v>530-26448-055-0000</v>
          </cell>
          <cell r="J16150">
            <v>8994.19</v>
          </cell>
        </row>
        <row r="16151">
          <cell r="A16151" t="str">
            <v>CIV</v>
          </cell>
          <cell r="B16151" t="str">
            <v>530-26449-000-0000</v>
          </cell>
          <cell r="J16151">
            <v>4497.09</v>
          </cell>
        </row>
        <row r="16152">
          <cell r="A16152" t="str">
            <v>CIV</v>
          </cell>
          <cell r="B16152" t="str">
            <v>530-26449-055-0000</v>
          </cell>
          <cell r="J16152">
            <v>4497.09</v>
          </cell>
        </row>
        <row r="16153">
          <cell r="A16153" t="str">
            <v>CIV</v>
          </cell>
          <cell r="B16153" t="str">
            <v>530-26450-000-0000</v>
          </cell>
          <cell r="J16153">
            <v>6169.39</v>
          </cell>
        </row>
        <row r="16154">
          <cell r="A16154" t="str">
            <v>CIV</v>
          </cell>
          <cell r="B16154" t="str">
            <v>530-26450-055-0000</v>
          </cell>
          <cell r="J16154">
            <v>6169.39</v>
          </cell>
        </row>
        <row r="16155">
          <cell r="A16155" t="str">
            <v>CIV</v>
          </cell>
          <cell r="B16155" t="str">
            <v>530-26451-000-0000</v>
          </cell>
          <cell r="J16155">
            <v>14530.87</v>
          </cell>
        </row>
        <row r="16156">
          <cell r="A16156" t="str">
            <v>CIV</v>
          </cell>
          <cell r="B16156" t="str">
            <v>530-26451-055-0000</v>
          </cell>
          <cell r="J16156">
            <v>14530.87</v>
          </cell>
        </row>
        <row r="16157">
          <cell r="A16157" t="str">
            <v>CIV</v>
          </cell>
          <cell r="B16157" t="str">
            <v>530-26452-000-0000</v>
          </cell>
          <cell r="J16157">
            <v>7841.69</v>
          </cell>
        </row>
        <row r="16158">
          <cell r="A16158" t="str">
            <v>CIV</v>
          </cell>
          <cell r="B16158" t="str">
            <v>530-26452-055-0000</v>
          </cell>
          <cell r="J16158">
            <v>7841.69</v>
          </cell>
        </row>
        <row r="16159">
          <cell r="A16159" t="str">
            <v>CIV</v>
          </cell>
          <cell r="B16159" t="str">
            <v>530-26453-000-0000</v>
          </cell>
          <cell r="J16159">
            <v>4497.09</v>
          </cell>
        </row>
        <row r="16160">
          <cell r="A16160" t="str">
            <v>CIV</v>
          </cell>
          <cell r="B16160" t="str">
            <v>530-26453-055-0000</v>
          </cell>
          <cell r="J16160">
            <v>4497.09</v>
          </cell>
        </row>
        <row r="16161">
          <cell r="A16161" t="str">
            <v>CIV</v>
          </cell>
          <cell r="B16161" t="str">
            <v>530-26454-000-0000</v>
          </cell>
          <cell r="J16161">
            <v>2017.87</v>
          </cell>
        </row>
        <row r="16162">
          <cell r="A16162" t="str">
            <v>CIV</v>
          </cell>
          <cell r="B16162" t="str">
            <v>530-26454-055-0000</v>
          </cell>
          <cell r="J16162">
            <v>2017.87</v>
          </cell>
        </row>
        <row r="16163">
          <cell r="A16163" t="str">
            <v>CIV</v>
          </cell>
          <cell r="B16163" t="str">
            <v>530-26457-000-0000</v>
          </cell>
          <cell r="J16163">
            <v>21487.81</v>
          </cell>
        </row>
        <row r="16164">
          <cell r="A16164" t="str">
            <v>CIV</v>
          </cell>
          <cell r="B16164" t="str">
            <v>530-26457-055-0000</v>
          </cell>
          <cell r="J16164">
            <v>21487.81</v>
          </cell>
        </row>
        <row r="16165">
          <cell r="A16165" t="str">
            <v>CIV</v>
          </cell>
          <cell r="B16165" t="str">
            <v>530-26459-000-0000</v>
          </cell>
          <cell r="J16165">
            <v>2467.6</v>
          </cell>
        </row>
        <row r="16166">
          <cell r="A16166" t="str">
            <v>CIV</v>
          </cell>
          <cell r="B16166" t="str">
            <v>530-26459-055-0000</v>
          </cell>
          <cell r="J16166">
            <v>2467.6</v>
          </cell>
        </row>
        <row r="16167">
          <cell r="A16167" t="str">
            <v>CIV</v>
          </cell>
          <cell r="B16167" t="str">
            <v>530-26460-000-0000</v>
          </cell>
          <cell r="J16167">
            <v>31237.77</v>
          </cell>
        </row>
        <row r="16168">
          <cell r="A16168" t="str">
            <v>CIV</v>
          </cell>
          <cell r="B16168" t="str">
            <v>530-26460-055-0000</v>
          </cell>
          <cell r="J16168">
            <v>31237.77</v>
          </cell>
        </row>
        <row r="16169">
          <cell r="A16169" t="str">
            <v>CIV</v>
          </cell>
          <cell r="B16169" t="str">
            <v>530-26461-000-0000</v>
          </cell>
          <cell r="J16169">
            <v>22907.7</v>
          </cell>
        </row>
        <row r="16170">
          <cell r="A16170" t="str">
            <v>CIV</v>
          </cell>
          <cell r="B16170" t="str">
            <v>530-26461-055-0000</v>
          </cell>
          <cell r="J16170">
            <v>22907.7</v>
          </cell>
        </row>
        <row r="16171">
          <cell r="A16171" t="str">
            <v>CIV</v>
          </cell>
          <cell r="B16171" t="str">
            <v>530-26462-000-0000</v>
          </cell>
          <cell r="J16171">
            <v>10412.59</v>
          </cell>
        </row>
        <row r="16172">
          <cell r="A16172" t="str">
            <v>CIV</v>
          </cell>
          <cell r="B16172" t="str">
            <v>530-26462-055-0000</v>
          </cell>
          <cell r="J16172">
            <v>10412.59</v>
          </cell>
        </row>
        <row r="16173">
          <cell r="A16173" t="str">
            <v>CIV</v>
          </cell>
          <cell r="B16173" t="str">
            <v>530-26463-000-0000</v>
          </cell>
          <cell r="J16173">
            <v>5206.3</v>
          </cell>
        </row>
        <row r="16174">
          <cell r="A16174" t="str">
            <v>CIV</v>
          </cell>
          <cell r="B16174" t="str">
            <v>530-26463-055-0000</v>
          </cell>
          <cell r="J16174">
            <v>5206.3</v>
          </cell>
        </row>
        <row r="16175">
          <cell r="A16175" t="str">
            <v>CIV</v>
          </cell>
          <cell r="B16175" t="str">
            <v>530-26464-000-0000</v>
          </cell>
          <cell r="J16175">
            <v>41650.36</v>
          </cell>
        </row>
        <row r="16176">
          <cell r="A16176" t="str">
            <v>CIV</v>
          </cell>
          <cell r="B16176" t="str">
            <v>530-26464-055-0000</v>
          </cell>
          <cell r="J16176">
            <v>41650.36</v>
          </cell>
        </row>
        <row r="16177">
          <cell r="A16177" t="str">
            <v>CIV</v>
          </cell>
          <cell r="B16177" t="str">
            <v>530-26465-000-0000</v>
          </cell>
          <cell r="J16177">
            <v>1041.26</v>
          </cell>
        </row>
        <row r="16178">
          <cell r="A16178" t="str">
            <v>CIV</v>
          </cell>
          <cell r="B16178" t="str">
            <v>530-26465-055-0000</v>
          </cell>
          <cell r="J16178">
            <v>1041.26</v>
          </cell>
        </row>
        <row r="16179">
          <cell r="A16179" t="str">
            <v>CIV</v>
          </cell>
          <cell r="B16179" t="str">
            <v>530-26466-000-0000</v>
          </cell>
          <cell r="J16179">
            <v>3123.78</v>
          </cell>
        </row>
        <row r="16180">
          <cell r="A16180" t="str">
            <v>CIV</v>
          </cell>
          <cell r="B16180" t="str">
            <v>530-26466-055-0000</v>
          </cell>
          <cell r="J16180">
            <v>3123.78</v>
          </cell>
        </row>
        <row r="16181">
          <cell r="A16181" t="str">
            <v>CIV</v>
          </cell>
          <cell r="B16181" t="str">
            <v>530-26467-000-0000</v>
          </cell>
          <cell r="J16181">
            <v>10412.59</v>
          </cell>
        </row>
        <row r="16182">
          <cell r="A16182" t="str">
            <v>CIV</v>
          </cell>
          <cell r="B16182" t="str">
            <v>530-26467-055-0000</v>
          </cell>
          <cell r="J16182">
            <v>10412.59</v>
          </cell>
        </row>
        <row r="16183">
          <cell r="A16183" t="str">
            <v>CIV</v>
          </cell>
          <cell r="B16183" t="str">
            <v>530-26468-000-0000</v>
          </cell>
          <cell r="J16183">
            <v>10412.59</v>
          </cell>
        </row>
        <row r="16184">
          <cell r="A16184" t="str">
            <v>CIV</v>
          </cell>
          <cell r="B16184" t="str">
            <v>530-26468-055-0000</v>
          </cell>
          <cell r="J16184">
            <v>10412.59</v>
          </cell>
        </row>
        <row r="16185">
          <cell r="A16185" t="str">
            <v>CIV</v>
          </cell>
          <cell r="B16185" t="str">
            <v>530-26469-000-0000</v>
          </cell>
          <cell r="J16185">
            <v>12495.11</v>
          </cell>
        </row>
        <row r="16186">
          <cell r="A16186" t="str">
            <v>CIV</v>
          </cell>
          <cell r="B16186" t="str">
            <v>530-26469-055-0000</v>
          </cell>
          <cell r="J16186">
            <v>12495.11</v>
          </cell>
        </row>
        <row r="16187">
          <cell r="A16187" t="str">
            <v>CIV</v>
          </cell>
          <cell r="B16187" t="str">
            <v>530-26470-000-0000</v>
          </cell>
          <cell r="J16187">
            <v>15618.89</v>
          </cell>
        </row>
        <row r="16188">
          <cell r="A16188" t="str">
            <v>CIV</v>
          </cell>
          <cell r="B16188" t="str">
            <v>530-26470-055-0000</v>
          </cell>
          <cell r="J16188">
            <v>15618.89</v>
          </cell>
        </row>
        <row r="16189">
          <cell r="A16189" t="str">
            <v>CIV</v>
          </cell>
          <cell r="B16189" t="str">
            <v>530-26471-000-0000</v>
          </cell>
          <cell r="J16189">
            <v>6247.55</v>
          </cell>
        </row>
        <row r="16190">
          <cell r="A16190" t="str">
            <v>CIV</v>
          </cell>
          <cell r="B16190" t="str">
            <v>530-26471-055-0000</v>
          </cell>
          <cell r="J16190">
            <v>6247.55</v>
          </cell>
        </row>
        <row r="16191">
          <cell r="A16191" t="str">
            <v>CIV</v>
          </cell>
          <cell r="B16191" t="str">
            <v>531-00000-000-0000</v>
          </cell>
          <cell r="J16191">
            <v>4312095.92</v>
          </cell>
        </row>
        <row r="16192">
          <cell r="A16192" t="str">
            <v>CIV</v>
          </cell>
          <cell r="B16192" t="str">
            <v>531-25027-000-0000</v>
          </cell>
          <cell r="J16192">
            <v>5141.49</v>
          </cell>
        </row>
        <row r="16193">
          <cell r="A16193" t="str">
            <v>CIV</v>
          </cell>
          <cell r="B16193" t="str">
            <v>531-25027-004-0000</v>
          </cell>
          <cell r="J16193">
            <v>5141.49</v>
          </cell>
        </row>
        <row r="16194">
          <cell r="A16194" t="str">
            <v>CIV</v>
          </cell>
          <cell r="B16194" t="str">
            <v>531-25027-004-0001</v>
          </cell>
          <cell r="J16194">
            <v>312.89999999999998</v>
          </cell>
        </row>
        <row r="16195">
          <cell r="A16195" t="str">
            <v>CIV</v>
          </cell>
          <cell r="B16195" t="str">
            <v>531-25027-004-0002</v>
          </cell>
          <cell r="J16195">
            <v>2018.12</v>
          </cell>
        </row>
        <row r="16196">
          <cell r="A16196" t="str">
            <v>CIV</v>
          </cell>
          <cell r="B16196" t="str">
            <v>531-25027-004-0003</v>
          </cell>
          <cell r="J16196">
            <v>601.73</v>
          </cell>
        </row>
        <row r="16197">
          <cell r="A16197" t="str">
            <v>CIV</v>
          </cell>
          <cell r="B16197" t="str">
            <v>531-25027-004-0004</v>
          </cell>
          <cell r="J16197">
            <v>384.44</v>
          </cell>
        </row>
        <row r="16198">
          <cell r="A16198" t="str">
            <v>CIV</v>
          </cell>
          <cell r="B16198" t="str">
            <v>531-25027-004-0005</v>
          </cell>
          <cell r="J16198">
            <v>1009.49</v>
          </cell>
        </row>
        <row r="16199">
          <cell r="A16199" t="str">
            <v>CIV</v>
          </cell>
          <cell r="B16199" t="str">
            <v>531-25027-004-0013</v>
          </cell>
          <cell r="J16199">
            <v>814.81</v>
          </cell>
        </row>
        <row r="16200">
          <cell r="A16200" t="str">
            <v>CIV</v>
          </cell>
          <cell r="B16200" t="str">
            <v>531-25301-000-0000</v>
          </cell>
          <cell r="J16200">
            <v>5611.62</v>
          </cell>
        </row>
        <row r="16201">
          <cell r="A16201" t="str">
            <v>CIV</v>
          </cell>
          <cell r="B16201" t="str">
            <v>531-25301-004-0000</v>
          </cell>
          <cell r="J16201">
            <v>5611.62</v>
          </cell>
        </row>
        <row r="16202">
          <cell r="A16202" t="str">
            <v>CIV</v>
          </cell>
          <cell r="B16202" t="str">
            <v>531-25301-004-0001</v>
          </cell>
          <cell r="J16202">
            <v>163.35</v>
          </cell>
        </row>
        <row r="16203">
          <cell r="A16203" t="str">
            <v>CIV</v>
          </cell>
          <cell r="B16203" t="str">
            <v>531-25301-004-0002</v>
          </cell>
          <cell r="J16203">
            <v>3918.39</v>
          </cell>
        </row>
        <row r="16204">
          <cell r="A16204" t="str">
            <v>CIV</v>
          </cell>
          <cell r="B16204" t="str">
            <v>531-25301-004-0003</v>
          </cell>
          <cell r="J16204">
            <v>689.66</v>
          </cell>
        </row>
        <row r="16205">
          <cell r="A16205" t="str">
            <v>CIV</v>
          </cell>
          <cell r="B16205" t="str">
            <v>531-25301-004-0005</v>
          </cell>
          <cell r="J16205">
            <v>840.22</v>
          </cell>
        </row>
        <row r="16206">
          <cell r="A16206" t="str">
            <v>CIV</v>
          </cell>
          <cell r="B16206" t="str">
            <v>531-25366-000-0000</v>
          </cell>
          <cell r="J16206">
            <v>393324.46</v>
          </cell>
        </row>
        <row r="16207">
          <cell r="A16207" t="str">
            <v>CIV</v>
          </cell>
          <cell r="B16207" t="str">
            <v>531-25366-054-0000</v>
          </cell>
          <cell r="J16207">
            <v>393324.46</v>
          </cell>
        </row>
        <row r="16208">
          <cell r="A16208" t="str">
            <v>CIV</v>
          </cell>
          <cell r="B16208" t="str">
            <v>531-25366-054-0006</v>
          </cell>
          <cell r="J16208">
            <v>393324.46</v>
          </cell>
        </row>
        <row r="16209">
          <cell r="A16209" t="str">
            <v>CIV</v>
          </cell>
          <cell r="B16209" t="str">
            <v>531-25367-000-0000</v>
          </cell>
          <cell r="J16209">
            <v>336599.3</v>
          </cell>
        </row>
        <row r="16210">
          <cell r="A16210" t="str">
            <v>CIV</v>
          </cell>
          <cell r="B16210" t="str">
            <v>531-25367-054-0000</v>
          </cell>
          <cell r="J16210">
            <v>336599.3</v>
          </cell>
        </row>
        <row r="16211">
          <cell r="A16211" t="str">
            <v>CIV</v>
          </cell>
          <cell r="B16211" t="str">
            <v>531-25367-054-0006</v>
          </cell>
          <cell r="J16211">
            <v>336599.3</v>
          </cell>
        </row>
        <row r="16212">
          <cell r="A16212" t="str">
            <v>CIV</v>
          </cell>
          <cell r="B16212" t="str">
            <v>531-26029-000-0000</v>
          </cell>
          <cell r="J16212">
            <v>30479.01</v>
          </cell>
        </row>
        <row r="16213">
          <cell r="A16213" t="str">
            <v>CIV</v>
          </cell>
          <cell r="B16213" t="str">
            <v>531-26029-004-0000</v>
          </cell>
          <cell r="J16213">
            <v>30479.01</v>
          </cell>
        </row>
        <row r="16214">
          <cell r="A16214" t="str">
            <v>CIV</v>
          </cell>
          <cell r="B16214" t="str">
            <v>531-26029-004-0001</v>
          </cell>
          <cell r="J16214">
            <v>4378.03</v>
          </cell>
        </row>
        <row r="16215">
          <cell r="A16215" t="str">
            <v>CIV</v>
          </cell>
          <cell r="B16215" t="str">
            <v>531-26029-004-0002</v>
          </cell>
          <cell r="J16215">
            <v>10791.23</v>
          </cell>
        </row>
        <row r="16216">
          <cell r="A16216" t="str">
            <v>CIV</v>
          </cell>
          <cell r="B16216" t="str">
            <v>531-26029-004-0003</v>
          </cell>
          <cell r="J16216">
            <v>2705.18</v>
          </cell>
        </row>
        <row r="16217">
          <cell r="A16217" t="str">
            <v>CIV</v>
          </cell>
          <cell r="B16217" t="str">
            <v>531-26029-004-0004</v>
          </cell>
          <cell r="J16217">
            <v>1348.28</v>
          </cell>
        </row>
        <row r="16218">
          <cell r="A16218" t="str">
            <v>CIV</v>
          </cell>
          <cell r="B16218" t="str">
            <v>531-26029-004-0005</v>
          </cell>
          <cell r="J16218">
            <v>7078.45</v>
          </cell>
        </row>
        <row r="16219">
          <cell r="A16219" t="str">
            <v>CIV</v>
          </cell>
          <cell r="B16219" t="str">
            <v>531-26029-004-0013</v>
          </cell>
          <cell r="J16219">
            <v>4177.84</v>
          </cell>
        </row>
        <row r="16220">
          <cell r="A16220" t="str">
            <v>CIV</v>
          </cell>
          <cell r="B16220" t="str">
            <v>531-26029-054-0000</v>
          </cell>
          <cell r="J16220">
            <v>0</v>
          </cell>
        </row>
        <row r="16221">
          <cell r="A16221" t="str">
            <v>CIV</v>
          </cell>
          <cell r="B16221" t="str">
            <v>531-26029-054-0006</v>
          </cell>
          <cell r="J16221">
            <v>0</v>
          </cell>
        </row>
        <row r="16222">
          <cell r="A16222" t="str">
            <v>CIV</v>
          </cell>
          <cell r="B16222" t="str">
            <v>531-26033-000-0000</v>
          </cell>
          <cell r="J16222">
            <v>1024568.61</v>
          </cell>
        </row>
        <row r="16223">
          <cell r="A16223" t="str">
            <v>CIV</v>
          </cell>
          <cell r="B16223" t="str">
            <v>531-26033-004-0000</v>
          </cell>
          <cell r="J16223">
            <v>188032.62</v>
          </cell>
        </row>
        <row r="16224">
          <cell r="A16224" t="str">
            <v>CIV</v>
          </cell>
          <cell r="B16224" t="str">
            <v>531-26033-004-0001</v>
          </cell>
          <cell r="J16224">
            <v>27050.13</v>
          </cell>
        </row>
        <row r="16225">
          <cell r="A16225" t="str">
            <v>CIV</v>
          </cell>
          <cell r="B16225" t="str">
            <v>531-26033-004-0002</v>
          </cell>
          <cell r="J16225">
            <v>107651.71</v>
          </cell>
        </row>
        <row r="16226">
          <cell r="A16226" t="str">
            <v>CIV</v>
          </cell>
          <cell r="B16226" t="str">
            <v>531-26033-004-0003</v>
          </cell>
          <cell r="J16226">
            <v>28716.639999999999</v>
          </cell>
        </row>
        <row r="16227">
          <cell r="A16227" t="str">
            <v>CIV</v>
          </cell>
          <cell r="B16227" t="str">
            <v>531-26033-004-0004</v>
          </cell>
          <cell r="J16227">
            <v>143.1</v>
          </cell>
        </row>
        <row r="16228">
          <cell r="A16228" t="str">
            <v>CIV</v>
          </cell>
          <cell r="B16228" t="str">
            <v>531-26033-004-0005</v>
          </cell>
          <cell r="J16228">
            <v>18028.59</v>
          </cell>
        </row>
        <row r="16229">
          <cell r="A16229" t="str">
            <v>CIV</v>
          </cell>
          <cell r="B16229" t="str">
            <v>531-26033-004-0009</v>
          </cell>
          <cell r="J16229">
            <v>240.53</v>
          </cell>
        </row>
        <row r="16230">
          <cell r="A16230" t="str">
            <v>CIV</v>
          </cell>
          <cell r="B16230" t="str">
            <v>531-26033-004-0011</v>
          </cell>
          <cell r="J16230">
            <v>3988.01</v>
          </cell>
        </row>
        <row r="16231">
          <cell r="A16231" t="str">
            <v>CIV</v>
          </cell>
          <cell r="B16231" t="str">
            <v>531-26033-004-0013</v>
          </cell>
          <cell r="J16231">
            <v>407.09</v>
          </cell>
        </row>
        <row r="16232">
          <cell r="A16232" t="str">
            <v>CIV</v>
          </cell>
          <cell r="B16232" t="str">
            <v>531-26033-004-0014</v>
          </cell>
          <cell r="J16232">
            <v>1806.82</v>
          </cell>
        </row>
        <row r="16233">
          <cell r="A16233" t="str">
            <v>CIV</v>
          </cell>
          <cell r="B16233" t="str">
            <v>531-26033-007-0000</v>
          </cell>
          <cell r="J16233">
            <v>1060842.93</v>
          </cell>
        </row>
        <row r="16234">
          <cell r="A16234" t="str">
            <v>CIV</v>
          </cell>
          <cell r="B16234" t="str">
            <v>531-26033-007-0010</v>
          </cell>
          <cell r="J16234">
            <v>20483.45</v>
          </cell>
        </row>
        <row r="16235">
          <cell r="A16235" t="str">
            <v>CIV</v>
          </cell>
          <cell r="B16235" t="str">
            <v>531-26033-007-0020</v>
          </cell>
          <cell r="J16235">
            <v>596173.78</v>
          </cell>
        </row>
        <row r="16236">
          <cell r="A16236" t="str">
            <v>CIV</v>
          </cell>
          <cell r="B16236" t="str">
            <v>531-26033-007-0030</v>
          </cell>
          <cell r="J16236">
            <v>24492.46</v>
          </cell>
        </row>
        <row r="16237">
          <cell r="A16237" t="str">
            <v>CIV</v>
          </cell>
          <cell r="B16237" t="str">
            <v>531-26033-007-0060</v>
          </cell>
          <cell r="J16237">
            <v>418750.75</v>
          </cell>
        </row>
        <row r="16238">
          <cell r="A16238" t="str">
            <v>CIV</v>
          </cell>
          <cell r="B16238" t="str">
            <v>531-26033-007-0070</v>
          </cell>
          <cell r="J16238">
            <v>942.49</v>
          </cell>
        </row>
        <row r="16239">
          <cell r="A16239" t="str">
            <v>CIV</v>
          </cell>
          <cell r="B16239" t="str">
            <v>531-26033-031-0000</v>
          </cell>
          <cell r="J16239">
            <v>1528</v>
          </cell>
        </row>
        <row r="16240">
          <cell r="A16240" t="str">
            <v>CIV</v>
          </cell>
          <cell r="B16240" t="str">
            <v>531-26033-054-0000</v>
          </cell>
          <cell r="J16240">
            <v>-225834.94</v>
          </cell>
        </row>
        <row r="16241">
          <cell r="A16241" t="str">
            <v>CIV</v>
          </cell>
          <cell r="B16241" t="str">
            <v>531-26033-054-0006</v>
          </cell>
          <cell r="J16241">
            <v>-225834.94</v>
          </cell>
        </row>
        <row r="16242">
          <cell r="A16242" t="str">
            <v>CIV</v>
          </cell>
          <cell r="B16242" t="str">
            <v>531-26301-000-0000</v>
          </cell>
          <cell r="J16242">
            <v>453400.22</v>
          </cell>
        </row>
        <row r="16243">
          <cell r="A16243" t="str">
            <v>CIV</v>
          </cell>
          <cell r="B16243" t="str">
            <v>531-26301-004-0000</v>
          </cell>
          <cell r="J16243">
            <v>17664.89</v>
          </cell>
        </row>
        <row r="16244">
          <cell r="A16244" t="str">
            <v>CIV</v>
          </cell>
          <cell r="B16244" t="str">
            <v>531-26301-004-0001</v>
          </cell>
          <cell r="J16244">
            <v>2262.59</v>
          </cell>
        </row>
        <row r="16245">
          <cell r="A16245" t="str">
            <v>CIV</v>
          </cell>
          <cell r="B16245" t="str">
            <v>531-26301-004-0002</v>
          </cell>
          <cell r="J16245">
            <v>3266.99</v>
          </cell>
        </row>
        <row r="16246">
          <cell r="A16246" t="str">
            <v>CIV</v>
          </cell>
          <cell r="B16246" t="str">
            <v>531-26301-004-0003</v>
          </cell>
          <cell r="J16246">
            <v>7008.09</v>
          </cell>
        </row>
        <row r="16247">
          <cell r="A16247" t="str">
            <v>CIV</v>
          </cell>
          <cell r="B16247" t="str">
            <v>531-26301-004-0005</v>
          </cell>
          <cell r="J16247">
            <v>2357.59</v>
          </cell>
        </row>
        <row r="16248">
          <cell r="A16248" t="str">
            <v>CIV</v>
          </cell>
          <cell r="B16248" t="str">
            <v>531-26301-004-0013</v>
          </cell>
          <cell r="J16248">
            <v>2769.63</v>
          </cell>
        </row>
        <row r="16249">
          <cell r="A16249" t="str">
            <v>CIV</v>
          </cell>
          <cell r="B16249" t="str">
            <v>531-26301-007-0000</v>
          </cell>
          <cell r="J16249">
            <v>381086.45</v>
          </cell>
        </row>
        <row r="16250">
          <cell r="A16250" t="str">
            <v>CIV</v>
          </cell>
          <cell r="B16250" t="str">
            <v>531-26301-007-0020</v>
          </cell>
          <cell r="J16250">
            <v>256253.12</v>
          </cell>
        </row>
        <row r="16251">
          <cell r="A16251" t="str">
            <v>CIV</v>
          </cell>
          <cell r="B16251" t="str">
            <v>531-26301-007-0060</v>
          </cell>
          <cell r="J16251">
            <v>124833.33</v>
          </cell>
        </row>
        <row r="16252">
          <cell r="A16252" t="str">
            <v>CIV</v>
          </cell>
          <cell r="B16252" t="str">
            <v>531-26301-031-0000</v>
          </cell>
          <cell r="J16252">
            <v>54648.88</v>
          </cell>
        </row>
        <row r="16253">
          <cell r="A16253" t="str">
            <v>CIV</v>
          </cell>
          <cell r="B16253" t="str">
            <v>531-26361-000-0000</v>
          </cell>
          <cell r="J16253">
            <v>1527557.45</v>
          </cell>
        </row>
        <row r="16254">
          <cell r="A16254" t="str">
            <v>CIV</v>
          </cell>
          <cell r="B16254" t="str">
            <v>531-26361-004-0000</v>
          </cell>
          <cell r="J16254">
            <v>6944.44</v>
          </cell>
        </row>
        <row r="16255">
          <cell r="A16255" t="str">
            <v>CIV</v>
          </cell>
          <cell r="B16255" t="str">
            <v>531-26361-004-0013</v>
          </cell>
          <cell r="J16255">
            <v>6944.44</v>
          </cell>
        </row>
        <row r="16256">
          <cell r="A16256" t="str">
            <v>CIV</v>
          </cell>
          <cell r="B16256" t="str">
            <v>531-26361-007-0000</v>
          </cell>
          <cell r="J16256">
            <v>1387870.63</v>
          </cell>
        </row>
        <row r="16257">
          <cell r="A16257" t="str">
            <v>CIV</v>
          </cell>
          <cell r="B16257" t="str">
            <v>531-26361-007-0020</v>
          </cell>
          <cell r="J16257">
            <v>973903.83</v>
          </cell>
        </row>
        <row r="16258">
          <cell r="A16258" t="str">
            <v>CIV</v>
          </cell>
          <cell r="B16258" t="str">
            <v>531-26361-007-0060</v>
          </cell>
          <cell r="J16258">
            <v>413966.8</v>
          </cell>
        </row>
        <row r="16259">
          <cell r="A16259" t="str">
            <v>CIV</v>
          </cell>
          <cell r="B16259" t="str">
            <v>531-26361-009-0000</v>
          </cell>
          <cell r="J16259">
            <v>113682.4</v>
          </cell>
        </row>
        <row r="16260">
          <cell r="A16260" t="str">
            <v>CIV</v>
          </cell>
          <cell r="B16260" t="str">
            <v>531-26361-031-0000</v>
          </cell>
          <cell r="J16260">
            <v>19059.98</v>
          </cell>
        </row>
        <row r="16261">
          <cell r="A16261" t="str">
            <v>CIV</v>
          </cell>
          <cell r="B16261" t="str">
            <v>531-26362-000-0000</v>
          </cell>
          <cell r="J16261">
            <v>55351.71</v>
          </cell>
        </row>
        <row r="16262">
          <cell r="A16262" t="str">
            <v>CIV</v>
          </cell>
          <cell r="B16262" t="str">
            <v>531-26362-004-0000</v>
          </cell>
          <cell r="J16262">
            <v>699.14</v>
          </cell>
        </row>
        <row r="16263">
          <cell r="A16263" t="str">
            <v>CIV</v>
          </cell>
          <cell r="B16263" t="str">
            <v>531-26362-004-0002</v>
          </cell>
          <cell r="J16263">
            <v>699.14</v>
          </cell>
        </row>
        <row r="16264">
          <cell r="A16264" t="str">
            <v>CIV</v>
          </cell>
          <cell r="B16264" t="str">
            <v>531-26362-007-0000</v>
          </cell>
          <cell r="J16264">
            <v>46325.43</v>
          </cell>
        </row>
        <row r="16265">
          <cell r="A16265" t="str">
            <v>CIV</v>
          </cell>
          <cell r="B16265" t="str">
            <v>531-26362-007-0030</v>
          </cell>
          <cell r="J16265">
            <v>46233.440000000002</v>
          </cell>
        </row>
        <row r="16266">
          <cell r="A16266" t="str">
            <v>CIV</v>
          </cell>
          <cell r="B16266" t="str">
            <v>531-26362-007-0060</v>
          </cell>
          <cell r="J16266">
            <v>91.99</v>
          </cell>
        </row>
        <row r="16267">
          <cell r="A16267" t="str">
            <v>CIV</v>
          </cell>
          <cell r="B16267" t="str">
            <v>531-26362-031-0000</v>
          </cell>
          <cell r="J16267">
            <v>8327.14</v>
          </cell>
        </row>
        <row r="16268">
          <cell r="A16268" t="str">
            <v>CIV</v>
          </cell>
          <cell r="B16268" t="str">
            <v>531-26363-007-0000</v>
          </cell>
          <cell r="J16268">
            <v>434555.59</v>
          </cell>
        </row>
        <row r="16269">
          <cell r="A16269" t="str">
            <v>CIV</v>
          </cell>
          <cell r="B16269" t="str">
            <v>531-26363-007-0010</v>
          </cell>
          <cell r="J16269">
            <v>334243.07</v>
          </cell>
        </row>
        <row r="16270">
          <cell r="A16270" t="str">
            <v>CIV</v>
          </cell>
          <cell r="B16270" t="str">
            <v>531-26363-007-0030</v>
          </cell>
          <cell r="J16270">
            <v>1592.56</v>
          </cell>
        </row>
        <row r="16271">
          <cell r="A16271" t="str">
            <v>CIV</v>
          </cell>
          <cell r="B16271" t="str">
            <v>531-26363-007-0060</v>
          </cell>
          <cell r="J16271">
            <v>98719.96</v>
          </cell>
        </row>
        <row r="16272">
          <cell r="A16272" t="str">
            <v>CIV</v>
          </cell>
          <cell r="B16272" t="str">
            <v>531-26363-054-0000</v>
          </cell>
          <cell r="J16272">
            <v>-434555.59</v>
          </cell>
        </row>
        <row r="16273">
          <cell r="A16273" t="str">
            <v>CIV</v>
          </cell>
          <cell r="B16273" t="str">
            <v>531-26363-054-0006</v>
          </cell>
          <cell r="J16273">
            <v>-434555.59</v>
          </cell>
        </row>
        <row r="16274">
          <cell r="A16274" t="str">
            <v>CIV</v>
          </cell>
          <cell r="B16274" t="str">
            <v>531-26401-000-0000</v>
          </cell>
          <cell r="J16274">
            <v>24582.32</v>
          </cell>
        </row>
        <row r="16275">
          <cell r="A16275" t="str">
            <v>CIV</v>
          </cell>
          <cell r="B16275" t="str">
            <v>531-26401-007-0000</v>
          </cell>
          <cell r="J16275">
            <v>23080.58</v>
          </cell>
        </row>
        <row r="16276">
          <cell r="A16276" t="str">
            <v>CIV</v>
          </cell>
          <cell r="B16276" t="str">
            <v>531-26401-007-0020</v>
          </cell>
          <cell r="J16276">
            <v>20914.349999999999</v>
          </cell>
        </row>
        <row r="16277">
          <cell r="A16277" t="str">
            <v>CIV</v>
          </cell>
          <cell r="B16277" t="str">
            <v>531-26401-007-0060</v>
          </cell>
          <cell r="J16277">
            <v>2166.23</v>
          </cell>
        </row>
        <row r="16278">
          <cell r="A16278" t="str">
            <v>CIV</v>
          </cell>
          <cell r="B16278" t="str">
            <v>531-26401-031-0000</v>
          </cell>
          <cell r="J16278">
            <v>1501.74</v>
          </cell>
        </row>
        <row r="16279">
          <cell r="A16279" t="str">
            <v>CIV</v>
          </cell>
          <cell r="B16279" t="str">
            <v>531-26403-000-0000</v>
          </cell>
          <cell r="J16279">
            <v>5853.88</v>
          </cell>
        </row>
        <row r="16280">
          <cell r="A16280" t="str">
            <v>CIV</v>
          </cell>
          <cell r="B16280" t="str">
            <v>531-26403-004-0000</v>
          </cell>
          <cell r="J16280">
            <v>156.44999999999999</v>
          </cell>
        </row>
        <row r="16281">
          <cell r="A16281" t="str">
            <v>CIV</v>
          </cell>
          <cell r="B16281" t="str">
            <v>531-26403-004-0001</v>
          </cell>
          <cell r="J16281">
            <v>156.44999999999999</v>
          </cell>
        </row>
        <row r="16282">
          <cell r="A16282" t="str">
            <v>CIV</v>
          </cell>
          <cell r="B16282" t="str">
            <v>531-26403-007-0000</v>
          </cell>
          <cell r="J16282">
            <v>5697.43</v>
          </cell>
        </row>
        <row r="16283">
          <cell r="A16283" t="str">
            <v>CIV</v>
          </cell>
          <cell r="B16283" t="str">
            <v>531-26403-007-0020</v>
          </cell>
          <cell r="J16283">
            <v>5156.2299999999996</v>
          </cell>
        </row>
        <row r="16284">
          <cell r="A16284" t="str">
            <v>CIV</v>
          </cell>
          <cell r="B16284" t="str">
            <v>531-26403-007-0060</v>
          </cell>
          <cell r="J16284">
            <v>541.20000000000005</v>
          </cell>
        </row>
        <row r="16285">
          <cell r="A16285" t="str">
            <v>CIV</v>
          </cell>
          <cell r="B16285" t="str">
            <v>531-26404-000-0000</v>
          </cell>
          <cell r="J16285">
            <v>617.33000000000004</v>
          </cell>
        </row>
        <row r="16286">
          <cell r="A16286" t="str">
            <v>CIV</v>
          </cell>
          <cell r="B16286" t="str">
            <v>531-26404-007-0000</v>
          </cell>
          <cell r="J16286">
            <v>582.94000000000005</v>
          </cell>
        </row>
        <row r="16287">
          <cell r="A16287" t="str">
            <v>CIV</v>
          </cell>
          <cell r="B16287" t="str">
            <v>531-26404-007-0010</v>
          </cell>
          <cell r="J16287">
            <v>490.62</v>
          </cell>
        </row>
        <row r="16288">
          <cell r="A16288" t="str">
            <v>CIV</v>
          </cell>
          <cell r="B16288" t="str">
            <v>531-26404-007-0020</v>
          </cell>
          <cell r="J16288">
            <v>0.59</v>
          </cell>
        </row>
        <row r="16289">
          <cell r="A16289" t="str">
            <v>CIV</v>
          </cell>
          <cell r="B16289" t="str">
            <v>531-26404-007-0060</v>
          </cell>
          <cell r="J16289">
            <v>91.73</v>
          </cell>
        </row>
        <row r="16290">
          <cell r="A16290" t="str">
            <v>CIV</v>
          </cell>
          <cell r="B16290" t="str">
            <v>531-26404-031-0000</v>
          </cell>
          <cell r="J16290">
            <v>34.39</v>
          </cell>
        </row>
        <row r="16291">
          <cell r="A16291" t="str">
            <v>CIV</v>
          </cell>
          <cell r="B16291" t="str">
            <v>531-26405-000-0000</v>
          </cell>
          <cell r="J16291">
            <v>3086.62</v>
          </cell>
        </row>
        <row r="16292">
          <cell r="A16292" t="str">
            <v>CIV</v>
          </cell>
          <cell r="B16292" t="str">
            <v>531-26405-007-0000</v>
          </cell>
          <cell r="J16292">
            <v>2914.67</v>
          </cell>
        </row>
        <row r="16293">
          <cell r="A16293" t="str">
            <v>CIV</v>
          </cell>
          <cell r="B16293" t="str">
            <v>531-26405-007-0010</v>
          </cell>
          <cell r="J16293">
            <v>2453.1</v>
          </cell>
        </row>
        <row r="16294">
          <cell r="A16294" t="str">
            <v>CIV</v>
          </cell>
          <cell r="B16294" t="str">
            <v>531-26405-007-0020</v>
          </cell>
          <cell r="J16294">
            <v>2.93</v>
          </cell>
        </row>
        <row r="16295">
          <cell r="A16295" t="str">
            <v>CIV</v>
          </cell>
          <cell r="B16295" t="str">
            <v>531-26405-007-0060</v>
          </cell>
          <cell r="J16295">
            <v>458.64</v>
          </cell>
        </row>
        <row r="16296">
          <cell r="A16296" t="str">
            <v>CIV</v>
          </cell>
          <cell r="B16296" t="str">
            <v>531-26405-031-0000</v>
          </cell>
          <cell r="J16296">
            <v>171.95</v>
          </cell>
        </row>
        <row r="16297">
          <cell r="A16297" t="str">
            <v>CIV</v>
          </cell>
          <cell r="B16297" t="str">
            <v>531-26406-000-0000</v>
          </cell>
          <cell r="J16297">
            <v>4879.7299999999996</v>
          </cell>
        </row>
        <row r="16298">
          <cell r="A16298" t="str">
            <v>CIV</v>
          </cell>
          <cell r="B16298" t="str">
            <v>531-26406-007-0000</v>
          </cell>
          <cell r="J16298">
            <v>4436.47</v>
          </cell>
        </row>
        <row r="16299">
          <cell r="A16299" t="str">
            <v>CIV</v>
          </cell>
          <cell r="B16299" t="str">
            <v>531-26406-007-0020</v>
          </cell>
          <cell r="J16299">
            <v>4057.12</v>
          </cell>
        </row>
        <row r="16300">
          <cell r="A16300" t="str">
            <v>CIV</v>
          </cell>
          <cell r="B16300" t="str">
            <v>531-26406-007-0060</v>
          </cell>
          <cell r="J16300">
            <v>379.35</v>
          </cell>
        </row>
        <row r="16301">
          <cell r="A16301" t="str">
            <v>CIV</v>
          </cell>
          <cell r="B16301" t="str">
            <v>531-26406-031-0000</v>
          </cell>
          <cell r="J16301">
            <v>443.26</v>
          </cell>
        </row>
        <row r="16302">
          <cell r="A16302" t="str">
            <v>CIV</v>
          </cell>
          <cell r="B16302" t="str">
            <v>531-26407-000-0000</v>
          </cell>
          <cell r="J16302">
            <v>12018.79</v>
          </cell>
        </row>
        <row r="16303">
          <cell r="A16303" t="str">
            <v>CIV</v>
          </cell>
          <cell r="B16303" t="str">
            <v>531-26407-007-0000</v>
          </cell>
          <cell r="J16303">
            <v>10748.23</v>
          </cell>
        </row>
        <row r="16304">
          <cell r="A16304" t="str">
            <v>CIV</v>
          </cell>
          <cell r="B16304" t="str">
            <v>531-26407-007-0020</v>
          </cell>
          <cell r="J16304">
            <v>9664.39</v>
          </cell>
        </row>
        <row r="16305">
          <cell r="A16305" t="str">
            <v>CIV</v>
          </cell>
          <cell r="B16305" t="str">
            <v>531-26407-007-0060</v>
          </cell>
          <cell r="J16305">
            <v>1083.8399999999999</v>
          </cell>
        </row>
        <row r="16306">
          <cell r="A16306" t="str">
            <v>CIV</v>
          </cell>
          <cell r="B16306" t="str">
            <v>531-26407-031-0000</v>
          </cell>
          <cell r="J16306">
            <v>1270.56</v>
          </cell>
        </row>
        <row r="16307">
          <cell r="A16307" t="str">
            <v>CIV</v>
          </cell>
          <cell r="B16307" t="str">
            <v>531-26408-000-0000</v>
          </cell>
          <cell r="J16307">
            <v>16298.43</v>
          </cell>
        </row>
        <row r="16308">
          <cell r="A16308" t="str">
            <v>CIV</v>
          </cell>
          <cell r="B16308" t="str">
            <v>531-26408-007-0000</v>
          </cell>
          <cell r="J16308">
            <v>14838.71</v>
          </cell>
        </row>
        <row r="16309">
          <cell r="A16309" t="str">
            <v>CIV</v>
          </cell>
          <cell r="B16309" t="str">
            <v>531-26408-007-0020</v>
          </cell>
          <cell r="J16309">
            <v>13592.29</v>
          </cell>
        </row>
        <row r="16310">
          <cell r="A16310" t="str">
            <v>CIV</v>
          </cell>
          <cell r="B16310" t="str">
            <v>531-26408-007-0060</v>
          </cell>
          <cell r="J16310">
            <v>1246.42</v>
          </cell>
        </row>
        <row r="16311">
          <cell r="A16311" t="str">
            <v>CIV</v>
          </cell>
          <cell r="B16311" t="str">
            <v>531-26408-031-0000</v>
          </cell>
          <cell r="J16311">
            <v>1459.72</v>
          </cell>
        </row>
        <row r="16312">
          <cell r="A16312" t="str">
            <v>CIV</v>
          </cell>
          <cell r="B16312" t="str">
            <v>531-26409-000-0000</v>
          </cell>
          <cell r="J16312">
            <v>19634.8</v>
          </cell>
        </row>
        <row r="16313">
          <cell r="A16313" t="str">
            <v>CIV</v>
          </cell>
          <cell r="B16313" t="str">
            <v>531-26409-007-0000</v>
          </cell>
          <cell r="J16313">
            <v>17729.91</v>
          </cell>
        </row>
        <row r="16314">
          <cell r="A16314" t="str">
            <v>CIV</v>
          </cell>
          <cell r="B16314" t="str">
            <v>531-26409-007-0020</v>
          </cell>
          <cell r="J16314">
            <v>16104.14</v>
          </cell>
        </row>
        <row r="16315">
          <cell r="A16315" t="str">
            <v>CIV</v>
          </cell>
          <cell r="B16315" t="str">
            <v>531-26409-007-0060</v>
          </cell>
          <cell r="J16315">
            <v>1625.77</v>
          </cell>
        </row>
        <row r="16316">
          <cell r="A16316" t="str">
            <v>CIV</v>
          </cell>
          <cell r="B16316" t="str">
            <v>531-26409-031-0000</v>
          </cell>
          <cell r="J16316">
            <v>1904.89</v>
          </cell>
        </row>
        <row r="16317">
          <cell r="A16317" t="str">
            <v>CIV</v>
          </cell>
          <cell r="B16317" t="str">
            <v>531-26410-000-0000</v>
          </cell>
          <cell r="J16317">
            <v>10462.4</v>
          </cell>
        </row>
        <row r="16318">
          <cell r="A16318" t="str">
            <v>CIV</v>
          </cell>
          <cell r="B16318" t="str">
            <v>531-26410-007-0000</v>
          </cell>
          <cell r="J16318">
            <v>9510.91</v>
          </cell>
        </row>
        <row r="16319">
          <cell r="A16319" t="str">
            <v>CIV</v>
          </cell>
          <cell r="B16319" t="str">
            <v>531-26410-007-0020</v>
          </cell>
          <cell r="J16319">
            <v>8698.0300000000007</v>
          </cell>
        </row>
        <row r="16320">
          <cell r="A16320" t="str">
            <v>CIV</v>
          </cell>
          <cell r="B16320" t="str">
            <v>531-26410-007-0060</v>
          </cell>
          <cell r="J16320">
            <v>812.88</v>
          </cell>
        </row>
        <row r="16321">
          <cell r="A16321" t="str">
            <v>CIV</v>
          </cell>
          <cell r="B16321" t="str">
            <v>531-26410-031-0000</v>
          </cell>
          <cell r="J16321">
            <v>951.49</v>
          </cell>
        </row>
        <row r="16322">
          <cell r="A16322" t="str">
            <v>CIV</v>
          </cell>
          <cell r="B16322" t="str">
            <v>531-26411-000-0000</v>
          </cell>
          <cell r="J16322">
            <v>6972.14</v>
          </cell>
        </row>
        <row r="16323">
          <cell r="A16323" t="str">
            <v>CIV</v>
          </cell>
          <cell r="B16323" t="str">
            <v>531-26411-007-0000</v>
          </cell>
          <cell r="J16323">
            <v>6337.81</v>
          </cell>
        </row>
        <row r="16324">
          <cell r="A16324" t="str">
            <v>CIV</v>
          </cell>
          <cell r="B16324" t="str">
            <v>531-26411-007-0020</v>
          </cell>
          <cell r="J16324">
            <v>5795.89</v>
          </cell>
        </row>
        <row r="16325">
          <cell r="A16325" t="str">
            <v>CIV</v>
          </cell>
          <cell r="B16325" t="str">
            <v>531-26411-007-0060</v>
          </cell>
          <cell r="J16325">
            <v>541.91999999999996</v>
          </cell>
        </row>
        <row r="16326">
          <cell r="A16326" t="str">
            <v>CIV</v>
          </cell>
          <cell r="B16326" t="str">
            <v>531-26411-031-0000</v>
          </cell>
          <cell r="J16326">
            <v>634.33000000000004</v>
          </cell>
        </row>
        <row r="16327">
          <cell r="A16327" t="str">
            <v>CIV</v>
          </cell>
          <cell r="B16327" t="str">
            <v>531-26412-000-0000</v>
          </cell>
          <cell r="J16327">
            <v>3490.27</v>
          </cell>
        </row>
        <row r="16328">
          <cell r="A16328" t="str">
            <v>CIV</v>
          </cell>
          <cell r="B16328" t="str">
            <v>531-26412-007-0000</v>
          </cell>
          <cell r="J16328">
            <v>3173.11</v>
          </cell>
        </row>
        <row r="16329">
          <cell r="A16329" t="str">
            <v>CIV</v>
          </cell>
          <cell r="B16329" t="str">
            <v>531-26412-007-0020</v>
          </cell>
          <cell r="J16329">
            <v>2902.15</v>
          </cell>
        </row>
        <row r="16330">
          <cell r="A16330" t="str">
            <v>CIV</v>
          </cell>
          <cell r="B16330" t="str">
            <v>531-26412-007-0060</v>
          </cell>
          <cell r="J16330">
            <v>270.95999999999998</v>
          </cell>
        </row>
        <row r="16331">
          <cell r="A16331" t="str">
            <v>CIV</v>
          </cell>
          <cell r="B16331" t="str">
            <v>531-26412-031-0000</v>
          </cell>
          <cell r="J16331">
            <v>317.16000000000003</v>
          </cell>
        </row>
        <row r="16332">
          <cell r="A16332" t="str">
            <v>CIV</v>
          </cell>
          <cell r="B16332" t="str">
            <v>531-26413-000-0000</v>
          </cell>
          <cell r="J16332">
            <v>3490.27</v>
          </cell>
        </row>
        <row r="16333">
          <cell r="A16333" t="str">
            <v>CIV</v>
          </cell>
          <cell r="B16333" t="str">
            <v>531-26413-007-0000</v>
          </cell>
          <cell r="J16333">
            <v>3173.11</v>
          </cell>
        </row>
        <row r="16334">
          <cell r="A16334" t="str">
            <v>CIV</v>
          </cell>
          <cell r="B16334" t="str">
            <v>531-26413-007-0020</v>
          </cell>
          <cell r="J16334">
            <v>2902.15</v>
          </cell>
        </row>
        <row r="16335">
          <cell r="A16335" t="str">
            <v>CIV</v>
          </cell>
          <cell r="B16335" t="str">
            <v>531-26413-007-0060</v>
          </cell>
          <cell r="J16335">
            <v>270.95999999999998</v>
          </cell>
        </row>
        <row r="16336">
          <cell r="A16336" t="str">
            <v>CIV</v>
          </cell>
          <cell r="B16336" t="str">
            <v>531-26413-031-0000</v>
          </cell>
          <cell r="J16336">
            <v>317.16000000000003</v>
          </cell>
        </row>
        <row r="16337">
          <cell r="A16337" t="str">
            <v>CIV</v>
          </cell>
          <cell r="B16337" t="str">
            <v>531-26414-000-0000</v>
          </cell>
          <cell r="J16337">
            <v>18002.060000000001</v>
          </cell>
        </row>
        <row r="16338">
          <cell r="A16338" t="str">
            <v>CIV</v>
          </cell>
          <cell r="B16338" t="str">
            <v>531-26414-004-0000</v>
          </cell>
          <cell r="J16338">
            <v>156.44999999999999</v>
          </cell>
        </row>
        <row r="16339">
          <cell r="A16339" t="str">
            <v>CIV</v>
          </cell>
          <cell r="B16339" t="str">
            <v>531-26414-004-0001</v>
          </cell>
          <cell r="J16339">
            <v>156.44999999999999</v>
          </cell>
        </row>
        <row r="16340">
          <cell r="A16340" t="str">
            <v>CIV</v>
          </cell>
          <cell r="B16340" t="str">
            <v>531-26414-007-0000</v>
          </cell>
          <cell r="J16340">
            <v>1308.79</v>
          </cell>
        </row>
        <row r="16341">
          <cell r="A16341" t="str">
            <v>CIV</v>
          </cell>
          <cell r="B16341" t="str">
            <v>531-26414-007-0020</v>
          </cell>
          <cell r="J16341">
            <v>1200.4100000000001</v>
          </cell>
        </row>
        <row r="16342">
          <cell r="A16342" t="str">
            <v>CIV</v>
          </cell>
          <cell r="B16342" t="str">
            <v>531-26414-007-0060</v>
          </cell>
          <cell r="J16342">
            <v>108.38</v>
          </cell>
        </row>
        <row r="16343">
          <cell r="A16343" t="str">
            <v>CIV</v>
          </cell>
          <cell r="B16343" t="str">
            <v>531-26414-031-0000</v>
          </cell>
          <cell r="J16343">
            <v>16536.82</v>
          </cell>
        </row>
        <row r="16344">
          <cell r="A16344" t="str">
            <v>CIV</v>
          </cell>
          <cell r="B16344" t="str">
            <v>531-26415-000-0000</v>
          </cell>
          <cell r="J16344">
            <v>6537.06</v>
          </cell>
        </row>
        <row r="16345">
          <cell r="A16345" t="str">
            <v>CIV</v>
          </cell>
          <cell r="B16345" t="str">
            <v>531-26415-007-0000</v>
          </cell>
          <cell r="J16345">
            <v>5965.78</v>
          </cell>
        </row>
        <row r="16346">
          <cell r="A16346" t="str">
            <v>CIV</v>
          </cell>
          <cell r="B16346" t="str">
            <v>531-26415-007-0020</v>
          </cell>
          <cell r="J16346">
            <v>5478.05</v>
          </cell>
        </row>
        <row r="16347">
          <cell r="A16347" t="str">
            <v>CIV</v>
          </cell>
          <cell r="B16347" t="str">
            <v>531-26415-007-0060</v>
          </cell>
          <cell r="J16347">
            <v>487.73</v>
          </cell>
        </row>
        <row r="16348">
          <cell r="A16348" t="str">
            <v>CIV</v>
          </cell>
          <cell r="B16348" t="str">
            <v>531-26415-031-0000</v>
          </cell>
          <cell r="J16348">
            <v>571.28</v>
          </cell>
        </row>
        <row r="16349">
          <cell r="A16349" t="str">
            <v>CIV</v>
          </cell>
          <cell r="B16349" t="str">
            <v>531-26416-000-0000</v>
          </cell>
          <cell r="J16349">
            <v>17799.939999999999</v>
          </cell>
        </row>
        <row r="16350">
          <cell r="A16350" t="str">
            <v>CIV</v>
          </cell>
          <cell r="B16350" t="str">
            <v>531-26416-007-0000</v>
          </cell>
          <cell r="J16350">
            <v>16086.11</v>
          </cell>
        </row>
        <row r="16351">
          <cell r="A16351" t="str">
            <v>CIV</v>
          </cell>
          <cell r="B16351" t="str">
            <v>531-26416-007-0020</v>
          </cell>
          <cell r="J16351">
            <v>14622.92</v>
          </cell>
        </row>
        <row r="16352">
          <cell r="A16352" t="str">
            <v>CIV</v>
          </cell>
          <cell r="B16352" t="str">
            <v>531-26416-007-0060</v>
          </cell>
          <cell r="J16352">
            <v>1463.19</v>
          </cell>
        </row>
        <row r="16353">
          <cell r="A16353" t="str">
            <v>CIV</v>
          </cell>
          <cell r="B16353" t="str">
            <v>531-26416-031-0000</v>
          </cell>
          <cell r="J16353">
            <v>1713.83</v>
          </cell>
        </row>
        <row r="16354">
          <cell r="A16354" t="str">
            <v>CIV</v>
          </cell>
          <cell r="B16354" t="str">
            <v>531-26417-000-0000</v>
          </cell>
          <cell r="J16354">
            <v>4058.32</v>
          </cell>
        </row>
        <row r="16355">
          <cell r="A16355" t="str">
            <v>CIV</v>
          </cell>
          <cell r="B16355" t="str">
            <v>531-26417-007-0000</v>
          </cell>
          <cell r="J16355">
            <v>3678.11</v>
          </cell>
        </row>
        <row r="16356">
          <cell r="A16356" t="str">
            <v>CIV</v>
          </cell>
          <cell r="B16356" t="str">
            <v>531-26417-007-0020</v>
          </cell>
          <cell r="J16356">
            <v>3352.96</v>
          </cell>
        </row>
        <row r="16357">
          <cell r="A16357" t="str">
            <v>CIV</v>
          </cell>
          <cell r="B16357" t="str">
            <v>531-26417-007-0060</v>
          </cell>
          <cell r="J16357">
            <v>325.14999999999998</v>
          </cell>
        </row>
        <row r="16358">
          <cell r="A16358" t="str">
            <v>CIV</v>
          </cell>
          <cell r="B16358" t="str">
            <v>531-26417-031-0000</v>
          </cell>
          <cell r="J16358">
            <v>380.21</v>
          </cell>
        </row>
        <row r="16359">
          <cell r="A16359" t="str">
            <v>CIV</v>
          </cell>
          <cell r="B16359" t="str">
            <v>531-26418-000-0000</v>
          </cell>
          <cell r="J16359">
            <v>29600.74</v>
          </cell>
        </row>
        <row r="16360">
          <cell r="A16360" t="str">
            <v>CIV</v>
          </cell>
          <cell r="B16360" t="str">
            <v>531-26418-004-0000</v>
          </cell>
          <cell r="J16360">
            <v>603.45000000000005</v>
          </cell>
        </row>
        <row r="16361">
          <cell r="A16361" t="str">
            <v>CIV</v>
          </cell>
          <cell r="B16361" t="str">
            <v>531-26418-004-0002</v>
          </cell>
          <cell r="J16361">
            <v>603.45000000000005</v>
          </cell>
        </row>
        <row r="16362">
          <cell r="A16362" t="str">
            <v>CIV</v>
          </cell>
          <cell r="B16362" t="str">
            <v>531-26418-007-0000</v>
          </cell>
          <cell r="J16362">
            <v>24716.81</v>
          </cell>
        </row>
        <row r="16363">
          <cell r="A16363" t="str">
            <v>CIV</v>
          </cell>
          <cell r="B16363" t="str">
            <v>531-26418-007-0020</v>
          </cell>
          <cell r="J16363">
            <v>22543.89</v>
          </cell>
        </row>
        <row r="16364">
          <cell r="A16364" t="str">
            <v>CIV</v>
          </cell>
          <cell r="B16364" t="str">
            <v>531-26418-007-0060</v>
          </cell>
          <cell r="J16364">
            <v>2172.92</v>
          </cell>
        </row>
        <row r="16365">
          <cell r="A16365" t="str">
            <v>CIV</v>
          </cell>
          <cell r="B16365" t="str">
            <v>531-26418-031-0000</v>
          </cell>
          <cell r="J16365">
            <v>4280.4799999999996</v>
          </cell>
        </row>
        <row r="16366">
          <cell r="A16366" t="str">
            <v>CIV</v>
          </cell>
          <cell r="B16366" t="str">
            <v>531-26419-000-0000</v>
          </cell>
          <cell r="J16366">
            <v>8942.67</v>
          </cell>
        </row>
        <row r="16367">
          <cell r="A16367" t="str">
            <v>CIV</v>
          </cell>
          <cell r="B16367" t="str">
            <v>531-26419-004-0000</v>
          </cell>
          <cell r="J16367">
            <v>129.31</v>
          </cell>
        </row>
        <row r="16368">
          <cell r="A16368" t="str">
            <v>CIV</v>
          </cell>
          <cell r="B16368" t="str">
            <v>531-26419-004-0001</v>
          </cell>
          <cell r="J16368">
            <v>129.31</v>
          </cell>
        </row>
        <row r="16369">
          <cell r="A16369" t="str">
            <v>CIV</v>
          </cell>
          <cell r="B16369" t="str">
            <v>531-26419-007-0000</v>
          </cell>
          <cell r="J16369">
            <v>6709.74</v>
          </cell>
        </row>
        <row r="16370">
          <cell r="A16370" t="str">
            <v>CIV</v>
          </cell>
          <cell r="B16370" t="str">
            <v>531-26419-007-0020</v>
          </cell>
          <cell r="J16370">
            <v>6057.86</v>
          </cell>
        </row>
        <row r="16371">
          <cell r="A16371" t="str">
            <v>CIV</v>
          </cell>
          <cell r="B16371" t="str">
            <v>531-26419-007-0060</v>
          </cell>
          <cell r="J16371">
            <v>651.88</v>
          </cell>
        </row>
        <row r="16372">
          <cell r="A16372" t="str">
            <v>CIV</v>
          </cell>
          <cell r="B16372" t="str">
            <v>531-26419-031-0000</v>
          </cell>
          <cell r="J16372">
            <v>2103.62</v>
          </cell>
        </row>
        <row r="16373">
          <cell r="A16373" t="str">
            <v>CIV</v>
          </cell>
          <cell r="B16373" t="str">
            <v>531-26420-000-0000</v>
          </cell>
          <cell r="J16373">
            <v>5699.76</v>
          </cell>
        </row>
        <row r="16374">
          <cell r="A16374" t="str">
            <v>CIV</v>
          </cell>
          <cell r="B16374" t="str">
            <v>531-26420-007-0000</v>
          </cell>
          <cell r="J16374">
            <v>5699.76</v>
          </cell>
        </row>
        <row r="16375">
          <cell r="A16375" t="str">
            <v>CIV</v>
          </cell>
          <cell r="B16375" t="str">
            <v>531-26420-007-0020</v>
          </cell>
          <cell r="J16375">
            <v>5156.2299999999996</v>
          </cell>
        </row>
        <row r="16376">
          <cell r="A16376" t="str">
            <v>CIV</v>
          </cell>
          <cell r="B16376" t="str">
            <v>531-26420-007-0060</v>
          </cell>
          <cell r="J16376">
            <v>543.53</v>
          </cell>
        </row>
        <row r="16377">
          <cell r="A16377" t="str">
            <v>CIV</v>
          </cell>
          <cell r="B16377" t="str">
            <v>531-26421-000-0000</v>
          </cell>
          <cell r="J16377">
            <v>8225.15</v>
          </cell>
        </row>
        <row r="16378">
          <cell r="A16378" t="str">
            <v>CIV</v>
          </cell>
          <cell r="B16378" t="str">
            <v>531-26421-007-0000</v>
          </cell>
          <cell r="J16378">
            <v>8225.15</v>
          </cell>
        </row>
        <row r="16379">
          <cell r="A16379" t="str">
            <v>CIV</v>
          </cell>
          <cell r="B16379" t="str">
            <v>531-26421-007-0020</v>
          </cell>
          <cell r="J16379">
            <v>7410.31</v>
          </cell>
        </row>
        <row r="16380">
          <cell r="A16380" t="str">
            <v>CIV</v>
          </cell>
          <cell r="B16380" t="str">
            <v>531-26421-007-0060</v>
          </cell>
          <cell r="J16380">
            <v>814.84</v>
          </cell>
        </row>
        <row r="16381">
          <cell r="A16381" t="str">
            <v>CIV</v>
          </cell>
          <cell r="B16381" t="str">
            <v>531-26422-000-0000</v>
          </cell>
          <cell r="J16381">
            <v>28961.439999999999</v>
          </cell>
        </row>
        <row r="16382">
          <cell r="A16382" t="str">
            <v>CIV</v>
          </cell>
          <cell r="B16382" t="str">
            <v>531-26422-004-0000</v>
          </cell>
          <cell r="J16382">
            <v>480.97</v>
          </cell>
        </row>
        <row r="16383">
          <cell r="A16383" t="str">
            <v>CIV</v>
          </cell>
          <cell r="B16383" t="str">
            <v>531-26422-004-0013</v>
          </cell>
          <cell r="J16383">
            <v>480.97</v>
          </cell>
        </row>
        <row r="16384">
          <cell r="A16384" t="str">
            <v>CIV</v>
          </cell>
          <cell r="B16384" t="str">
            <v>531-26422-007-0000</v>
          </cell>
          <cell r="J16384">
            <v>28480.47</v>
          </cell>
        </row>
        <row r="16385">
          <cell r="A16385" t="str">
            <v>CIV</v>
          </cell>
          <cell r="B16385" t="str">
            <v>531-26422-007-0020</v>
          </cell>
          <cell r="J16385">
            <v>25764.32</v>
          </cell>
        </row>
        <row r="16386">
          <cell r="A16386" t="str">
            <v>CIV</v>
          </cell>
          <cell r="B16386" t="str">
            <v>531-26422-007-0060</v>
          </cell>
          <cell r="J16386">
            <v>2716.15</v>
          </cell>
        </row>
        <row r="16387">
          <cell r="A16387" t="str">
            <v>CIV</v>
          </cell>
          <cell r="B16387" t="str">
            <v>531-26423-000-0000</v>
          </cell>
          <cell r="J16387">
            <v>8225.15</v>
          </cell>
        </row>
        <row r="16388">
          <cell r="A16388" t="str">
            <v>CIV</v>
          </cell>
          <cell r="B16388" t="str">
            <v>531-26423-007-0000</v>
          </cell>
          <cell r="J16388">
            <v>8225.15</v>
          </cell>
        </row>
        <row r="16389">
          <cell r="A16389" t="str">
            <v>CIV</v>
          </cell>
          <cell r="B16389" t="str">
            <v>531-26423-007-0020</v>
          </cell>
          <cell r="J16389">
            <v>7410.31</v>
          </cell>
        </row>
        <row r="16390">
          <cell r="A16390" t="str">
            <v>CIV</v>
          </cell>
          <cell r="B16390" t="str">
            <v>531-26423-007-0060</v>
          </cell>
          <cell r="J16390">
            <v>814.84</v>
          </cell>
        </row>
        <row r="16391">
          <cell r="A16391" t="str">
            <v>CIV</v>
          </cell>
          <cell r="B16391" t="str">
            <v>531-26424-000-0000</v>
          </cell>
          <cell r="J16391">
            <v>12038.57</v>
          </cell>
        </row>
        <row r="16392">
          <cell r="A16392" t="str">
            <v>CIV</v>
          </cell>
          <cell r="B16392" t="str">
            <v>531-26424-007-0000</v>
          </cell>
          <cell r="J16392">
            <v>12038.57</v>
          </cell>
        </row>
        <row r="16393">
          <cell r="A16393" t="str">
            <v>CIV</v>
          </cell>
          <cell r="B16393" t="str">
            <v>531-26424-007-0020</v>
          </cell>
          <cell r="J16393">
            <v>10952.11</v>
          </cell>
        </row>
        <row r="16394">
          <cell r="A16394" t="str">
            <v>CIV</v>
          </cell>
          <cell r="B16394" t="str">
            <v>531-26424-007-0060</v>
          </cell>
          <cell r="J16394">
            <v>1086.46</v>
          </cell>
        </row>
        <row r="16395">
          <cell r="A16395" t="str">
            <v>CIV</v>
          </cell>
          <cell r="B16395" t="str">
            <v>531-26425-000-0000</v>
          </cell>
          <cell r="J16395">
            <v>3678.9</v>
          </cell>
        </row>
        <row r="16396">
          <cell r="A16396" t="str">
            <v>CIV</v>
          </cell>
          <cell r="B16396" t="str">
            <v>531-26425-007-0000</v>
          </cell>
          <cell r="J16396">
            <v>3678.9</v>
          </cell>
        </row>
        <row r="16397">
          <cell r="A16397" t="str">
            <v>CIV</v>
          </cell>
          <cell r="B16397" t="str">
            <v>531-26425-007-0020</v>
          </cell>
          <cell r="J16397">
            <v>3352.96</v>
          </cell>
        </row>
        <row r="16398">
          <cell r="A16398" t="str">
            <v>CIV</v>
          </cell>
          <cell r="B16398" t="str">
            <v>531-26425-007-0060</v>
          </cell>
          <cell r="J16398">
            <v>325.94</v>
          </cell>
        </row>
        <row r="16399">
          <cell r="A16399" t="str">
            <v>CIV</v>
          </cell>
          <cell r="B16399" t="str">
            <v>531-26426-000-0000</v>
          </cell>
          <cell r="J16399">
            <v>3173.76</v>
          </cell>
        </row>
        <row r="16400">
          <cell r="A16400" t="str">
            <v>CIV</v>
          </cell>
          <cell r="B16400" t="str">
            <v>531-26426-007-0000</v>
          </cell>
          <cell r="J16400">
            <v>3173.76</v>
          </cell>
        </row>
        <row r="16401">
          <cell r="A16401" t="str">
            <v>CIV</v>
          </cell>
          <cell r="B16401" t="str">
            <v>531-26426-007-0020</v>
          </cell>
          <cell r="J16401">
            <v>2902.15</v>
          </cell>
        </row>
        <row r="16402">
          <cell r="A16402" t="str">
            <v>CIV</v>
          </cell>
          <cell r="B16402" t="str">
            <v>531-26426-007-0060</v>
          </cell>
          <cell r="J16402">
            <v>271.61</v>
          </cell>
        </row>
        <row r="16403">
          <cell r="A16403" t="str">
            <v>CIV</v>
          </cell>
          <cell r="B16403" t="str">
            <v>531-26427-000-0000</v>
          </cell>
          <cell r="J16403">
            <v>17733.830000000002</v>
          </cell>
        </row>
        <row r="16404">
          <cell r="A16404" t="str">
            <v>CIV</v>
          </cell>
          <cell r="B16404" t="str">
            <v>531-26427-007-0000</v>
          </cell>
          <cell r="J16404">
            <v>17733.830000000002</v>
          </cell>
        </row>
        <row r="16405">
          <cell r="A16405" t="str">
            <v>CIV</v>
          </cell>
          <cell r="B16405" t="str">
            <v>531-26427-007-0020</v>
          </cell>
          <cell r="J16405">
            <v>16104.14</v>
          </cell>
        </row>
        <row r="16406">
          <cell r="A16406" t="str">
            <v>CIV</v>
          </cell>
          <cell r="B16406" t="str">
            <v>531-26427-007-0060</v>
          </cell>
          <cell r="J16406">
            <v>1629.69</v>
          </cell>
        </row>
        <row r="16407">
          <cell r="A16407" t="str">
            <v>CIV</v>
          </cell>
          <cell r="B16407" t="str">
            <v>531-26428-000-0000</v>
          </cell>
          <cell r="J16407">
            <v>3173.76</v>
          </cell>
        </row>
        <row r="16408">
          <cell r="A16408" t="str">
            <v>CIV</v>
          </cell>
          <cell r="B16408" t="str">
            <v>531-26428-007-0000</v>
          </cell>
          <cell r="J16408">
            <v>3173.76</v>
          </cell>
        </row>
        <row r="16409">
          <cell r="A16409" t="str">
            <v>CIV</v>
          </cell>
          <cell r="B16409" t="str">
            <v>531-26428-007-0020</v>
          </cell>
          <cell r="J16409">
            <v>2902.15</v>
          </cell>
        </row>
        <row r="16410">
          <cell r="A16410" t="str">
            <v>CIV</v>
          </cell>
          <cell r="B16410" t="str">
            <v>531-26428-007-0060</v>
          </cell>
          <cell r="J16410">
            <v>271.61</v>
          </cell>
        </row>
        <row r="16411">
          <cell r="A16411" t="str">
            <v>CIV</v>
          </cell>
          <cell r="B16411" t="str">
            <v>531-26429-000-0000</v>
          </cell>
          <cell r="J16411">
            <v>9508.67</v>
          </cell>
        </row>
        <row r="16412">
          <cell r="A16412" t="str">
            <v>CIV</v>
          </cell>
          <cell r="B16412" t="str">
            <v>531-26429-007-0000</v>
          </cell>
          <cell r="J16412">
            <v>9508.67</v>
          </cell>
        </row>
        <row r="16413">
          <cell r="A16413" t="str">
            <v>CIV</v>
          </cell>
          <cell r="B16413" t="str">
            <v>531-26429-007-0020</v>
          </cell>
          <cell r="J16413">
            <v>8693.83</v>
          </cell>
        </row>
        <row r="16414">
          <cell r="A16414" t="str">
            <v>CIV</v>
          </cell>
          <cell r="B16414" t="str">
            <v>531-26429-007-0060</v>
          </cell>
          <cell r="J16414">
            <v>814.84</v>
          </cell>
        </row>
        <row r="16415">
          <cell r="A16415" t="str">
            <v>CIV</v>
          </cell>
          <cell r="B16415" t="str">
            <v>531-26430-000-0000</v>
          </cell>
          <cell r="J16415">
            <v>3173.76</v>
          </cell>
        </row>
        <row r="16416">
          <cell r="A16416" t="str">
            <v>CIV</v>
          </cell>
          <cell r="B16416" t="str">
            <v>531-26430-007-0000</v>
          </cell>
          <cell r="J16416">
            <v>3173.76</v>
          </cell>
        </row>
        <row r="16417">
          <cell r="A16417" t="str">
            <v>CIV</v>
          </cell>
          <cell r="B16417" t="str">
            <v>531-26430-007-0020</v>
          </cell>
          <cell r="J16417">
            <v>2902.15</v>
          </cell>
        </row>
        <row r="16418">
          <cell r="A16418" t="str">
            <v>CIV</v>
          </cell>
          <cell r="B16418" t="str">
            <v>531-26430-007-0060</v>
          </cell>
          <cell r="J16418">
            <v>271.61</v>
          </cell>
        </row>
        <row r="16419">
          <cell r="A16419" t="str">
            <v>CIV</v>
          </cell>
          <cell r="B16419" t="str">
            <v>531-26431-000-0000</v>
          </cell>
          <cell r="J16419">
            <v>19017.349999999999</v>
          </cell>
        </row>
        <row r="16420">
          <cell r="A16420" t="str">
            <v>CIV</v>
          </cell>
          <cell r="B16420" t="str">
            <v>531-26431-007-0000</v>
          </cell>
          <cell r="J16420">
            <v>19017.349999999999</v>
          </cell>
        </row>
        <row r="16421">
          <cell r="A16421" t="str">
            <v>CIV</v>
          </cell>
          <cell r="B16421" t="str">
            <v>531-26431-007-0020</v>
          </cell>
          <cell r="J16421">
            <v>17387.66</v>
          </cell>
        </row>
        <row r="16422">
          <cell r="A16422" t="str">
            <v>CIV</v>
          </cell>
          <cell r="B16422" t="str">
            <v>531-26431-007-0060</v>
          </cell>
          <cell r="J16422">
            <v>1629.69</v>
          </cell>
        </row>
        <row r="16423">
          <cell r="A16423" t="str">
            <v>CIV</v>
          </cell>
          <cell r="B16423" t="str">
            <v>531-26432-000-0000</v>
          </cell>
          <cell r="J16423">
            <v>10750.85</v>
          </cell>
        </row>
        <row r="16424">
          <cell r="A16424" t="str">
            <v>CIV</v>
          </cell>
          <cell r="B16424" t="str">
            <v>531-26432-007-0000</v>
          </cell>
          <cell r="J16424">
            <v>10750.85</v>
          </cell>
        </row>
        <row r="16425">
          <cell r="A16425" t="str">
            <v>CIV</v>
          </cell>
          <cell r="B16425" t="str">
            <v>531-26432-007-0020</v>
          </cell>
          <cell r="J16425">
            <v>9664.39</v>
          </cell>
        </row>
        <row r="16426">
          <cell r="A16426" t="str">
            <v>CIV</v>
          </cell>
          <cell r="B16426" t="str">
            <v>531-26432-007-0060</v>
          </cell>
          <cell r="J16426">
            <v>1086.46</v>
          </cell>
        </row>
        <row r="16427">
          <cell r="A16427" t="str">
            <v>CIV</v>
          </cell>
          <cell r="B16427" t="str">
            <v>531-26433-000-0000</v>
          </cell>
          <cell r="J16427">
            <v>1658.35</v>
          </cell>
        </row>
        <row r="16428">
          <cell r="A16428" t="str">
            <v>CIV</v>
          </cell>
          <cell r="B16428" t="str">
            <v>531-26433-007-0000</v>
          </cell>
          <cell r="J16428">
            <v>1658.35</v>
          </cell>
        </row>
        <row r="16429">
          <cell r="A16429" t="str">
            <v>CIV</v>
          </cell>
          <cell r="B16429" t="str">
            <v>531-26433-007-0020</v>
          </cell>
          <cell r="J16429">
            <v>1549.7</v>
          </cell>
        </row>
        <row r="16430">
          <cell r="A16430" t="str">
            <v>CIV</v>
          </cell>
          <cell r="B16430" t="str">
            <v>531-26433-007-0060</v>
          </cell>
          <cell r="J16430">
            <v>108.65</v>
          </cell>
        </row>
        <row r="16431">
          <cell r="A16431" t="str">
            <v>CIV</v>
          </cell>
          <cell r="B16431" t="str">
            <v>531-26434-000-0000</v>
          </cell>
          <cell r="J16431">
            <v>1658.35</v>
          </cell>
        </row>
        <row r="16432">
          <cell r="A16432" t="str">
            <v>CIV</v>
          </cell>
          <cell r="B16432" t="str">
            <v>531-26434-007-0000</v>
          </cell>
          <cell r="J16432">
            <v>1658.35</v>
          </cell>
        </row>
        <row r="16433">
          <cell r="A16433" t="str">
            <v>CIV</v>
          </cell>
          <cell r="B16433" t="str">
            <v>531-26434-007-0020</v>
          </cell>
          <cell r="J16433">
            <v>1549.7</v>
          </cell>
        </row>
        <row r="16434">
          <cell r="A16434" t="str">
            <v>CIV</v>
          </cell>
          <cell r="B16434" t="str">
            <v>531-26434-007-0060</v>
          </cell>
          <cell r="J16434">
            <v>108.65</v>
          </cell>
        </row>
        <row r="16435">
          <cell r="A16435" t="str">
            <v>CIV</v>
          </cell>
          <cell r="B16435" t="str">
            <v>531-26435-000-0000</v>
          </cell>
          <cell r="J16435">
            <v>2394.89</v>
          </cell>
        </row>
        <row r="16436">
          <cell r="A16436" t="str">
            <v>CIV</v>
          </cell>
          <cell r="B16436" t="str">
            <v>531-26435-004-0000</v>
          </cell>
          <cell r="J16436">
            <v>990.07</v>
          </cell>
        </row>
        <row r="16437">
          <cell r="A16437" t="str">
            <v>CIV</v>
          </cell>
          <cell r="B16437" t="str">
            <v>531-26435-004-0001</v>
          </cell>
          <cell r="J16437">
            <v>156.44999999999999</v>
          </cell>
        </row>
        <row r="16438">
          <cell r="A16438" t="str">
            <v>CIV</v>
          </cell>
          <cell r="B16438" t="str">
            <v>531-26435-004-0005</v>
          </cell>
          <cell r="J16438">
            <v>833.62</v>
          </cell>
        </row>
        <row r="16439">
          <cell r="A16439" t="str">
            <v>CIV</v>
          </cell>
          <cell r="B16439" t="str">
            <v>531-26435-007-0000</v>
          </cell>
          <cell r="J16439">
            <v>327.82</v>
          </cell>
        </row>
        <row r="16440">
          <cell r="A16440" t="str">
            <v>CIV</v>
          </cell>
          <cell r="B16440" t="str">
            <v>531-26435-007-0010</v>
          </cell>
          <cell r="J16440">
            <v>235.5</v>
          </cell>
        </row>
        <row r="16441">
          <cell r="A16441" t="str">
            <v>CIV</v>
          </cell>
          <cell r="B16441" t="str">
            <v>531-26435-007-0020</v>
          </cell>
          <cell r="J16441">
            <v>0.59</v>
          </cell>
        </row>
        <row r="16442">
          <cell r="A16442" t="str">
            <v>CIV</v>
          </cell>
          <cell r="B16442" t="str">
            <v>531-26435-007-0060</v>
          </cell>
          <cell r="J16442">
            <v>91.73</v>
          </cell>
        </row>
        <row r="16443">
          <cell r="A16443" t="str">
            <v>CIV</v>
          </cell>
          <cell r="B16443" t="str">
            <v>531-26435-031-0000</v>
          </cell>
          <cell r="J16443">
            <v>1077</v>
          </cell>
        </row>
        <row r="16444">
          <cell r="A16444" t="str">
            <v>CIV</v>
          </cell>
          <cell r="B16444" t="str">
            <v>531-26436-000-0000</v>
          </cell>
          <cell r="J16444">
            <v>8932.42</v>
          </cell>
        </row>
        <row r="16445">
          <cell r="A16445" t="str">
            <v>CIV</v>
          </cell>
          <cell r="B16445" t="str">
            <v>531-26436-007-0000</v>
          </cell>
          <cell r="J16445">
            <v>8932.42</v>
          </cell>
        </row>
        <row r="16446">
          <cell r="A16446" t="str">
            <v>CIV</v>
          </cell>
          <cell r="B16446" t="str">
            <v>531-26436-007-0020</v>
          </cell>
          <cell r="J16446">
            <v>8117.58</v>
          </cell>
        </row>
        <row r="16447">
          <cell r="A16447" t="str">
            <v>CIV</v>
          </cell>
          <cell r="B16447" t="str">
            <v>531-26436-007-0060</v>
          </cell>
          <cell r="J16447">
            <v>814.84</v>
          </cell>
        </row>
        <row r="16448">
          <cell r="A16448" t="str">
            <v>CIV</v>
          </cell>
          <cell r="B16448" t="str">
            <v>531-26438-000-0000</v>
          </cell>
          <cell r="J16448">
            <v>5186.62</v>
          </cell>
        </row>
        <row r="16449">
          <cell r="A16449" t="str">
            <v>CIV</v>
          </cell>
          <cell r="B16449" t="str">
            <v>531-26438-007-0000</v>
          </cell>
          <cell r="J16449">
            <v>5186.62</v>
          </cell>
        </row>
        <row r="16450">
          <cell r="A16450" t="str">
            <v>CIV</v>
          </cell>
          <cell r="B16450" t="str">
            <v>531-26438-007-0020</v>
          </cell>
          <cell r="J16450">
            <v>4643.3900000000003</v>
          </cell>
        </row>
        <row r="16451">
          <cell r="A16451" t="str">
            <v>CIV</v>
          </cell>
          <cell r="B16451" t="str">
            <v>531-26438-007-0060</v>
          </cell>
          <cell r="J16451">
            <v>543.23</v>
          </cell>
        </row>
        <row r="16452">
          <cell r="A16452" t="str">
            <v>CIV</v>
          </cell>
          <cell r="B16452" t="str">
            <v>531-26439-000-0000</v>
          </cell>
          <cell r="J16452">
            <v>327.82</v>
          </cell>
        </row>
        <row r="16453">
          <cell r="A16453" t="str">
            <v>CIV</v>
          </cell>
          <cell r="B16453" t="str">
            <v>531-26439-007-0000</v>
          </cell>
          <cell r="J16453">
            <v>327.82</v>
          </cell>
        </row>
        <row r="16454">
          <cell r="A16454" t="str">
            <v>CIV</v>
          </cell>
          <cell r="B16454" t="str">
            <v>531-26439-007-0010</v>
          </cell>
          <cell r="J16454">
            <v>235.5</v>
          </cell>
        </row>
        <row r="16455">
          <cell r="A16455" t="str">
            <v>CIV</v>
          </cell>
          <cell r="B16455" t="str">
            <v>531-26439-007-0020</v>
          </cell>
          <cell r="J16455">
            <v>0.59</v>
          </cell>
        </row>
        <row r="16456">
          <cell r="A16456" t="str">
            <v>CIV</v>
          </cell>
          <cell r="B16456" t="str">
            <v>531-26439-007-0060</v>
          </cell>
          <cell r="J16456">
            <v>91.73</v>
          </cell>
        </row>
        <row r="16457">
          <cell r="A16457" t="str">
            <v>CIV</v>
          </cell>
          <cell r="B16457" t="str">
            <v>531-26440-000-0000</v>
          </cell>
          <cell r="J16457">
            <v>8242.2999999999993</v>
          </cell>
        </row>
        <row r="16458">
          <cell r="A16458" t="str">
            <v>CIV</v>
          </cell>
          <cell r="B16458" t="str">
            <v>531-26440-004-0000</v>
          </cell>
          <cell r="J16458">
            <v>462.38</v>
          </cell>
        </row>
        <row r="16459">
          <cell r="A16459" t="str">
            <v>CIV</v>
          </cell>
          <cell r="B16459" t="str">
            <v>531-26440-004-0013</v>
          </cell>
          <cell r="J16459">
            <v>462.38</v>
          </cell>
        </row>
        <row r="16460">
          <cell r="A16460" t="str">
            <v>CIV</v>
          </cell>
          <cell r="B16460" t="str">
            <v>531-26440-007-0000</v>
          </cell>
          <cell r="J16460">
            <v>7779.92</v>
          </cell>
        </row>
        <row r="16461">
          <cell r="A16461" t="str">
            <v>CIV</v>
          </cell>
          <cell r="B16461" t="str">
            <v>531-26440-007-0020</v>
          </cell>
          <cell r="J16461">
            <v>6965.08</v>
          </cell>
        </row>
        <row r="16462">
          <cell r="A16462" t="str">
            <v>CIV</v>
          </cell>
          <cell r="B16462" t="str">
            <v>531-26440-007-0060</v>
          </cell>
          <cell r="J16462">
            <v>814.84</v>
          </cell>
        </row>
        <row r="16463">
          <cell r="A16463" t="str">
            <v>CIV</v>
          </cell>
          <cell r="B16463" t="str">
            <v>531-26441-000-0000</v>
          </cell>
          <cell r="J16463">
            <v>2593.3000000000002</v>
          </cell>
        </row>
        <row r="16464">
          <cell r="A16464" t="str">
            <v>CIV</v>
          </cell>
          <cell r="B16464" t="str">
            <v>531-26441-007-0000</v>
          </cell>
          <cell r="J16464">
            <v>2593.3000000000002</v>
          </cell>
        </row>
        <row r="16465">
          <cell r="A16465" t="str">
            <v>CIV</v>
          </cell>
          <cell r="B16465" t="str">
            <v>531-26441-007-0020</v>
          </cell>
          <cell r="J16465">
            <v>2321.69</v>
          </cell>
        </row>
        <row r="16466">
          <cell r="A16466" t="str">
            <v>CIV</v>
          </cell>
          <cell r="B16466" t="str">
            <v>531-26441-007-0060</v>
          </cell>
          <cell r="J16466">
            <v>271.61</v>
          </cell>
        </row>
        <row r="16467">
          <cell r="A16467" t="str">
            <v>CIV</v>
          </cell>
          <cell r="B16467" t="str">
            <v>531-26442-000-0000</v>
          </cell>
          <cell r="J16467">
            <v>13312.14</v>
          </cell>
        </row>
        <row r="16468">
          <cell r="A16468" t="str">
            <v>CIV</v>
          </cell>
          <cell r="B16468" t="str">
            <v>531-26442-007-0000</v>
          </cell>
          <cell r="J16468">
            <v>13312.14</v>
          </cell>
        </row>
        <row r="16469">
          <cell r="A16469" t="str">
            <v>CIV</v>
          </cell>
          <cell r="B16469" t="str">
            <v>531-26442-007-0020</v>
          </cell>
          <cell r="J16469">
            <v>12171.36</v>
          </cell>
        </row>
        <row r="16470">
          <cell r="A16470" t="str">
            <v>CIV</v>
          </cell>
          <cell r="B16470" t="str">
            <v>531-26442-007-0060</v>
          </cell>
          <cell r="J16470">
            <v>1140.78</v>
          </cell>
        </row>
        <row r="16471">
          <cell r="A16471" t="str">
            <v>CIV</v>
          </cell>
          <cell r="B16471" t="str">
            <v>531-26443-000-0000</v>
          </cell>
          <cell r="J16471">
            <v>2593.3000000000002</v>
          </cell>
        </row>
        <row r="16472">
          <cell r="A16472" t="str">
            <v>CIV</v>
          </cell>
          <cell r="B16472" t="str">
            <v>531-26443-007-0000</v>
          </cell>
          <cell r="J16472">
            <v>2593.3000000000002</v>
          </cell>
        </row>
        <row r="16473">
          <cell r="A16473" t="str">
            <v>CIV</v>
          </cell>
          <cell r="B16473" t="str">
            <v>531-26443-007-0020</v>
          </cell>
          <cell r="J16473">
            <v>2321.69</v>
          </cell>
        </row>
        <row r="16474">
          <cell r="A16474" t="str">
            <v>CIV</v>
          </cell>
          <cell r="B16474" t="str">
            <v>531-26443-007-0060</v>
          </cell>
          <cell r="J16474">
            <v>271.61</v>
          </cell>
        </row>
        <row r="16475">
          <cell r="A16475" t="str">
            <v>CIV</v>
          </cell>
          <cell r="B16475" t="str">
            <v>531-26444-000-0000</v>
          </cell>
          <cell r="J16475">
            <v>2593.3000000000002</v>
          </cell>
        </row>
        <row r="16476">
          <cell r="A16476" t="str">
            <v>CIV</v>
          </cell>
          <cell r="B16476" t="str">
            <v>531-26444-007-0000</v>
          </cell>
          <cell r="J16476">
            <v>2593.3000000000002</v>
          </cell>
        </row>
        <row r="16477">
          <cell r="A16477" t="str">
            <v>CIV</v>
          </cell>
          <cell r="B16477" t="str">
            <v>531-26444-007-0020</v>
          </cell>
          <cell r="J16477">
            <v>2321.69</v>
          </cell>
        </row>
        <row r="16478">
          <cell r="A16478" t="str">
            <v>CIV</v>
          </cell>
          <cell r="B16478" t="str">
            <v>531-26444-007-0060</v>
          </cell>
          <cell r="J16478">
            <v>271.61</v>
          </cell>
        </row>
        <row r="16479">
          <cell r="A16479" t="str">
            <v>CIV</v>
          </cell>
          <cell r="B16479" t="str">
            <v>531-26445-000-0000</v>
          </cell>
          <cell r="J16479">
            <v>9065.36</v>
          </cell>
        </row>
        <row r="16480">
          <cell r="A16480" t="str">
            <v>CIV</v>
          </cell>
          <cell r="B16480" t="str">
            <v>531-26445-007-0000</v>
          </cell>
          <cell r="J16480">
            <v>6943.36</v>
          </cell>
        </row>
        <row r="16481">
          <cell r="A16481" t="str">
            <v>CIV</v>
          </cell>
          <cell r="B16481" t="str">
            <v>531-26445-007-0020</v>
          </cell>
          <cell r="J16481">
            <v>5856.9</v>
          </cell>
        </row>
        <row r="16482">
          <cell r="A16482" t="str">
            <v>CIV</v>
          </cell>
          <cell r="B16482" t="str">
            <v>531-26445-007-0060</v>
          </cell>
          <cell r="J16482">
            <v>1086.46</v>
          </cell>
        </row>
        <row r="16483">
          <cell r="A16483" t="str">
            <v>CIV</v>
          </cell>
          <cell r="B16483" t="str">
            <v>531-26445-031-0000</v>
          </cell>
          <cell r="J16483">
            <v>2122</v>
          </cell>
        </row>
        <row r="16484">
          <cell r="A16484" t="str">
            <v>CIV</v>
          </cell>
          <cell r="B16484" t="str">
            <v>531-26446-000-0000</v>
          </cell>
          <cell r="J16484">
            <v>4725.54</v>
          </cell>
        </row>
        <row r="16485">
          <cell r="A16485" t="str">
            <v>CIV</v>
          </cell>
          <cell r="B16485" t="str">
            <v>531-26446-007-0000</v>
          </cell>
          <cell r="J16485">
            <v>4725.54</v>
          </cell>
        </row>
        <row r="16486">
          <cell r="A16486" t="str">
            <v>CIV</v>
          </cell>
          <cell r="B16486" t="str">
            <v>531-26446-007-0020</v>
          </cell>
          <cell r="J16486">
            <v>4290.96</v>
          </cell>
        </row>
        <row r="16487">
          <cell r="A16487" t="str">
            <v>CIV</v>
          </cell>
          <cell r="B16487" t="str">
            <v>531-26446-007-0060</v>
          </cell>
          <cell r="J16487">
            <v>434.58</v>
          </cell>
        </row>
        <row r="16488">
          <cell r="A16488" t="str">
            <v>CIV</v>
          </cell>
          <cell r="B16488" t="str">
            <v>531-26447-000-0000</v>
          </cell>
          <cell r="J16488">
            <v>15559.85</v>
          </cell>
        </row>
        <row r="16489">
          <cell r="A16489" t="str">
            <v>CIV</v>
          </cell>
          <cell r="B16489" t="str">
            <v>531-26447-007-0000</v>
          </cell>
          <cell r="J16489">
            <v>15559.85</v>
          </cell>
        </row>
        <row r="16490">
          <cell r="A16490" t="str">
            <v>CIV</v>
          </cell>
          <cell r="B16490" t="str">
            <v>531-26447-007-0020</v>
          </cell>
          <cell r="J16490">
            <v>13930.16</v>
          </cell>
        </row>
        <row r="16491">
          <cell r="A16491" t="str">
            <v>CIV</v>
          </cell>
          <cell r="B16491" t="str">
            <v>531-26447-007-0060</v>
          </cell>
          <cell r="J16491">
            <v>1629.69</v>
          </cell>
        </row>
        <row r="16492">
          <cell r="A16492" t="str">
            <v>CIV</v>
          </cell>
          <cell r="B16492" t="str">
            <v>531-26448-000-0000</v>
          </cell>
          <cell r="J16492">
            <v>10373.23</v>
          </cell>
        </row>
        <row r="16493">
          <cell r="A16493" t="str">
            <v>CIV</v>
          </cell>
          <cell r="B16493" t="str">
            <v>531-26448-007-0000</v>
          </cell>
          <cell r="J16493">
            <v>10373.23</v>
          </cell>
        </row>
        <row r="16494">
          <cell r="A16494" t="str">
            <v>CIV</v>
          </cell>
          <cell r="B16494" t="str">
            <v>531-26448-007-0020</v>
          </cell>
          <cell r="J16494">
            <v>9286.77</v>
          </cell>
        </row>
        <row r="16495">
          <cell r="A16495" t="str">
            <v>CIV</v>
          </cell>
          <cell r="B16495" t="str">
            <v>531-26448-007-0060</v>
          </cell>
          <cell r="J16495">
            <v>1086.46</v>
          </cell>
        </row>
        <row r="16496">
          <cell r="A16496" t="str">
            <v>CIV</v>
          </cell>
          <cell r="B16496" t="str">
            <v>531-26449-000-0000</v>
          </cell>
          <cell r="J16496">
            <v>5186.62</v>
          </cell>
        </row>
        <row r="16497">
          <cell r="A16497" t="str">
            <v>CIV</v>
          </cell>
          <cell r="B16497" t="str">
            <v>531-26449-007-0000</v>
          </cell>
          <cell r="J16497">
            <v>5186.62</v>
          </cell>
        </row>
        <row r="16498">
          <cell r="A16498" t="str">
            <v>CIV</v>
          </cell>
          <cell r="B16498" t="str">
            <v>531-26449-007-0020</v>
          </cell>
          <cell r="J16498">
            <v>4643.3900000000003</v>
          </cell>
        </row>
        <row r="16499">
          <cell r="A16499" t="str">
            <v>CIV</v>
          </cell>
          <cell r="B16499" t="str">
            <v>531-26449-007-0060</v>
          </cell>
          <cell r="J16499">
            <v>543.23</v>
          </cell>
        </row>
        <row r="16500">
          <cell r="A16500" t="str">
            <v>CIV</v>
          </cell>
          <cell r="B16500" t="str">
            <v>531-26450-000-0000</v>
          </cell>
          <cell r="J16500">
            <v>8356.17</v>
          </cell>
        </row>
        <row r="16501">
          <cell r="A16501" t="str">
            <v>CIV</v>
          </cell>
          <cell r="B16501" t="str">
            <v>531-26450-007-0000</v>
          </cell>
          <cell r="J16501">
            <v>8356.17</v>
          </cell>
        </row>
        <row r="16502">
          <cell r="A16502" t="str">
            <v>CIV</v>
          </cell>
          <cell r="B16502" t="str">
            <v>531-26450-007-0020</v>
          </cell>
          <cell r="J16502">
            <v>7541.33</v>
          </cell>
        </row>
        <row r="16503">
          <cell r="A16503" t="str">
            <v>CIV</v>
          </cell>
          <cell r="B16503" t="str">
            <v>531-26450-007-0060</v>
          </cell>
          <cell r="J16503">
            <v>814.84</v>
          </cell>
        </row>
        <row r="16504">
          <cell r="A16504" t="str">
            <v>CIV</v>
          </cell>
          <cell r="B16504" t="str">
            <v>531-26451-000-0000</v>
          </cell>
          <cell r="J16504">
            <v>24203.96</v>
          </cell>
        </row>
        <row r="16505">
          <cell r="A16505" t="str">
            <v>CIV</v>
          </cell>
          <cell r="B16505" t="str">
            <v>531-26451-007-0000</v>
          </cell>
          <cell r="J16505">
            <v>24203.96</v>
          </cell>
        </row>
        <row r="16506">
          <cell r="A16506" t="str">
            <v>CIV</v>
          </cell>
          <cell r="B16506" t="str">
            <v>531-26451-007-0020</v>
          </cell>
          <cell r="J16506">
            <v>22031.040000000001</v>
          </cell>
        </row>
        <row r="16507">
          <cell r="A16507" t="str">
            <v>CIV</v>
          </cell>
          <cell r="B16507" t="str">
            <v>531-26451-007-0060</v>
          </cell>
          <cell r="J16507">
            <v>2172.92</v>
          </cell>
        </row>
        <row r="16508">
          <cell r="A16508" t="str">
            <v>CIV</v>
          </cell>
          <cell r="B16508" t="str">
            <v>531-26452-000-0000</v>
          </cell>
          <cell r="J16508">
            <v>11525.73</v>
          </cell>
        </row>
        <row r="16509">
          <cell r="A16509" t="str">
            <v>CIV</v>
          </cell>
          <cell r="B16509" t="str">
            <v>531-26452-007-0000</v>
          </cell>
          <cell r="J16509">
            <v>11525.73</v>
          </cell>
        </row>
        <row r="16510">
          <cell r="A16510" t="str">
            <v>CIV</v>
          </cell>
          <cell r="B16510" t="str">
            <v>531-26452-007-0020</v>
          </cell>
          <cell r="J16510">
            <v>10439.27</v>
          </cell>
        </row>
        <row r="16511">
          <cell r="A16511" t="str">
            <v>CIV</v>
          </cell>
          <cell r="B16511" t="str">
            <v>531-26452-007-0060</v>
          </cell>
          <cell r="J16511">
            <v>1086.46</v>
          </cell>
        </row>
        <row r="16512">
          <cell r="A16512" t="str">
            <v>CIV</v>
          </cell>
          <cell r="B16512" t="str">
            <v>531-26453-000-0000</v>
          </cell>
          <cell r="J16512">
            <v>5186.62</v>
          </cell>
        </row>
        <row r="16513">
          <cell r="A16513" t="str">
            <v>CIV</v>
          </cell>
          <cell r="B16513" t="str">
            <v>531-26453-007-0000</v>
          </cell>
          <cell r="J16513">
            <v>5186.62</v>
          </cell>
        </row>
        <row r="16514">
          <cell r="A16514" t="str">
            <v>CIV</v>
          </cell>
          <cell r="B16514" t="str">
            <v>531-26453-007-0020</v>
          </cell>
          <cell r="J16514">
            <v>4643.3900000000003</v>
          </cell>
        </row>
        <row r="16515">
          <cell r="A16515" t="str">
            <v>CIV</v>
          </cell>
          <cell r="B16515" t="str">
            <v>531-26453-007-0060</v>
          </cell>
          <cell r="J16515">
            <v>543.23</v>
          </cell>
        </row>
        <row r="16516">
          <cell r="A16516" t="str">
            <v>CIV</v>
          </cell>
          <cell r="B16516" t="str">
            <v>531-26454-000-0000</v>
          </cell>
          <cell r="J16516">
            <v>2823.98</v>
          </cell>
        </row>
        <row r="16517">
          <cell r="A16517" t="str">
            <v>CIV</v>
          </cell>
          <cell r="B16517" t="str">
            <v>531-26454-007-0000</v>
          </cell>
          <cell r="J16517">
            <v>2823.98</v>
          </cell>
        </row>
        <row r="16518">
          <cell r="A16518" t="str">
            <v>CIV</v>
          </cell>
          <cell r="B16518" t="str">
            <v>531-26454-007-0020</v>
          </cell>
          <cell r="J16518">
            <v>2280.75</v>
          </cell>
        </row>
        <row r="16519">
          <cell r="A16519" t="str">
            <v>CIV</v>
          </cell>
          <cell r="B16519" t="str">
            <v>531-26454-007-0060</v>
          </cell>
          <cell r="J16519">
            <v>543.23</v>
          </cell>
        </row>
        <row r="16520">
          <cell r="A16520" t="str">
            <v>CIV</v>
          </cell>
          <cell r="B16520" t="str">
            <v>531-26455-000-0000</v>
          </cell>
          <cell r="J16520">
            <v>3873.48</v>
          </cell>
        </row>
        <row r="16521">
          <cell r="A16521" t="str">
            <v>CIV</v>
          </cell>
          <cell r="B16521" t="str">
            <v>531-26455-004-0000</v>
          </cell>
          <cell r="J16521">
            <v>1556.78</v>
          </cell>
        </row>
        <row r="16522">
          <cell r="A16522" t="str">
            <v>CIV</v>
          </cell>
          <cell r="B16522" t="str">
            <v>531-26455-004-0001</v>
          </cell>
          <cell r="J16522">
            <v>312.89999999999998</v>
          </cell>
        </row>
        <row r="16523">
          <cell r="A16523" t="str">
            <v>CIV</v>
          </cell>
          <cell r="B16523" t="str">
            <v>531-26455-004-0002</v>
          </cell>
          <cell r="J16523">
            <v>862.07</v>
          </cell>
        </row>
        <row r="16524">
          <cell r="A16524" t="str">
            <v>CIV</v>
          </cell>
          <cell r="B16524" t="str">
            <v>531-26455-004-0005</v>
          </cell>
          <cell r="J16524">
            <v>381.81</v>
          </cell>
        </row>
        <row r="16525">
          <cell r="A16525" t="str">
            <v>CIV</v>
          </cell>
          <cell r="B16525" t="str">
            <v>531-26455-007-0000</v>
          </cell>
          <cell r="J16525">
            <v>3928.86</v>
          </cell>
        </row>
        <row r="16526">
          <cell r="A16526" t="str">
            <v>CIV</v>
          </cell>
          <cell r="B16526" t="str">
            <v>531-26455-007-0020</v>
          </cell>
          <cell r="J16526">
            <v>3602.92</v>
          </cell>
        </row>
        <row r="16527">
          <cell r="A16527" t="str">
            <v>CIV</v>
          </cell>
          <cell r="B16527" t="str">
            <v>531-26455-007-0060</v>
          </cell>
          <cell r="J16527">
            <v>325.94</v>
          </cell>
        </row>
        <row r="16528">
          <cell r="A16528" t="str">
            <v>CIV</v>
          </cell>
          <cell r="B16528" t="str">
            <v>531-26455-054-0000</v>
          </cell>
          <cell r="J16528">
            <v>-1612.16</v>
          </cell>
        </row>
        <row r="16529">
          <cell r="A16529" t="str">
            <v>CIV</v>
          </cell>
          <cell r="B16529" t="str">
            <v>531-26455-054-0006</v>
          </cell>
          <cell r="J16529">
            <v>-1612.16</v>
          </cell>
        </row>
        <row r="16530">
          <cell r="A16530" t="str">
            <v>CIV</v>
          </cell>
          <cell r="B16530" t="str">
            <v>550-00000-000-0000</v>
          </cell>
          <cell r="J16530">
            <v>307692.31</v>
          </cell>
        </row>
        <row r="16531">
          <cell r="A16531" t="str">
            <v>CIV</v>
          </cell>
          <cell r="B16531" t="str">
            <v>550-99999-000-0000</v>
          </cell>
          <cell r="J16531">
            <v>307692.31</v>
          </cell>
        </row>
        <row r="16532">
          <cell r="A16532" t="str">
            <v>CIV</v>
          </cell>
          <cell r="B16532" t="str">
            <v>550-99999-029-0000</v>
          </cell>
          <cell r="J16532">
            <v>307692.31</v>
          </cell>
        </row>
        <row r="16533">
          <cell r="A16533" t="str">
            <v>CIV</v>
          </cell>
          <cell r="B16533" t="str">
            <v>560-00000-000-0000</v>
          </cell>
          <cell r="J16533">
            <v>445000</v>
          </cell>
        </row>
        <row r="16534">
          <cell r="A16534" t="str">
            <v>CIV</v>
          </cell>
          <cell r="B16534" t="str">
            <v>560-99999-000-0000</v>
          </cell>
          <cell r="J16534">
            <v>445000</v>
          </cell>
        </row>
        <row r="16535">
          <cell r="A16535" t="str">
            <v>CIV</v>
          </cell>
          <cell r="B16535" t="str">
            <v>560-99999-037-0000</v>
          </cell>
          <cell r="J16535">
            <v>445000</v>
          </cell>
        </row>
        <row r="16536">
          <cell r="A16536" t="str">
            <v>CIV</v>
          </cell>
          <cell r="B16536" t="str">
            <v>561-00000-000-0000</v>
          </cell>
          <cell r="J16536">
            <v>1880825.16</v>
          </cell>
        </row>
        <row r="16537">
          <cell r="A16537" t="str">
            <v>CIV</v>
          </cell>
          <cell r="B16537" t="str">
            <v>561-99999-000-0000</v>
          </cell>
          <cell r="J16537">
            <v>1880825.16</v>
          </cell>
        </row>
        <row r="16538">
          <cell r="A16538" t="str">
            <v>CIV</v>
          </cell>
          <cell r="B16538" t="str">
            <v>561-99999-021-0000</v>
          </cell>
          <cell r="J16538">
            <v>1880825.16</v>
          </cell>
        </row>
        <row r="16539">
          <cell r="A16539" t="str">
            <v>CIV</v>
          </cell>
          <cell r="B16539" t="str">
            <v>630-00000-000-0000</v>
          </cell>
          <cell r="J16539">
            <v>83443.27</v>
          </cell>
        </row>
        <row r="16540">
          <cell r="A16540" t="str">
            <v>CIV</v>
          </cell>
          <cell r="B16540" t="str">
            <v>630-99999-000-0000</v>
          </cell>
          <cell r="J16540">
            <v>83443.27</v>
          </cell>
        </row>
        <row r="16541">
          <cell r="A16541" t="str">
            <v>CIV</v>
          </cell>
          <cell r="B16541" t="str">
            <v>630-99999-005-0000</v>
          </cell>
          <cell r="J16541">
            <v>83443.27</v>
          </cell>
        </row>
        <row r="16542">
          <cell r="A16542" t="str">
            <v>CIV</v>
          </cell>
          <cell r="B16542" t="str">
            <v>630-99999-005-0013</v>
          </cell>
          <cell r="J16542">
            <v>83443.27</v>
          </cell>
        </row>
        <row r="16543">
          <cell r="A16543" t="str">
            <v>CIV</v>
          </cell>
          <cell r="B16543" t="str">
            <v>640-00000-000-0000</v>
          </cell>
          <cell r="J16543">
            <v>1729.66</v>
          </cell>
        </row>
        <row r="16544">
          <cell r="A16544" t="str">
            <v>CIV</v>
          </cell>
          <cell r="B16544" t="str">
            <v>640-99999-000-0000</v>
          </cell>
          <cell r="J16544">
            <v>1729.66</v>
          </cell>
        </row>
        <row r="16545">
          <cell r="A16545" t="str">
            <v>CIV</v>
          </cell>
          <cell r="B16545" t="str">
            <v>640-99999-001-0000</v>
          </cell>
          <cell r="J16545">
            <v>1679.28</v>
          </cell>
        </row>
        <row r="16546">
          <cell r="A16546" t="str">
            <v>CIV</v>
          </cell>
          <cell r="B16546" t="str">
            <v>640-99999-001-0010</v>
          </cell>
          <cell r="J16546">
            <v>279.88</v>
          </cell>
        </row>
        <row r="16547">
          <cell r="A16547" t="str">
            <v>CIV</v>
          </cell>
          <cell r="B16547" t="str">
            <v>640-99999-001-0011</v>
          </cell>
          <cell r="J16547">
            <v>1399.4</v>
          </cell>
        </row>
        <row r="16548">
          <cell r="A16548" t="str">
            <v>CIV</v>
          </cell>
          <cell r="B16548" t="str">
            <v>640-99999-002-0000</v>
          </cell>
          <cell r="J16548">
            <v>50.38</v>
          </cell>
        </row>
        <row r="16549">
          <cell r="A16549" t="str">
            <v>CIV</v>
          </cell>
          <cell r="B16549" t="str">
            <v>640-99999-002-0004</v>
          </cell>
          <cell r="J16549">
            <v>50.38</v>
          </cell>
        </row>
        <row r="16550">
          <cell r="A16550" t="str">
            <v>CIV</v>
          </cell>
          <cell r="B16550" t="str">
            <v>650-00000-000-0000</v>
          </cell>
          <cell r="J16550">
            <v>710282.15</v>
          </cell>
        </row>
        <row r="16551">
          <cell r="A16551" t="str">
            <v>CIV</v>
          </cell>
          <cell r="B16551" t="str">
            <v>650-99999-000-0000</v>
          </cell>
          <cell r="J16551">
            <v>710282.15</v>
          </cell>
        </row>
        <row r="16552">
          <cell r="A16552" t="str">
            <v>CIV</v>
          </cell>
          <cell r="B16552" t="str">
            <v>650-99999-004-0000</v>
          </cell>
          <cell r="J16552">
            <v>22758</v>
          </cell>
        </row>
        <row r="16553">
          <cell r="A16553" t="str">
            <v>CIV</v>
          </cell>
          <cell r="B16553" t="str">
            <v>650-99999-004-0004</v>
          </cell>
          <cell r="J16553">
            <v>22758</v>
          </cell>
        </row>
        <row r="16554">
          <cell r="A16554" t="str">
            <v>CIV</v>
          </cell>
          <cell r="B16554" t="str">
            <v>650-99999-010-0000</v>
          </cell>
          <cell r="J16554">
            <v>487309.97</v>
          </cell>
        </row>
        <row r="16555">
          <cell r="A16555" t="str">
            <v>CIV</v>
          </cell>
          <cell r="B16555" t="str">
            <v>650-99999-010-0002</v>
          </cell>
          <cell r="J16555">
            <v>487309.97</v>
          </cell>
        </row>
        <row r="16556">
          <cell r="A16556" t="str">
            <v>CIV</v>
          </cell>
          <cell r="B16556" t="str">
            <v>650-99999-011-0000</v>
          </cell>
          <cell r="J16556">
            <v>28613.18</v>
          </cell>
        </row>
        <row r="16557">
          <cell r="A16557" t="str">
            <v>CIV</v>
          </cell>
          <cell r="B16557" t="str">
            <v>650-99999-012-0000</v>
          </cell>
          <cell r="J16557">
            <v>3322.91</v>
          </cell>
        </row>
        <row r="16558">
          <cell r="A16558" t="str">
            <v>CIV</v>
          </cell>
          <cell r="B16558" t="str">
            <v>650-99999-012-0001</v>
          </cell>
          <cell r="J16558">
            <v>3322.91</v>
          </cell>
        </row>
        <row r="16559">
          <cell r="A16559" t="str">
            <v>CIV</v>
          </cell>
          <cell r="B16559" t="str">
            <v>650-99999-022-0000</v>
          </cell>
          <cell r="J16559">
            <v>2079</v>
          </cell>
        </row>
        <row r="16560">
          <cell r="A16560" t="str">
            <v>CIV</v>
          </cell>
          <cell r="B16560" t="str">
            <v>650-99999-022-0003</v>
          </cell>
          <cell r="J16560">
            <v>2079</v>
          </cell>
        </row>
        <row r="16561">
          <cell r="A16561" t="str">
            <v>CIV</v>
          </cell>
          <cell r="B16561" t="str">
            <v>650-99999-023-0000</v>
          </cell>
          <cell r="J16561">
            <v>147704</v>
          </cell>
        </row>
        <row r="16562">
          <cell r="A16562" t="str">
            <v>CIV</v>
          </cell>
          <cell r="B16562" t="str">
            <v>650-99999-025-0000</v>
          </cell>
          <cell r="J16562">
            <v>18495.09</v>
          </cell>
        </row>
        <row r="16563">
          <cell r="A16563" t="str">
            <v>CIV</v>
          </cell>
          <cell r="B16563" t="str">
            <v>650-99999-025-0001</v>
          </cell>
          <cell r="J16563">
            <v>706.09</v>
          </cell>
        </row>
        <row r="16564">
          <cell r="A16564" t="str">
            <v>CIV</v>
          </cell>
          <cell r="B16564" t="str">
            <v>650-99999-025-0004</v>
          </cell>
          <cell r="J16564">
            <v>17789</v>
          </cell>
        </row>
        <row r="16565">
          <cell r="A16565" t="str">
            <v>CIV</v>
          </cell>
          <cell r="B16565" t="str">
            <v>660-00000-000-0000</v>
          </cell>
          <cell r="J16565">
            <v>321543.71999999997</v>
          </cell>
        </row>
        <row r="16566">
          <cell r="A16566" t="str">
            <v>CIV</v>
          </cell>
          <cell r="B16566" t="str">
            <v>660-99999-000-0000</v>
          </cell>
          <cell r="J16566">
            <v>321543.71999999997</v>
          </cell>
        </row>
        <row r="16567">
          <cell r="A16567" t="str">
            <v>CIV</v>
          </cell>
          <cell r="B16567" t="str">
            <v>660-99999-034-0000</v>
          </cell>
          <cell r="J16567">
            <v>321543.71999999997</v>
          </cell>
        </row>
        <row r="16568">
          <cell r="A16568" t="str">
            <v>CIV</v>
          </cell>
          <cell r="B16568" t="str">
            <v>660-99999-034-0001</v>
          </cell>
          <cell r="J16568">
            <v>33124.559999999998</v>
          </cell>
        </row>
        <row r="16569">
          <cell r="A16569" t="str">
            <v>CIV</v>
          </cell>
          <cell r="B16569" t="str">
            <v>660-99999-034-0002</v>
          </cell>
          <cell r="J16569">
            <v>241120</v>
          </cell>
        </row>
        <row r="16570">
          <cell r="A16570" t="str">
            <v>CIV</v>
          </cell>
          <cell r="B16570" t="str">
            <v>660-99999-034-0003</v>
          </cell>
          <cell r="J16570">
            <v>47299.16</v>
          </cell>
        </row>
        <row r="16571">
          <cell r="A16571" t="str">
            <v>CIV</v>
          </cell>
          <cell r="B16571" t="str">
            <v>710-00000-000-0000</v>
          </cell>
          <cell r="J16571">
            <v>7067</v>
          </cell>
        </row>
        <row r="16572">
          <cell r="A16572" t="str">
            <v>CIV</v>
          </cell>
          <cell r="B16572" t="str">
            <v>710-99999-000-0000</v>
          </cell>
          <cell r="J16572">
            <v>7067</v>
          </cell>
        </row>
        <row r="16573">
          <cell r="A16573" t="str">
            <v>CIV</v>
          </cell>
          <cell r="B16573" t="str">
            <v>710-99999-002-0000</v>
          </cell>
          <cell r="J16573">
            <v>7067</v>
          </cell>
        </row>
        <row r="16574">
          <cell r="A16574" t="str">
            <v>CIV</v>
          </cell>
          <cell r="B16574" t="str">
            <v>710-99999-002-0001</v>
          </cell>
          <cell r="J16574">
            <v>7067</v>
          </cell>
        </row>
        <row r="16575">
          <cell r="A16575" t="str">
            <v>CIV</v>
          </cell>
          <cell r="B16575" t="str">
            <v>740-00000-000-0000</v>
          </cell>
          <cell r="J16575">
            <v>2522.09</v>
          </cell>
        </row>
        <row r="16576">
          <cell r="A16576" t="str">
            <v>CIV</v>
          </cell>
          <cell r="B16576" t="str">
            <v>740-99999-000-0000</v>
          </cell>
          <cell r="J16576">
            <v>2522.09</v>
          </cell>
        </row>
        <row r="16577">
          <cell r="A16577" t="str">
            <v>CIV</v>
          </cell>
          <cell r="B16577" t="str">
            <v>740-99999-001-0000</v>
          </cell>
          <cell r="J16577">
            <v>2522.09</v>
          </cell>
        </row>
        <row r="16578">
          <cell r="A16578" t="str">
            <v>CIV</v>
          </cell>
          <cell r="J16578">
            <v>0</v>
          </cell>
        </row>
        <row r="16579">
          <cell r="A16579" t="str">
            <v>CIV</v>
          </cell>
          <cell r="J16579">
            <v>0</v>
          </cell>
        </row>
        <row r="16580">
          <cell r="A16580" t="str">
            <v>CIV</v>
          </cell>
          <cell r="J16580">
            <v>0</v>
          </cell>
        </row>
        <row r="16581">
          <cell r="A16581" t="str">
            <v>CIV</v>
          </cell>
          <cell r="J16581">
            <v>0</v>
          </cell>
        </row>
        <row r="16582">
          <cell r="A16582" t="str">
            <v>CIV</v>
          </cell>
          <cell r="J16582">
            <v>0</v>
          </cell>
        </row>
        <row r="16583">
          <cell r="A16583" t="str">
            <v>CIV</v>
          </cell>
          <cell r="J16583">
            <v>0</v>
          </cell>
        </row>
        <row r="16584">
          <cell r="A16584" t="str">
            <v>CIV</v>
          </cell>
          <cell r="J16584">
            <v>0</v>
          </cell>
        </row>
        <row r="16585">
          <cell r="A16585" t="str">
            <v>CIV</v>
          </cell>
          <cell r="J16585">
            <v>0</v>
          </cell>
        </row>
        <row r="16586">
          <cell r="A16586" t="str">
            <v>CIV</v>
          </cell>
          <cell r="J16586">
            <v>0</v>
          </cell>
        </row>
        <row r="16587">
          <cell r="A16587" t="str">
            <v>CIV</v>
          </cell>
          <cell r="J16587">
            <v>0</v>
          </cell>
        </row>
        <row r="16588">
          <cell r="A16588" t="str">
            <v>CIV</v>
          </cell>
          <cell r="J16588">
            <v>0</v>
          </cell>
        </row>
        <row r="16589">
          <cell r="A16589" t="str">
            <v>CIV</v>
          </cell>
          <cell r="J16589">
            <v>0</v>
          </cell>
        </row>
        <row r="16590">
          <cell r="A16590" t="str">
            <v>CIV</v>
          </cell>
          <cell r="J16590">
            <v>0</v>
          </cell>
        </row>
        <row r="16591">
          <cell r="A16591" t="str">
            <v>CIV</v>
          </cell>
          <cell r="J16591">
            <v>0</v>
          </cell>
        </row>
        <row r="16592">
          <cell r="A16592" t="str">
            <v>CIV</v>
          </cell>
          <cell r="J16592">
            <v>0</v>
          </cell>
        </row>
        <row r="16593">
          <cell r="A16593" t="str">
            <v>CIV</v>
          </cell>
          <cell r="J16593">
            <v>0</v>
          </cell>
        </row>
        <row r="16594">
          <cell r="A16594" t="str">
            <v>CIV</v>
          </cell>
          <cell r="J16594">
            <v>0</v>
          </cell>
        </row>
        <row r="16595">
          <cell r="A16595" t="str">
            <v>CIV</v>
          </cell>
          <cell r="J16595">
            <v>0</v>
          </cell>
        </row>
        <row r="16596">
          <cell r="A16596" t="str">
            <v>CIV</v>
          </cell>
          <cell r="J16596">
            <v>0</v>
          </cell>
        </row>
        <row r="16597">
          <cell r="A16597" t="str">
            <v>CIV</v>
          </cell>
          <cell r="J16597">
            <v>0</v>
          </cell>
        </row>
        <row r="16598">
          <cell r="A16598" t="str">
            <v>CIV</v>
          </cell>
          <cell r="J16598">
            <v>0</v>
          </cell>
        </row>
        <row r="16599">
          <cell r="A16599" t="str">
            <v>CIV</v>
          </cell>
          <cell r="J16599">
            <v>0</v>
          </cell>
        </row>
        <row r="16600">
          <cell r="A16600" t="str">
            <v>CIV</v>
          </cell>
          <cell r="J16600">
            <v>0</v>
          </cell>
        </row>
        <row r="16601">
          <cell r="A16601" t="str">
            <v>CIV</v>
          </cell>
          <cell r="J16601">
            <v>0</v>
          </cell>
        </row>
        <row r="16602">
          <cell r="A16602" t="str">
            <v>CIV</v>
          </cell>
          <cell r="J16602">
            <v>0</v>
          </cell>
        </row>
        <row r="16603">
          <cell r="A16603" t="str">
            <v>CIV</v>
          </cell>
          <cell r="J16603">
            <v>0</v>
          </cell>
        </row>
        <row r="16604">
          <cell r="A16604" t="str">
            <v>CIV</v>
          </cell>
          <cell r="J16604">
            <v>0</v>
          </cell>
        </row>
        <row r="16605">
          <cell r="A16605" t="str">
            <v>CIV</v>
          </cell>
          <cell r="J16605">
            <v>0</v>
          </cell>
        </row>
        <row r="16606">
          <cell r="A16606" t="str">
            <v>CIV</v>
          </cell>
          <cell r="J16606">
            <v>0</v>
          </cell>
        </row>
        <row r="16607">
          <cell r="A16607" t="str">
            <v>CIV</v>
          </cell>
          <cell r="J16607">
            <v>0</v>
          </cell>
        </row>
        <row r="16608">
          <cell r="A16608" t="str">
            <v>CIV</v>
          </cell>
          <cell r="J16608">
            <v>0</v>
          </cell>
        </row>
        <row r="16609">
          <cell r="A16609" t="str">
            <v>CIV</v>
          </cell>
          <cell r="J16609">
            <v>0</v>
          </cell>
        </row>
        <row r="16610">
          <cell r="A16610" t="str">
            <v>CIV</v>
          </cell>
          <cell r="J16610">
            <v>0</v>
          </cell>
        </row>
        <row r="16611">
          <cell r="A16611" t="str">
            <v>CIV</v>
          </cell>
          <cell r="J16611">
            <v>0</v>
          </cell>
        </row>
        <row r="16612">
          <cell r="A16612" t="str">
            <v>CIV</v>
          </cell>
          <cell r="J16612">
            <v>0</v>
          </cell>
        </row>
        <row r="16613">
          <cell r="A16613" t="str">
            <v>CIV</v>
          </cell>
          <cell r="J16613">
            <v>0</v>
          </cell>
        </row>
        <row r="16614">
          <cell r="A16614" t="str">
            <v>CIV</v>
          </cell>
          <cell r="J16614">
            <v>0</v>
          </cell>
        </row>
        <row r="16615">
          <cell r="A16615" t="str">
            <v>CIV</v>
          </cell>
          <cell r="J16615">
            <v>0</v>
          </cell>
        </row>
        <row r="16616">
          <cell r="A16616" t="str">
            <v>CIV</v>
          </cell>
          <cell r="J16616">
            <v>0</v>
          </cell>
        </row>
        <row r="16617">
          <cell r="A16617" t="str">
            <v>CIV</v>
          </cell>
          <cell r="J16617">
            <v>0</v>
          </cell>
        </row>
        <row r="16618">
          <cell r="A16618" t="str">
            <v>CIV</v>
          </cell>
          <cell r="J16618">
            <v>0</v>
          </cell>
        </row>
        <row r="16619">
          <cell r="A16619" t="str">
            <v>CIV</v>
          </cell>
          <cell r="J16619">
            <v>0</v>
          </cell>
        </row>
        <row r="16620">
          <cell r="A16620" t="str">
            <v>CIV</v>
          </cell>
          <cell r="J16620">
            <v>0</v>
          </cell>
        </row>
        <row r="16621">
          <cell r="A16621" t="str">
            <v>CIV</v>
          </cell>
          <cell r="J16621">
            <v>0</v>
          </cell>
        </row>
        <row r="16622">
          <cell r="A16622" t="str">
            <v>CIV</v>
          </cell>
          <cell r="J16622">
            <v>0</v>
          </cell>
        </row>
        <row r="16623">
          <cell r="A16623" t="str">
            <v>CIV</v>
          </cell>
          <cell r="J16623">
            <v>0</v>
          </cell>
        </row>
        <row r="16624">
          <cell r="A16624" t="str">
            <v>CIV</v>
          </cell>
          <cell r="J16624">
            <v>0</v>
          </cell>
        </row>
        <row r="16625">
          <cell r="A16625" t="str">
            <v>CIV</v>
          </cell>
          <cell r="J16625">
            <v>0</v>
          </cell>
        </row>
        <row r="16626">
          <cell r="A16626" t="str">
            <v>CIV</v>
          </cell>
          <cell r="J16626">
            <v>0</v>
          </cell>
        </row>
        <row r="16627">
          <cell r="A16627" t="str">
            <v>CIV</v>
          </cell>
          <cell r="J16627">
            <v>0</v>
          </cell>
        </row>
        <row r="16628">
          <cell r="A16628" t="str">
            <v>CIV</v>
          </cell>
          <cell r="J16628">
            <v>0</v>
          </cell>
        </row>
        <row r="16629">
          <cell r="A16629" t="str">
            <v>CIV</v>
          </cell>
          <cell r="J16629">
            <v>0</v>
          </cell>
        </row>
        <row r="16630">
          <cell r="A16630" t="str">
            <v>CIV</v>
          </cell>
          <cell r="J16630">
            <v>0</v>
          </cell>
        </row>
        <row r="16631">
          <cell r="A16631" t="str">
            <v>CIV</v>
          </cell>
          <cell r="J16631">
            <v>0</v>
          </cell>
        </row>
        <row r="16632">
          <cell r="A16632" t="str">
            <v>CIV</v>
          </cell>
          <cell r="J16632">
            <v>0</v>
          </cell>
        </row>
        <row r="16633">
          <cell r="A16633" t="str">
            <v>CIV</v>
          </cell>
          <cell r="J16633">
            <v>0</v>
          </cell>
        </row>
        <row r="16634">
          <cell r="A16634" t="str">
            <v>CIV</v>
          </cell>
          <cell r="J16634">
            <v>0</v>
          </cell>
        </row>
        <row r="16635">
          <cell r="A16635" t="str">
            <v>CIV</v>
          </cell>
          <cell r="J16635">
            <v>0</v>
          </cell>
        </row>
        <row r="16636">
          <cell r="A16636" t="str">
            <v>CIV</v>
          </cell>
          <cell r="J16636">
            <v>0</v>
          </cell>
        </row>
        <row r="16637">
          <cell r="A16637" t="str">
            <v>CIV</v>
          </cell>
          <cell r="J16637">
            <v>0</v>
          </cell>
        </row>
        <row r="16638">
          <cell r="A16638" t="str">
            <v>CIV</v>
          </cell>
          <cell r="J16638">
            <v>0</v>
          </cell>
        </row>
        <row r="16639">
          <cell r="A16639" t="str">
            <v>CIV</v>
          </cell>
          <cell r="J16639">
            <v>0</v>
          </cell>
        </row>
        <row r="16640">
          <cell r="A16640" t="str">
            <v>CIV</v>
          </cell>
          <cell r="J16640">
            <v>0</v>
          </cell>
        </row>
        <row r="16641">
          <cell r="A16641" t="str">
            <v>CIV</v>
          </cell>
          <cell r="J16641">
            <v>0</v>
          </cell>
        </row>
        <row r="16642">
          <cell r="A16642" t="str">
            <v>CIV</v>
          </cell>
          <cell r="J16642">
            <v>0</v>
          </cell>
        </row>
        <row r="16643">
          <cell r="A16643" t="str">
            <v>CIV</v>
          </cell>
          <cell r="J16643">
            <v>0</v>
          </cell>
        </row>
        <row r="16644">
          <cell r="A16644" t="str">
            <v>CIV</v>
          </cell>
          <cell r="J16644">
            <v>0</v>
          </cell>
        </row>
        <row r="16645">
          <cell r="A16645" t="str">
            <v>CIV</v>
          </cell>
          <cell r="J16645">
            <v>0</v>
          </cell>
        </row>
        <row r="16646">
          <cell r="A16646" t="str">
            <v>CIV</v>
          </cell>
          <cell r="J16646">
            <v>0</v>
          </cell>
        </row>
        <row r="16647">
          <cell r="A16647" t="str">
            <v>CIV</v>
          </cell>
          <cell r="J16647">
            <v>0</v>
          </cell>
        </row>
        <row r="16648">
          <cell r="A16648" t="str">
            <v>CIV</v>
          </cell>
          <cell r="J16648">
            <v>0</v>
          </cell>
        </row>
        <row r="16649">
          <cell r="A16649" t="str">
            <v>CIV</v>
          </cell>
          <cell r="J16649">
            <v>0</v>
          </cell>
        </row>
        <row r="16650">
          <cell r="A16650" t="str">
            <v>CIV</v>
          </cell>
          <cell r="J16650">
            <v>0</v>
          </cell>
        </row>
        <row r="16651">
          <cell r="A16651" t="str">
            <v>CIV</v>
          </cell>
          <cell r="J16651">
            <v>0</v>
          </cell>
        </row>
        <row r="16652">
          <cell r="A16652" t="str">
            <v>CIV</v>
          </cell>
          <cell r="J16652">
            <v>0</v>
          </cell>
        </row>
        <row r="16653">
          <cell r="A16653" t="str">
            <v>CIV</v>
          </cell>
          <cell r="J16653">
            <v>0</v>
          </cell>
        </row>
        <row r="16654">
          <cell r="A16654" t="str">
            <v>CIV</v>
          </cell>
          <cell r="J16654">
            <v>0</v>
          </cell>
        </row>
        <row r="16655">
          <cell r="A16655" t="str">
            <v>CIV</v>
          </cell>
          <cell r="J16655">
            <v>0</v>
          </cell>
        </row>
        <row r="16656">
          <cell r="A16656" t="str">
            <v>CIV</v>
          </cell>
          <cell r="J16656">
            <v>0</v>
          </cell>
        </row>
        <row r="16657">
          <cell r="A16657" t="str">
            <v>CIV</v>
          </cell>
          <cell r="J16657">
            <v>0</v>
          </cell>
        </row>
        <row r="16658">
          <cell r="A16658" t="str">
            <v>CIV</v>
          </cell>
          <cell r="J16658">
            <v>0</v>
          </cell>
        </row>
        <row r="16659">
          <cell r="A16659" t="str">
            <v>CIV</v>
          </cell>
          <cell r="J16659">
            <v>0</v>
          </cell>
        </row>
        <row r="16660">
          <cell r="A16660" t="str">
            <v>CIV</v>
          </cell>
          <cell r="J16660">
            <v>0</v>
          </cell>
        </row>
        <row r="16661">
          <cell r="A16661" t="str">
            <v>CIV</v>
          </cell>
          <cell r="J16661">
            <v>0</v>
          </cell>
        </row>
        <row r="16662">
          <cell r="A16662" t="str">
            <v>CIV</v>
          </cell>
          <cell r="J16662">
            <v>0</v>
          </cell>
        </row>
        <row r="16663">
          <cell r="A16663" t="str">
            <v>CIV</v>
          </cell>
          <cell r="J16663">
            <v>0</v>
          </cell>
        </row>
        <row r="16664">
          <cell r="A16664" t="str">
            <v>CIV</v>
          </cell>
          <cell r="J16664">
            <v>0</v>
          </cell>
        </row>
        <row r="16665">
          <cell r="A16665" t="str">
            <v>CIV</v>
          </cell>
          <cell r="J16665">
            <v>0</v>
          </cell>
        </row>
        <row r="16666">
          <cell r="A16666" t="str">
            <v>CIV</v>
          </cell>
          <cell r="J16666">
            <v>0</v>
          </cell>
        </row>
        <row r="16667">
          <cell r="A16667" t="str">
            <v>CIV</v>
          </cell>
          <cell r="J16667">
            <v>0</v>
          </cell>
        </row>
        <row r="16668">
          <cell r="A16668" t="str">
            <v>CIV</v>
          </cell>
          <cell r="J16668">
            <v>0</v>
          </cell>
        </row>
        <row r="16669">
          <cell r="A16669" t="str">
            <v>CIV</v>
          </cell>
          <cell r="J16669">
            <v>0</v>
          </cell>
        </row>
        <row r="16670">
          <cell r="A16670" t="str">
            <v>CIV</v>
          </cell>
          <cell r="J16670">
            <v>0</v>
          </cell>
        </row>
        <row r="16671">
          <cell r="A16671" t="str">
            <v>CIV</v>
          </cell>
          <cell r="J16671">
            <v>0</v>
          </cell>
        </row>
        <row r="16672">
          <cell r="A16672" t="str">
            <v>CIV</v>
          </cell>
          <cell r="J16672">
            <v>0</v>
          </cell>
        </row>
        <row r="16673">
          <cell r="A16673" t="str">
            <v>CIV</v>
          </cell>
          <cell r="J16673">
            <v>0</v>
          </cell>
        </row>
        <row r="16674">
          <cell r="A16674" t="str">
            <v>CIV</v>
          </cell>
          <cell r="J16674">
            <v>0</v>
          </cell>
        </row>
        <row r="16675">
          <cell r="A16675" t="str">
            <v>CIV</v>
          </cell>
          <cell r="J16675">
            <v>0</v>
          </cell>
        </row>
        <row r="16676">
          <cell r="A16676" t="str">
            <v>CIV</v>
          </cell>
          <cell r="J16676">
            <v>0</v>
          </cell>
        </row>
        <row r="16677">
          <cell r="A16677" t="str">
            <v>CIV</v>
          </cell>
          <cell r="J16677">
            <v>0</v>
          </cell>
        </row>
        <row r="16678">
          <cell r="A16678" t="str">
            <v>CIV</v>
          </cell>
          <cell r="J16678">
            <v>0</v>
          </cell>
        </row>
        <row r="16679">
          <cell r="A16679" t="str">
            <v>CIV</v>
          </cell>
          <cell r="J16679">
            <v>0</v>
          </cell>
        </row>
        <row r="16680">
          <cell r="A16680" t="str">
            <v>CIV</v>
          </cell>
          <cell r="J16680">
            <v>0</v>
          </cell>
        </row>
        <row r="16681">
          <cell r="A16681" t="str">
            <v>CIV</v>
          </cell>
          <cell r="J16681">
            <v>0</v>
          </cell>
        </row>
        <row r="16682">
          <cell r="A16682" t="str">
            <v>CIV</v>
          </cell>
          <cell r="J16682">
            <v>0</v>
          </cell>
        </row>
        <row r="16683">
          <cell r="A16683" t="str">
            <v>CIV</v>
          </cell>
          <cell r="J16683">
            <v>0</v>
          </cell>
        </row>
        <row r="16684">
          <cell r="A16684" t="str">
            <v>CIV</v>
          </cell>
          <cell r="J16684">
            <v>0</v>
          </cell>
        </row>
        <row r="16685">
          <cell r="A16685" t="str">
            <v>CIV</v>
          </cell>
          <cell r="J16685">
            <v>0</v>
          </cell>
        </row>
        <row r="16686">
          <cell r="A16686" t="str">
            <v>CIV</v>
          </cell>
          <cell r="J16686">
            <v>0</v>
          </cell>
        </row>
        <row r="16687">
          <cell r="A16687" t="str">
            <v>CIV</v>
          </cell>
          <cell r="J16687">
            <v>0</v>
          </cell>
        </row>
        <row r="16688">
          <cell r="A16688" t="str">
            <v>CIV</v>
          </cell>
          <cell r="J16688">
            <v>0</v>
          </cell>
        </row>
        <row r="16689">
          <cell r="A16689" t="str">
            <v>CIV</v>
          </cell>
          <cell r="J16689">
            <v>0</v>
          </cell>
        </row>
        <row r="16690">
          <cell r="A16690" t="str">
            <v>CIV</v>
          </cell>
          <cell r="J16690">
            <v>0</v>
          </cell>
        </row>
        <row r="16691">
          <cell r="A16691" t="str">
            <v>CIV</v>
          </cell>
          <cell r="J16691">
            <v>0</v>
          </cell>
        </row>
        <row r="16692">
          <cell r="A16692" t="str">
            <v>CIV</v>
          </cell>
          <cell r="J16692">
            <v>0</v>
          </cell>
        </row>
        <row r="16693">
          <cell r="A16693" t="str">
            <v>CIV</v>
          </cell>
          <cell r="J16693">
            <v>0</v>
          </cell>
        </row>
        <row r="16694">
          <cell r="A16694" t="str">
            <v>CIV</v>
          </cell>
          <cell r="J16694">
            <v>0</v>
          </cell>
        </row>
        <row r="16695">
          <cell r="A16695" t="str">
            <v>CIV</v>
          </cell>
          <cell r="J16695">
            <v>0</v>
          </cell>
        </row>
        <row r="16696">
          <cell r="A16696" t="str">
            <v>CIV</v>
          </cell>
          <cell r="J16696">
            <v>0</v>
          </cell>
        </row>
        <row r="16697">
          <cell r="A16697" t="str">
            <v>CIV</v>
          </cell>
          <cell r="J16697">
            <v>0</v>
          </cell>
        </row>
        <row r="16698">
          <cell r="A16698" t="str">
            <v>CIV</v>
          </cell>
          <cell r="J16698">
            <v>0</v>
          </cell>
        </row>
        <row r="16699">
          <cell r="A16699" t="str">
            <v>CIV</v>
          </cell>
          <cell r="J16699">
            <v>0</v>
          </cell>
        </row>
        <row r="16700">
          <cell r="A16700" t="str">
            <v>CIV</v>
          </cell>
          <cell r="J16700">
            <v>0</v>
          </cell>
        </row>
        <row r="16701">
          <cell r="A16701" t="str">
            <v>CIV</v>
          </cell>
          <cell r="J16701">
            <v>0</v>
          </cell>
        </row>
        <row r="16702">
          <cell r="A16702" t="str">
            <v>CIV</v>
          </cell>
          <cell r="J16702">
            <v>0</v>
          </cell>
        </row>
        <row r="16703">
          <cell r="A16703" t="str">
            <v>CIV</v>
          </cell>
          <cell r="J16703">
            <v>0</v>
          </cell>
        </row>
        <row r="16704">
          <cell r="A16704" t="str">
            <v>CIV</v>
          </cell>
          <cell r="J16704">
            <v>0</v>
          </cell>
        </row>
        <row r="16705">
          <cell r="A16705" t="str">
            <v>CIV</v>
          </cell>
          <cell r="J16705">
            <v>0</v>
          </cell>
        </row>
        <row r="16706">
          <cell r="A16706" t="str">
            <v>CIV</v>
          </cell>
          <cell r="J16706">
            <v>0</v>
          </cell>
        </row>
        <row r="16707">
          <cell r="A16707" t="str">
            <v>CIV</v>
          </cell>
          <cell r="J16707">
            <v>0</v>
          </cell>
        </row>
        <row r="16708">
          <cell r="A16708" t="str">
            <v>CIV</v>
          </cell>
          <cell r="J16708">
            <v>0</v>
          </cell>
        </row>
        <row r="16709">
          <cell r="A16709" t="str">
            <v>CIV</v>
          </cell>
          <cell r="J16709">
            <v>0</v>
          </cell>
        </row>
        <row r="16710">
          <cell r="A16710" t="str">
            <v>CIV</v>
          </cell>
          <cell r="J16710">
            <v>0</v>
          </cell>
        </row>
        <row r="16711">
          <cell r="A16711" t="str">
            <v>CIV</v>
          </cell>
          <cell r="J16711">
            <v>0</v>
          </cell>
        </row>
        <row r="16712">
          <cell r="A16712" t="str">
            <v>CIV</v>
          </cell>
          <cell r="J16712">
            <v>0</v>
          </cell>
        </row>
        <row r="16713">
          <cell r="A16713" t="str">
            <v>CIV</v>
          </cell>
          <cell r="J16713">
            <v>0</v>
          </cell>
        </row>
        <row r="16714">
          <cell r="A16714" t="str">
            <v>CIV</v>
          </cell>
          <cell r="J16714">
            <v>0</v>
          </cell>
        </row>
        <row r="16715">
          <cell r="A16715" t="str">
            <v>CIV</v>
          </cell>
          <cell r="J16715">
            <v>0</v>
          </cell>
        </row>
        <row r="16716">
          <cell r="A16716" t="str">
            <v>CIV</v>
          </cell>
          <cell r="J16716">
            <v>0</v>
          </cell>
        </row>
        <row r="16717">
          <cell r="A16717" t="str">
            <v>CIV</v>
          </cell>
          <cell r="J16717">
            <v>0</v>
          </cell>
        </row>
        <row r="16718">
          <cell r="A16718" t="str">
            <v>CIV</v>
          </cell>
          <cell r="J16718">
            <v>0</v>
          </cell>
        </row>
        <row r="16719">
          <cell r="A16719" t="str">
            <v>CIV</v>
          </cell>
          <cell r="J16719">
            <v>0</v>
          </cell>
        </row>
        <row r="16720">
          <cell r="A16720" t="str">
            <v>CIV</v>
          </cell>
          <cell r="J16720">
            <v>0</v>
          </cell>
        </row>
        <row r="16721">
          <cell r="A16721" t="str">
            <v>CIV</v>
          </cell>
          <cell r="J16721">
            <v>0</v>
          </cell>
        </row>
        <row r="16722">
          <cell r="A16722" t="str">
            <v>CIV</v>
          </cell>
          <cell r="J16722">
            <v>0</v>
          </cell>
        </row>
        <row r="16723">
          <cell r="A16723" t="str">
            <v>CIV</v>
          </cell>
          <cell r="J16723">
            <v>0</v>
          </cell>
        </row>
        <row r="16724">
          <cell r="A16724" t="str">
            <v>CIV</v>
          </cell>
          <cell r="J16724">
            <v>0</v>
          </cell>
        </row>
        <row r="16725">
          <cell r="A16725" t="str">
            <v>CIV</v>
          </cell>
          <cell r="J16725">
            <v>0</v>
          </cell>
        </row>
        <row r="16726">
          <cell r="A16726" t="str">
            <v>CIV</v>
          </cell>
          <cell r="J16726">
            <v>0</v>
          </cell>
        </row>
        <row r="16727">
          <cell r="A16727" t="str">
            <v>CIV</v>
          </cell>
          <cell r="J16727">
            <v>0</v>
          </cell>
        </row>
        <row r="16728">
          <cell r="A16728" t="str">
            <v>CIV</v>
          </cell>
          <cell r="J16728">
            <v>0</v>
          </cell>
        </row>
        <row r="16729">
          <cell r="A16729" t="str">
            <v>CIV</v>
          </cell>
          <cell r="J16729">
            <v>0</v>
          </cell>
        </row>
        <row r="16730">
          <cell r="A16730" t="str">
            <v>CIV</v>
          </cell>
          <cell r="J16730">
            <v>0</v>
          </cell>
        </row>
        <row r="16731">
          <cell r="A16731" t="str">
            <v>CIV</v>
          </cell>
          <cell r="J16731">
            <v>0</v>
          </cell>
        </row>
        <row r="16732">
          <cell r="A16732" t="str">
            <v>CIV</v>
          </cell>
          <cell r="J16732">
            <v>0</v>
          </cell>
        </row>
        <row r="16733">
          <cell r="A16733" t="str">
            <v>CIV</v>
          </cell>
          <cell r="J16733">
            <v>0</v>
          </cell>
        </row>
        <row r="16734">
          <cell r="A16734" t="str">
            <v>CIV</v>
          </cell>
          <cell r="J16734">
            <v>0</v>
          </cell>
        </row>
        <row r="16735">
          <cell r="A16735" t="str">
            <v>CIV</v>
          </cell>
          <cell r="J16735">
            <v>0</v>
          </cell>
        </row>
        <row r="16736">
          <cell r="A16736" t="str">
            <v>CIV</v>
          </cell>
          <cell r="J16736">
            <v>0</v>
          </cell>
        </row>
        <row r="16737">
          <cell r="A16737" t="str">
            <v>CIV</v>
          </cell>
          <cell r="J16737">
            <v>0</v>
          </cell>
        </row>
        <row r="16738">
          <cell r="A16738" t="str">
            <v>CIV</v>
          </cell>
          <cell r="J16738">
            <v>0</v>
          </cell>
        </row>
        <row r="16739">
          <cell r="A16739" t="str">
            <v>CIV</v>
          </cell>
          <cell r="J16739">
            <v>0</v>
          </cell>
        </row>
        <row r="16740">
          <cell r="A16740" t="str">
            <v>CIV</v>
          </cell>
          <cell r="J16740">
            <v>0</v>
          </cell>
        </row>
        <row r="16741">
          <cell r="A16741" t="str">
            <v>CIV</v>
          </cell>
          <cell r="J16741">
            <v>0</v>
          </cell>
        </row>
        <row r="16742">
          <cell r="A16742" t="str">
            <v>CIV</v>
          </cell>
          <cell r="J16742">
            <v>0</v>
          </cell>
        </row>
        <row r="16743">
          <cell r="A16743" t="str">
            <v>CIV</v>
          </cell>
          <cell r="J16743">
            <v>0</v>
          </cell>
        </row>
        <row r="16744">
          <cell r="A16744" t="str">
            <v>CIV</v>
          </cell>
          <cell r="J16744">
            <v>0</v>
          </cell>
        </row>
        <row r="16745">
          <cell r="A16745" t="str">
            <v>CIV</v>
          </cell>
          <cell r="J16745">
            <v>0</v>
          </cell>
        </row>
        <row r="16746">
          <cell r="A16746" t="str">
            <v>CIV</v>
          </cell>
          <cell r="J16746">
            <v>0</v>
          </cell>
        </row>
        <row r="16747">
          <cell r="A16747" t="str">
            <v>CIV</v>
          </cell>
          <cell r="J16747">
            <v>0</v>
          </cell>
        </row>
        <row r="16748">
          <cell r="A16748" t="str">
            <v>CIV</v>
          </cell>
          <cell r="J16748">
            <v>0</v>
          </cell>
        </row>
        <row r="16749">
          <cell r="A16749" t="str">
            <v>CIV</v>
          </cell>
          <cell r="J16749">
            <v>0</v>
          </cell>
        </row>
        <row r="16750">
          <cell r="A16750" t="str">
            <v>CIV</v>
          </cell>
          <cell r="J16750">
            <v>0</v>
          </cell>
        </row>
        <row r="16751">
          <cell r="A16751" t="str">
            <v>CIV</v>
          </cell>
          <cell r="J16751">
            <v>0</v>
          </cell>
        </row>
        <row r="16752">
          <cell r="A16752" t="str">
            <v>CIV</v>
          </cell>
          <cell r="J16752">
            <v>0</v>
          </cell>
        </row>
        <row r="16753">
          <cell r="A16753" t="str">
            <v>CIV</v>
          </cell>
          <cell r="J16753">
            <v>0</v>
          </cell>
        </row>
        <row r="16754">
          <cell r="A16754" t="str">
            <v>CIV</v>
          </cell>
          <cell r="J16754">
            <v>0</v>
          </cell>
        </row>
        <row r="16755">
          <cell r="A16755" t="str">
            <v>CIV</v>
          </cell>
          <cell r="J16755">
            <v>0</v>
          </cell>
        </row>
        <row r="16756">
          <cell r="A16756" t="str">
            <v>CIV</v>
          </cell>
          <cell r="J16756">
            <v>0</v>
          </cell>
        </row>
        <row r="16757">
          <cell r="A16757" t="str">
            <v>CIV</v>
          </cell>
          <cell r="J16757">
            <v>0</v>
          </cell>
        </row>
        <row r="16758">
          <cell r="A16758" t="str">
            <v>CIV</v>
          </cell>
          <cell r="J16758">
            <v>0</v>
          </cell>
        </row>
        <row r="16759">
          <cell r="A16759" t="str">
            <v>CIV</v>
          </cell>
          <cell r="J16759">
            <v>0</v>
          </cell>
        </row>
        <row r="16760">
          <cell r="A16760" t="str">
            <v>CIV</v>
          </cell>
          <cell r="J16760">
            <v>0</v>
          </cell>
        </row>
        <row r="16761">
          <cell r="A16761" t="str">
            <v>CIV</v>
          </cell>
          <cell r="J16761">
            <v>0</v>
          </cell>
        </row>
        <row r="16762">
          <cell r="A16762" t="str">
            <v>CIV</v>
          </cell>
          <cell r="J16762">
            <v>0</v>
          </cell>
        </row>
        <row r="16763">
          <cell r="A16763" t="str">
            <v>CIV</v>
          </cell>
          <cell r="J16763">
            <v>0</v>
          </cell>
        </row>
        <row r="16764">
          <cell r="A16764" t="str">
            <v>CIV</v>
          </cell>
          <cell r="J16764">
            <v>0</v>
          </cell>
        </row>
        <row r="16765">
          <cell r="A16765" t="str">
            <v>CIV</v>
          </cell>
          <cell r="J16765">
            <v>0</v>
          </cell>
        </row>
        <row r="16766">
          <cell r="A16766" t="str">
            <v>CIV</v>
          </cell>
          <cell r="J16766">
            <v>0</v>
          </cell>
        </row>
        <row r="16767">
          <cell r="A16767" t="str">
            <v>CIV</v>
          </cell>
          <cell r="J16767">
            <v>0</v>
          </cell>
        </row>
        <row r="16768">
          <cell r="A16768" t="str">
            <v>CIV</v>
          </cell>
          <cell r="J16768">
            <v>0</v>
          </cell>
        </row>
        <row r="16769">
          <cell r="A16769" t="str">
            <v>CIV</v>
          </cell>
          <cell r="J16769">
            <v>0</v>
          </cell>
        </row>
        <row r="16770">
          <cell r="A16770" t="str">
            <v>CIV</v>
          </cell>
          <cell r="J16770">
            <v>0</v>
          </cell>
        </row>
        <row r="16771">
          <cell r="A16771" t="str">
            <v>CIV</v>
          </cell>
          <cell r="J16771">
            <v>0</v>
          </cell>
        </row>
        <row r="16772">
          <cell r="A16772" t="str">
            <v>CIV</v>
          </cell>
          <cell r="J16772">
            <v>0</v>
          </cell>
        </row>
        <row r="16773">
          <cell r="A16773" t="str">
            <v>CIV</v>
          </cell>
          <cell r="J16773">
            <v>0</v>
          </cell>
        </row>
        <row r="16774">
          <cell r="A16774" t="str">
            <v>CIV</v>
          </cell>
          <cell r="J16774">
            <v>0</v>
          </cell>
        </row>
        <row r="16775">
          <cell r="A16775" t="str">
            <v>CIV</v>
          </cell>
          <cell r="J16775">
            <v>0</v>
          </cell>
        </row>
        <row r="16776">
          <cell r="A16776" t="str">
            <v>CIV</v>
          </cell>
          <cell r="J16776">
            <v>0</v>
          </cell>
        </row>
        <row r="16777">
          <cell r="A16777" t="str">
            <v>CIV</v>
          </cell>
          <cell r="J16777">
            <v>0</v>
          </cell>
        </row>
        <row r="16778">
          <cell r="J16778">
            <v>0</v>
          </cell>
        </row>
        <row r="16779">
          <cell r="J16779">
            <v>0</v>
          </cell>
        </row>
        <row r="16780">
          <cell r="A16780" t="str">
            <v>GPO SERVYRE</v>
          </cell>
          <cell r="B16780" t="str">
            <v>101-00000-000-0000</v>
          </cell>
          <cell r="J16780">
            <v>5454610.0599999996</v>
          </cell>
        </row>
        <row r="16781">
          <cell r="A16781" t="str">
            <v>GPO SERVYRE</v>
          </cell>
          <cell r="B16781" t="str">
            <v>101-00002-000-0000</v>
          </cell>
          <cell r="J16781">
            <v>158585.04</v>
          </cell>
        </row>
        <row r="16782">
          <cell r="A16782" t="str">
            <v>GPO SERVYRE</v>
          </cell>
          <cell r="B16782" t="str">
            <v>101-00002-002-0000</v>
          </cell>
          <cell r="J16782">
            <v>12932.29</v>
          </cell>
        </row>
        <row r="16783">
          <cell r="A16783" t="str">
            <v>GPO SERVYRE</v>
          </cell>
          <cell r="B16783" t="str">
            <v>101-00002-002-0010</v>
          </cell>
          <cell r="J16783">
            <v>12932.29</v>
          </cell>
        </row>
        <row r="16784">
          <cell r="A16784" t="str">
            <v>GPO SERVYRE</v>
          </cell>
          <cell r="B16784" t="str">
            <v>101-00002-003-0000</v>
          </cell>
          <cell r="J16784">
            <v>145652.75</v>
          </cell>
        </row>
        <row r="16785">
          <cell r="A16785" t="str">
            <v>GPO SERVYRE</v>
          </cell>
          <cell r="B16785" t="str">
            <v>101-00002-003-0004</v>
          </cell>
          <cell r="J16785">
            <v>95133.93</v>
          </cell>
        </row>
        <row r="16786">
          <cell r="A16786" t="str">
            <v>GPO SERVYRE</v>
          </cell>
          <cell r="B16786" t="str">
            <v>101-00002-003-0052</v>
          </cell>
          <cell r="J16786">
            <v>50518.82</v>
          </cell>
        </row>
        <row r="16787">
          <cell r="A16787" t="str">
            <v>GPO SERVYRE</v>
          </cell>
          <cell r="B16787" t="str">
            <v>101-00004-000-0000</v>
          </cell>
          <cell r="J16787">
            <v>4413047.1399999997</v>
          </cell>
        </row>
        <row r="16788">
          <cell r="A16788" t="str">
            <v>GPO SERVYRE</v>
          </cell>
          <cell r="B16788" t="str">
            <v>101-00004-002-0000</v>
          </cell>
          <cell r="J16788">
            <v>735847.13</v>
          </cell>
        </row>
        <row r="16789">
          <cell r="A16789" t="str">
            <v>GPO SERVYRE</v>
          </cell>
          <cell r="B16789" t="str">
            <v>101-00004-002-2278</v>
          </cell>
          <cell r="J16789">
            <v>735847.13</v>
          </cell>
        </row>
        <row r="16790">
          <cell r="A16790" t="str">
            <v>GPO SERVYRE</v>
          </cell>
          <cell r="B16790" t="str">
            <v>101-00004-004-0000</v>
          </cell>
          <cell r="J16790">
            <v>3677200.01</v>
          </cell>
        </row>
        <row r="16791">
          <cell r="A16791" t="str">
            <v>GPO SERVYRE</v>
          </cell>
          <cell r="B16791" t="str">
            <v>101-00004-004-0468</v>
          </cell>
          <cell r="J16791">
            <v>0.01</v>
          </cell>
        </row>
        <row r="16792">
          <cell r="A16792" t="str">
            <v>GPO SERVYRE</v>
          </cell>
          <cell r="B16792" t="str">
            <v>101-00004-004-0942</v>
          </cell>
          <cell r="J16792">
            <v>1334000</v>
          </cell>
        </row>
        <row r="16793">
          <cell r="A16793" t="str">
            <v>GPO SERVYRE</v>
          </cell>
          <cell r="B16793" t="str">
            <v>101-00004-004-1216</v>
          </cell>
          <cell r="J16793">
            <v>2343200</v>
          </cell>
        </row>
        <row r="16794">
          <cell r="A16794" t="str">
            <v>GPO SERVYRE</v>
          </cell>
          <cell r="B16794" t="str">
            <v>101-00005-000-0000</v>
          </cell>
          <cell r="J16794">
            <v>10000</v>
          </cell>
        </row>
        <row r="16795">
          <cell r="A16795" t="str">
            <v>GPO SERVYRE</v>
          </cell>
          <cell r="B16795" t="str">
            <v>101-00005-002-0000</v>
          </cell>
          <cell r="J16795">
            <v>10000</v>
          </cell>
        </row>
        <row r="16796">
          <cell r="A16796" t="str">
            <v>GPO SERVYRE</v>
          </cell>
          <cell r="B16796" t="str">
            <v>101-00005-002-3302</v>
          </cell>
          <cell r="J16796">
            <v>10000</v>
          </cell>
        </row>
        <row r="16797">
          <cell r="A16797" t="str">
            <v>GPO SERVYRE</v>
          </cell>
          <cell r="B16797" t="str">
            <v>101-00008-000-0000</v>
          </cell>
          <cell r="J16797">
            <v>23231.97</v>
          </cell>
        </row>
        <row r="16798">
          <cell r="A16798" t="str">
            <v>GPO SERVYRE</v>
          </cell>
          <cell r="B16798" t="str">
            <v>101-00008-001-0000</v>
          </cell>
          <cell r="J16798">
            <v>3429.97</v>
          </cell>
        </row>
        <row r="16799">
          <cell r="A16799" t="str">
            <v>GPO SERVYRE</v>
          </cell>
          <cell r="B16799" t="str">
            <v>101-00008-002-0000</v>
          </cell>
          <cell r="J16799">
            <v>2480</v>
          </cell>
        </row>
        <row r="16800">
          <cell r="A16800" t="str">
            <v>GPO SERVYRE</v>
          </cell>
          <cell r="B16800" t="str">
            <v>101-00008-012-0000</v>
          </cell>
          <cell r="J16800">
            <v>17322</v>
          </cell>
        </row>
        <row r="16801">
          <cell r="A16801" t="str">
            <v>GPO SERVYRE</v>
          </cell>
          <cell r="B16801" t="str">
            <v>101-00008-012-0005</v>
          </cell>
          <cell r="J16801">
            <v>16991</v>
          </cell>
        </row>
        <row r="16802">
          <cell r="A16802" t="str">
            <v>GPO SERVYRE</v>
          </cell>
          <cell r="B16802" t="str">
            <v>101-00008-012-0006</v>
          </cell>
          <cell r="J16802">
            <v>28</v>
          </cell>
        </row>
        <row r="16803">
          <cell r="A16803" t="str">
            <v>GPO SERVYRE</v>
          </cell>
          <cell r="B16803" t="str">
            <v>101-00008-012-0007</v>
          </cell>
          <cell r="J16803">
            <v>6</v>
          </cell>
        </row>
        <row r="16804">
          <cell r="A16804" t="str">
            <v>GPO SERVYRE</v>
          </cell>
          <cell r="B16804" t="str">
            <v>101-00008-012-0008</v>
          </cell>
          <cell r="J16804">
            <v>297</v>
          </cell>
        </row>
        <row r="16805">
          <cell r="A16805" t="str">
            <v>GPO SERVYRE</v>
          </cell>
          <cell r="B16805" t="str">
            <v>101-00010-000-0000</v>
          </cell>
          <cell r="J16805">
            <v>48039.48</v>
          </cell>
        </row>
        <row r="16806">
          <cell r="A16806" t="str">
            <v>GPO SERVYRE</v>
          </cell>
          <cell r="B16806" t="str">
            <v>101-00010-001-0000</v>
          </cell>
          <cell r="J16806">
            <v>48039.48</v>
          </cell>
        </row>
        <row r="16807">
          <cell r="A16807" t="str">
            <v>GPO SERVYRE</v>
          </cell>
          <cell r="B16807" t="str">
            <v>101-00011-000-0000</v>
          </cell>
          <cell r="J16807">
            <v>296206.43</v>
          </cell>
        </row>
        <row r="16808">
          <cell r="A16808" t="str">
            <v>GPO SERVYRE</v>
          </cell>
          <cell r="B16808" t="str">
            <v>101-00011-001-0000</v>
          </cell>
          <cell r="J16808">
            <v>296206.43</v>
          </cell>
        </row>
        <row r="16809">
          <cell r="A16809" t="str">
            <v>GPO SERVYRE</v>
          </cell>
          <cell r="B16809" t="str">
            <v>101-00015-000-0000</v>
          </cell>
          <cell r="J16809">
            <v>505500</v>
          </cell>
        </row>
        <row r="16810">
          <cell r="A16810" t="str">
            <v>GPO SERVYRE</v>
          </cell>
          <cell r="B16810" t="str">
            <v>101-00015-001-0000</v>
          </cell>
          <cell r="J16810">
            <v>505500</v>
          </cell>
        </row>
        <row r="16811">
          <cell r="A16811" t="str">
            <v>GPO SERVYRE</v>
          </cell>
          <cell r="B16811" t="str">
            <v>101-00015-001-1636</v>
          </cell>
          <cell r="J16811">
            <v>305500</v>
          </cell>
        </row>
        <row r="16812">
          <cell r="A16812" t="str">
            <v>GPO SERVYRE</v>
          </cell>
          <cell r="B16812" t="str">
            <v>101-00015-001-2300</v>
          </cell>
          <cell r="J16812">
            <v>10000</v>
          </cell>
        </row>
        <row r="16813">
          <cell r="A16813" t="str">
            <v>GPO SERVYRE</v>
          </cell>
          <cell r="B16813" t="str">
            <v>101-00015-001-2305</v>
          </cell>
          <cell r="J16813">
            <v>10000</v>
          </cell>
        </row>
        <row r="16814">
          <cell r="A16814" t="str">
            <v>GPO SERVYRE</v>
          </cell>
          <cell r="B16814" t="str">
            <v>101-00015-001-3141</v>
          </cell>
          <cell r="J16814">
            <v>180000</v>
          </cell>
        </row>
        <row r="16815">
          <cell r="A16815" t="str">
            <v>GPO SERVYRE</v>
          </cell>
          <cell r="B16815" t="str">
            <v>102-00000-000-0000</v>
          </cell>
          <cell r="J16815">
            <v>130361.39</v>
          </cell>
        </row>
        <row r="16816">
          <cell r="A16816" t="str">
            <v>GPO SERVYRE</v>
          </cell>
          <cell r="B16816" t="str">
            <v>102-00001-001-0000</v>
          </cell>
          <cell r="J16816">
            <v>727469.77</v>
          </cell>
        </row>
        <row r="16817">
          <cell r="A16817" t="str">
            <v>GPO SERVYRE</v>
          </cell>
          <cell r="B16817" t="str">
            <v>102-00001-002-0000</v>
          </cell>
          <cell r="J16817">
            <v>-727469.77</v>
          </cell>
        </row>
        <row r="16818">
          <cell r="A16818" t="str">
            <v>GPO SERVYRE</v>
          </cell>
          <cell r="B16818" t="str">
            <v>102-00002-001-0000</v>
          </cell>
          <cell r="J16818">
            <v>1380494.35</v>
          </cell>
        </row>
        <row r="16819">
          <cell r="A16819" t="str">
            <v>GPO SERVYRE</v>
          </cell>
          <cell r="B16819" t="str">
            <v>102-00002-002-0000</v>
          </cell>
          <cell r="J16819">
            <v>-1380494.35</v>
          </cell>
        </row>
        <row r="16820">
          <cell r="A16820" t="str">
            <v>GPO SERVYRE</v>
          </cell>
          <cell r="B16820" t="str">
            <v>102-00003-000-0000</v>
          </cell>
          <cell r="J16820">
            <v>129029.84</v>
          </cell>
        </row>
        <row r="16821">
          <cell r="A16821" t="str">
            <v>GPO SERVYRE</v>
          </cell>
          <cell r="B16821" t="str">
            <v>102-00003-001-0000</v>
          </cell>
          <cell r="J16821">
            <v>2377331</v>
          </cell>
        </row>
        <row r="16822">
          <cell r="A16822" t="str">
            <v>GPO SERVYRE</v>
          </cell>
          <cell r="B16822" t="str">
            <v>102-00003-002-0000</v>
          </cell>
          <cell r="J16822">
            <v>-2248301.16</v>
          </cell>
        </row>
        <row r="16823">
          <cell r="A16823" t="str">
            <v>GPO SERVYRE</v>
          </cell>
          <cell r="B16823" t="str">
            <v>102-00004-001-0000</v>
          </cell>
          <cell r="J16823">
            <v>60610.52</v>
          </cell>
        </row>
        <row r="16824">
          <cell r="A16824" t="str">
            <v>GPO SERVYRE</v>
          </cell>
          <cell r="B16824" t="str">
            <v>102-00004-002-0000</v>
          </cell>
          <cell r="J16824">
            <v>-60610.52</v>
          </cell>
        </row>
        <row r="16825">
          <cell r="A16825" t="str">
            <v>GPO SERVYRE</v>
          </cell>
          <cell r="B16825" t="str">
            <v>102-00005-001-0000</v>
          </cell>
          <cell r="J16825">
            <v>820630</v>
          </cell>
        </row>
        <row r="16826">
          <cell r="A16826" t="str">
            <v>GPO SERVYRE</v>
          </cell>
          <cell r="B16826" t="str">
            <v>102-00005-002-0000</v>
          </cell>
          <cell r="J16826">
            <v>-820630</v>
          </cell>
        </row>
        <row r="16827">
          <cell r="A16827" t="str">
            <v>GPO SERVYRE</v>
          </cell>
          <cell r="B16827" t="str">
            <v>102-00015-000-0000</v>
          </cell>
          <cell r="J16827">
            <v>1331.55</v>
          </cell>
        </row>
        <row r="16828">
          <cell r="A16828" t="str">
            <v>GPO SERVYRE</v>
          </cell>
          <cell r="B16828" t="str">
            <v>102-00015-001-0000</v>
          </cell>
          <cell r="J16828">
            <v>1331.55</v>
          </cell>
        </row>
        <row r="16829">
          <cell r="A16829" t="str">
            <v>GPO SERVYRE</v>
          </cell>
          <cell r="B16829" t="str">
            <v>102-00015-001-2563</v>
          </cell>
          <cell r="J16829">
            <v>1331.55</v>
          </cell>
        </row>
        <row r="16830">
          <cell r="A16830" t="str">
            <v>GPO SERVYRE</v>
          </cell>
          <cell r="B16830" t="str">
            <v>103-00001-001-0000</v>
          </cell>
          <cell r="J16830">
            <v>1250160</v>
          </cell>
        </row>
        <row r="16831">
          <cell r="A16831" t="str">
            <v>GPO SERVYRE</v>
          </cell>
          <cell r="B16831" t="str">
            <v>103-00001-002-0000</v>
          </cell>
          <cell r="J16831">
            <v>-1250160</v>
          </cell>
        </row>
        <row r="16832">
          <cell r="A16832" t="str">
            <v>GPO SERVYRE</v>
          </cell>
          <cell r="B16832" t="str">
            <v>201-00000-000-0000</v>
          </cell>
          <cell r="J16832">
            <v>-2706260.43</v>
          </cell>
        </row>
        <row r="16833">
          <cell r="A16833" t="str">
            <v>GPO SERVYRE</v>
          </cell>
          <cell r="B16833" t="str">
            <v>201-00002-000-0000</v>
          </cell>
          <cell r="J16833">
            <v>-800155.21</v>
          </cell>
        </row>
        <row r="16834">
          <cell r="A16834" t="str">
            <v>GPO SERVYRE</v>
          </cell>
          <cell r="B16834" t="str">
            <v>201-00002-002-0000</v>
          </cell>
          <cell r="J16834">
            <v>-797004.73</v>
          </cell>
        </row>
        <row r="16835">
          <cell r="A16835" t="str">
            <v>GPO SERVYRE</v>
          </cell>
          <cell r="B16835" t="str">
            <v>201-00002-002-0306</v>
          </cell>
          <cell r="J16835">
            <v>-8.7799999999999994</v>
          </cell>
        </row>
        <row r="16836">
          <cell r="A16836" t="str">
            <v>GPO SERVYRE</v>
          </cell>
          <cell r="B16836" t="str">
            <v>201-00002-002-0315</v>
          </cell>
          <cell r="J16836">
            <v>-718150.62</v>
          </cell>
        </row>
        <row r="16837">
          <cell r="A16837" t="str">
            <v>GPO SERVYRE</v>
          </cell>
          <cell r="B16837" t="str">
            <v>201-00002-002-1138</v>
          </cell>
          <cell r="J16837">
            <v>0</v>
          </cell>
        </row>
        <row r="16838">
          <cell r="A16838" t="str">
            <v>GPO SERVYRE</v>
          </cell>
          <cell r="B16838" t="str">
            <v>201-00002-002-2278</v>
          </cell>
          <cell r="J16838">
            <v>-78845.33</v>
          </cell>
        </row>
        <row r="16839">
          <cell r="A16839" t="str">
            <v>GPO SERVYRE</v>
          </cell>
          <cell r="B16839" t="str">
            <v>201-00002-002-2895</v>
          </cell>
          <cell r="J16839">
            <v>0</v>
          </cell>
        </row>
        <row r="16840">
          <cell r="A16840" t="str">
            <v>GPO SERVYRE</v>
          </cell>
          <cell r="B16840" t="str">
            <v>201-00002-002-3122</v>
          </cell>
          <cell r="J16840">
            <v>0</v>
          </cell>
        </row>
        <row r="16841">
          <cell r="A16841" t="str">
            <v>GPO SERVYRE</v>
          </cell>
          <cell r="B16841" t="str">
            <v>201-00002-003-0000</v>
          </cell>
          <cell r="J16841">
            <v>-3150.48</v>
          </cell>
        </row>
        <row r="16842">
          <cell r="A16842" t="str">
            <v>GPO SERVYRE</v>
          </cell>
          <cell r="B16842" t="str">
            <v>201-00002-003-2563</v>
          </cell>
          <cell r="J16842">
            <v>-3150.48</v>
          </cell>
        </row>
        <row r="16843">
          <cell r="A16843" t="str">
            <v>GPO SERVYRE</v>
          </cell>
          <cell r="B16843" t="str">
            <v>201-00004-000-0000</v>
          </cell>
          <cell r="J16843">
            <v>-261000</v>
          </cell>
        </row>
        <row r="16844">
          <cell r="A16844" t="str">
            <v>GPO SERVYRE</v>
          </cell>
          <cell r="B16844" t="str">
            <v>201-00004-001-0000</v>
          </cell>
          <cell r="J16844">
            <v>-261000</v>
          </cell>
        </row>
        <row r="16845">
          <cell r="A16845" t="str">
            <v>GPO SERVYRE</v>
          </cell>
          <cell r="B16845" t="str">
            <v>201-00004-001-0813</v>
          </cell>
          <cell r="J16845">
            <v>-261000</v>
          </cell>
        </row>
        <row r="16846">
          <cell r="A16846" t="str">
            <v>GPO SERVYRE</v>
          </cell>
          <cell r="B16846" t="str">
            <v>201-00005-000-0000</v>
          </cell>
          <cell r="J16846">
            <v>-0.15</v>
          </cell>
        </row>
        <row r="16847">
          <cell r="A16847" t="str">
            <v>GPO SERVYRE</v>
          </cell>
          <cell r="B16847" t="str">
            <v>201-00005-003-0000</v>
          </cell>
          <cell r="J16847">
            <v>-0.15</v>
          </cell>
        </row>
        <row r="16848">
          <cell r="A16848" t="str">
            <v>GPO SERVYRE</v>
          </cell>
          <cell r="B16848" t="str">
            <v>201-00006-000-0000</v>
          </cell>
          <cell r="J16848">
            <v>102.82</v>
          </cell>
        </row>
        <row r="16849">
          <cell r="A16849" t="str">
            <v>GPO SERVYRE</v>
          </cell>
          <cell r="B16849" t="str">
            <v>201-00006-001-0000</v>
          </cell>
          <cell r="J16849">
            <v>0.02</v>
          </cell>
        </row>
        <row r="16850">
          <cell r="A16850" t="str">
            <v>GPO SERVYRE</v>
          </cell>
          <cell r="B16850" t="str">
            <v>201-00006-001-0002</v>
          </cell>
          <cell r="J16850">
            <v>0.02</v>
          </cell>
        </row>
        <row r="16851">
          <cell r="A16851" t="str">
            <v>GPO SERVYRE</v>
          </cell>
          <cell r="B16851" t="str">
            <v>201-00006-003-0000</v>
          </cell>
          <cell r="J16851">
            <v>102.8</v>
          </cell>
        </row>
        <row r="16852">
          <cell r="A16852" t="str">
            <v>GPO SERVYRE</v>
          </cell>
          <cell r="B16852" t="str">
            <v>201-00008-000-0000</v>
          </cell>
          <cell r="J16852">
            <v>-829613.91</v>
          </cell>
        </row>
        <row r="16853">
          <cell r="A16853" t="str">
            <v>GPO SERVYRE</v>
          </cell>
          <cell r="B16853" t="str">
            <v>201-00009-000-0000</v>
          </cell>
          <cell r="J16853">
            <v>-608697.42000000004</v>
          </cell>
        </row>
        <row r="16854">
          <cell r="A16854" t="str">
            <v>GPO SERVYRE</v>
          </cell>
          <cell r="B16854" t="str">
            <v>201-00009-001-0000</v>
          </cell>
          <cell r="J16854">
            <v>-608697.42000000004</v>
          </cell>
        </row>
        <row r="16855">
          <cell r="A16855" t="str">
            <v>GPO SERVYRE</v>
          </cell>
          <cell r="B16855" t="str">
            <v>201-00010-000-0000</v>
          </cell>
          <cell r="J16855">
            <v>-206896.56</v>
          </cell>
        </row>
        <row r="16856">
          <cell r="A16856" t="str">
            <v>GPO SERVYRE</v>
          </cell>
          <cell r="B16856" t="str">
            <v>201-00010-001-0000</v>
          </cell>
          <cell r="J16856">
            <v>-206896.56</v>
          </cell>
        </row>
        <row r="16857">
          <cell r="A16857" t="str">
            <v>GPO SERVYRE</v>
          </cell>
          <cell r="B16857" t="str">
            <v>202-00000-000-0000</v>
          </cell>
          <cell r="J16857">
            <v>-2025000</v>
          </cell>
        </row>
        <row r="16858">
          <cell r="A16858" t="str">
            <v>GPO SERVYRE</v>
          </cell>
          <cell r="B16858" t="str">
            <v>202-00001-000-0000</v>
          </cell>
          <cell r="J16858">
            <v>-2025000</v>
          </cell>
        </row>
        <row r="16859">
          <cell r="A16859" t="str">
            <v>GPO SERVYRE</v>
          </cell>
          <cell r="B16859" t="str">
            <v>202-00001-009-0000</v>
          </cell>
          <cell r="J16859">
            <v>-2025000</v>
          </cell>
        </row>
        <row r="16860">
          <cell r="A16860" t="str">
            <v>GPO SERVYRE</v>
          </cell>
          <cell r="B16860" t="str">
            <v>202-00001-009-0467</v>
          </cell>
          <cell r="J16860">
            <v>-300000</v>
          </cell>
        </row>
        <row r="16861">
          <cell r="A16861" t="str">
            <v>GPO SERVYRE</v>
          </cell>
          <cell r="B16861" t="str">
            <v>202-00001-009-0468</v>
          </cell>
          <cell r="J16861">
            <v>-1225000</v>
          </cell>
        </row>
        <row r="16862">
          <cell r="A16862" t="str">
            <v>GPO SERVYRE</v>
          </cell>
          <cell r="B16862" t="str">
            <v>202-00001-009-0813</v>
          </cell>
          <cell r="J16862">
            <v>-200000</v>
          </cell>
        </row>
        <row r="16863">
          <cell r="A16863" t="str">
            <v>GPO SERVYRE</v>
          </cell>
          <cell r="B16863" t="str">
            <v>202-00001-009-1216</v>
          </cell>
          <cell r="J16863">
            <v>-200000</v>
          </cell>
        </row>
        <row r="16864">
          <cell r="A16864" t="str">
            <v>GPO SERVYRE</v>
          </cell>
          <cell r="B16864" t="str">
            <v>202-00001-009-1600</v>
          </cell>
          <cell r="J16864">
            <v>-100000</v>
          </cell>
        </row>
        <row r="16865">
          <cell r="A16865" t="str">
            <v>GPO SERVYRE</v>
          </cell>
          <cell r="B16865" t="str">
            <v>301-00000-000-0000</v>
          </cell>
          <cell r="J16865">
            <v>-1406570.58</v>
          </cell>
        </row>
        <row r="16866">
          <cell r="A16866" t="str">
            <v>GPO SERVYRE</v>
          </cell>
          <cell r="B16866" t="str">
            <v>301-00001-000-0000</v>
          </cell>
          <cell r="J16866">
            <v>-4445000.4000000004</v>
          </cell>
        </row>
        <row r="16867">
          <cell r="A16867" t="str">
            <v>GPO SERVYRE</v>
          </cell>
          <cell r="B16867" t="str">
            <v>301-00001-001-0000</v>
          </cell>
          <cell r="J16867">
            <v>-100000</v>
          </cell>
        </row>
        <row r="16868">
          <cell r="A16868" t="str">
            <v>GPO SERVYRE</v>
          </cell>
          <cell r="B16868" t="str">
            <v>301-00001-002-0000</v>
          </cell>
          <cell r="J16868">
            <v>-4345000.4000000004</v>
          </cell>
        </row>
        <row r="16869">
          <cell r="A16869" t="str">
            <v>GPO SERVYRE</v>
          </cell>
          <cell r="B16869" t="str">
            <v>301-00004-000-0000</v>
          </cell>
          <cell r="J16869">
            <v>3038429.82</v>
          </cell>
        </row>
        <row r="16870">
          <cell r="A16870" t="str">
            <v>GPO SERVYRE</v>
          </cell>
          <cell r="B16870" t="str">
            <v>301-00004-001-0000</v>
          </cell>
          <cell r="J16870">
            <v>-986767.87</v>
          </cell>
        </row>
        <row r="16871">
          <cell r="A16871" t="str">
            <v>GPO SERVYRE</v>
          </cell>
          <cell r="B16871" t="str">
            <v>301-00004-003-0000</v>
          </cell>
          <cell r="J16871">
            <v>-426065.89</v>
          </cell>
        </row>
        <row r="16872">
          <cell r="A16872" t="str">
            <v>GPO SERVYRE</v>
          </cell>
          <cell r="B16872" t="str">
            <v>301-00004-004-0000</v>
          </cell>
          <cell r="J16872">
            <v>1540845.92</v>
          </cell>
        </row>
        <row r="16873">
          <cell r="A16873" t="str">
            <v>GPO SERVYRE</v>
          </cell>
          <cell r="B16873" t="str">
            <v>301-00004-005-0000</v>
          </cell>
          <cell r="J16873">
            <v>-130207.88</v>
          </cell>
        </row>
        <row r="16874">
          <cell r="A16874" t="str">
            <v>GPO SERVYRE</v>
          </cell>
          <cell r="B16874" t="str">
            <v>301-00004-006-0000</v>
          </cell>
          <cell r="J16874">
            <v>-591779.93000000005</v>
          </cell>
        </row>
        <row r="16875">
          <cell r="A16875" t="str">
            <v>GPO SERVYRE</v>
          </cell>
          <cell r="B16875" t="str">
            <v>301-00004-007-0000</v>
          </cell>
          <cell r="J16875">
            <v>-1255903.19</v>
          </cell>
        </row>
        <row r="16876">
          <cell r="A16876" t="str">
            <v>GPO SERVYRE</v>
          </cell>
          <cell r="B16876" t="str">
            <v>301-00004-008-0000</v>
          </cell>
          <cell r="J16876">
            <v>-1868275.77</v>
          </cell>
        </row>
        <row r="16877">
          <cell r="A16877" t="str">
            <v>GPO SERVYRE</v>
          </cell>
          <cell r="B16877" t="str">
            <v>301-00004-009-0000</v>
          </cell>
          <cell r="J16877">
            <v>-804812.65</v>
          </cell>
        </row>
        <row r="16878">
          <cell r="A16878" t="str">
            <v>GPO SERVYRE</v>
          </cell>
          <cell r="B16878" t="str">
            <v>301-00004-010-0000</v>
          </cell>
          <cell r="J16878">
            <v>-825980.38</v>
          </cell>
        </row>
        <row r="16879">
          <cell r="A16879" t="str">
            <v>GPO SERVYRE</v>
          </cell>
          <cell r="B16879" t="str">
            <v>301-00004-011-0000</v>
          </cell>
          <cell r="J16879">
            <v>-416759.71</v>
          </cell>
        </row>
        <row r="16880">
          <cell r="A16880" t="str">
            <v>GPO SERVYRE</v>
          </cell>
          <cell r="B16880" t="str">
            <v>301-00004-012-0000</v>
          </cell>
          <cell r="J16880">
            <v>-111949.17</v>
          </cell>
        </row>
        <row r="16881">
          <cell r="A16881" t="str">
            <v>GPO SERVYRE</v>
          </cell>
          <cell r="B16881" t="str">
            <v>301-00004-013-0000</v>
          </cell>
          <cell r="J16881">
            <v>-175687.46</v>
          </cell>
        </row>
        <row r="16882">
          <cell r="A16882" t="str">
            <v>GPO SERVYRE</v>
          </cell>
          <cell r="B16882" t="str">
            <v>301-00004-014-0000</v>
          </cell>
          <cell r="J16882">
            <v>-155550.18</v>
          </cell>
        </row>
        <row r="16883">
          <cell r="A16883" t="str">
            <v>GPO SERVYRE</v>
          </cell>
          <cell r="B16883" t="str">
            <v>301-00004-015-0000</v>
          </cell>
          <cell r="J16883">
            <v>11308458.779999999</v>
          </cell>
        </row>
        <row r="16884">
          <cell r="A16884" t="str">
            <v>GPO SERVYRE</v>
          </cell>
          <cell r="B16884" t="str">
            <v>301-00004-016-0000</v>
          </cell>
          <cell r="J16884">
            <v>5190610.96</v>
          </cell>
        </row>
        <row r="16885">
          <cell r="A16885" t="str">
            <v>GPO SERVYRE</v>
          </cell>
          <cell r="B16885" t="str">
            <v>301-00004-017-0000</v>
          </cell>
          <cell r="J16885">
            <v>-7251745.7599999998</v>
          </cell>
        </row>
        <row r="16886">
          <cell r="A16886" t="str">
            <v>GPO SERVYRE</v>
          </cell>
          <cell r="B16886" t="str">
            <v>410-00000-000-0000</v>
          </cell>
          <cell r="J16886">
            <v>-17241.38</v>
          </cell>
        </row>
        <row r="16887">
          <cell r="A16887" t="str">
            <v>GPO SERVYRE</v>
          </cell>
          <cell r="B16887" t="str">
            <v>410-23798-000-0000</v>
          </cell>
          <cell r="J16887">
            <v>-8620.69</v>
          </cell>
        </row>
        <row r="16888">
          <cell r="A16888" t="str">
            <v>GPO SERVYRE</v>
          </cell>
          <cell r="B16888" t="str">
            <v>410-23798-004-0000</v>
          </cell>
          <cell r="J16888">
            <v>-8620.69</v>
          </cell>
        </row>
        <row r="16889">
          <cell r="A16889" t="str">
            <v>GPO SERVYRE</v>
          </cell>
          <cell r="B16889" t="str">
            <v>410-23798-004-3302</v>
          </cell>
          <cell r="J16889">
            <v>-8620.69</v>
          </cell>
        </row>
        <row r="16890">
          <cell r="A16890" t="str">
            <v>GPO SERVYRE</v>
          </cell>
          <cell r="B16890" t="str">
            <v>410-26777-000-0000</v>
          </cell>
          <cell r="J16890">
            <v>-8620.69</v>
          </cell>
        </row>
        <row r="16891">
          <cell r="A16891" t="str">
            <v>GPO SERVYRE</v>
          </cell>
          <cell r="B16891" t="str">
            <v>410-26777-004-0000</v>
          </cell>
          <cell r="J16891">
            <v>-8620.69</v>
          </cell>
        </row>
        <row r="16892">
          <cell r="A16892" t="str">
            <v>GPO SERVYRE</v>
          </cell>
          <cell r="B16892" t="str">
            <v>410-26777-004-3302</v>
          </cell>
          <cell r="J16892">
            <v>-8620.69</v>
          </cell>
        </row>
        <row r="16893">
          <cell r="A16893" t="str">
            <v>GPO SERVYRE</v>
          </cell>
          <cell r="B16893" t="str">
            <v>411-00000-000-0000</v>
          </cell>
          <cell r="J16893">
            <v>-1318965.52</v>
          </cell>
        </row>
        <row r="16894">
          <cell r="A16894" t="str">
            <v>GPO SERVYRE</v>
          </cell>
          <cell r="B16894" t="str">
            <v>411-26777-000-0000</v>
          </cell>
          <cell r="J16894">
            <v>-1318965.52</v>
          </cell>
        </row>
        <row r="16895">
          <cell r="A16895" t="str">
            <v>GPO SERVYRE</v>
          </cell>
          <cell r="B16895" t="str">
            <v>411-26777-004-0000</v>
          </cell>
          <cell r="J16895">
            <v>-1318965.52</v>
          </cell>
        </row>
        <row r="16896">
          <cell r="A16896" t="str">
            <v>GPO SERVYRE</v>
          </cell>
          <cell r="B16896" t="str">
            <v>411-26777-004-0468</v>
          </cell>
          <cell r="J16896">
            <v>-1318965.52</v>
          </cell>
        </row>
        <row r="16897">
          <cell r="A16897" t="str">
            <v>GPO SERVYRE</v>
          </cell>
          <cell r="B16897" t="str">
            <v>430-00000-000-0000</v>
          </cell>
          <cell r="J16897">
            <v>-896.56</v>
          </cell>
        </row>
        <row r="16898">
          <cell r="A16898" t="str">
            <v>GPO SERVYRE</v>
          </cell>
          <cell r="B16898" t="str">
            <v>430-00001-000-0000</v>
          </cell>
          <cell r="J16898">
            <v>-896.56</v>
          </cell>
        </row>
        <row r="16899">
          <cell r="A16899" t="str">
            <v>GPO SERVYRE</v>
          </cell>
          <cell r="B16899" t="str">
            <v>720-00000-000-0000</v>
          </cell>
          <cell r="J16899">
            <v>-808.36</v>
          </cell>
        </row>
        <row r="16900">
          <cell r="A16900" t="str">
            <v>GPO SERVYRE</v>
          </cell>
          <cell r="B16900" t="str">
            <v>720-99999-000-0000</v>
          </cell>
          <cell r="J16900">
            <v>-808.36</v>
          </cell>
        </row>
        <row r="16901">
          <cell r="A16901" t="str">
            <v>GPO SERVYRE</v>
          </cell>
          <cell r="B16901" t="str">
            <v>720-99999-001-0000</v>
          </cell>
          <cell r="J16901">
            <v>-808.36</v>
          </cell>
        </row>
        <row r="16902">
          <cell r="A16902" t="str">
            <v>GPO SERVYRE</v>
          </cell>
          <cell r="B16902" t="str">
            <v>720-99999-001-0001</v>
          </cell>
          <cell r="J16902">
            <v>-808.36</v>
          </cell>
        </row>
        <row r="16903">
          <cell r="A16903" t="str">
            <v>GPO SERVYRE</v>
          </cell>
          <cell r="B16903" t="str">
            <v>730-00000-000-0000</v>
          </cell>
          <cell r="J16903">
            <v>-3065.34</v>
          </cell>
        </row>
        <row r="16904">
          <cell r="A16904" t="str">
            <v>GPO SERVYRE</v>
          </cell>
          <cell r="B16904" t="str">
            <v>730-99999-000-0000</v>
          </cell>
          <cell r="J16904">
            <v>-3065.34</v>
          </cell>
        </row>
        <row r="16905">
          <cell r="A16905" t="str">
            <v>GPO SERVYRE</v>
          </cell>
          <cell r="B16905" t="str">
            <v>730-99999-002-0000</v>
          </cell>
          <cell r="J16905">
            <v>-3065.34</v>
          </cell>
        </row>
        <row r="16906">
          <cell r="A16906" t="str">
            <v>GPO SERVYRE</v>
          </cell>
          <cell r="B16906" t="str">
            <v>560-00000-000-0000</v>
          </cell>
          <cell r="J16906">
            <v>80</v>
          </cell>
        </row>
        <row r="16907">
          <cell r="A16907" t="str">
            <v>GPO SERVYRE</v>
          </cell>
          <cell r="B16907" t="str">
            <v>560-99999-000-0000</v>
          </cell>
          <cell r="J16907">
            <v>80</v>
          </cell>
        </row>
        <row r="16908">
          <cell r="A16908" t="str">
            <v>GPO SERVYRE</v>
          </cell>
          <cell r="B16908" t="str">
            <v>560-99999-001-0000</v>
          </cell>
          <cell r="J16908">
            <v>80</v>
          </cell>
        </row>
        <row r="16909">
          <cell r="A16909" t="str">
            <v>GPO SERVYRE</v>
          </cell>
          <cell r="B16909" t="str">
            <v>560-99999-001-0002</v>
          </cell>
          <cell r="J16909">
            <v>80</v>
          </cell>
        </row>
        <row r="16910">
          <cell r="A16910" t="str">
            <v>GPO SERVYRE</v>
          </cell>
          <cell r="B16910" t="str">
            <v>650-00000-000-0000</v>
          </cell>
          <cell r="J16910">
            <v>1868123.76</v>
          </cell>
        </row>
        <row r="16911">
          <cell r="A16911" t="str">
            <v>GPO SERVYRE</v>
          </cell>
          <cell r="B16911" t="str">
            <v>650-99999-000-0000</v>
          </cell>
          <cell r="J16911">
            <v>1868123.76</v>
          </cell>
        </row>
        <row r="16912">
          <cell r="A16912" t="str">
            <v>GPO SERVYRE</v>
          </cell>
          <cell r="B16912" t="str">
            <v>650-99999-011-0000</v>
          </cell>
          <cell r="J16912">
            <v>1849960.36</v>
          </cell>
        </row>
        <row r="16913">
          <cell r="A16913" t="str">
            <v>GPO SERVYRE</v>
          </cell>
          <cell r="B16913" t="str">
            <v>650-99999-012-0000</v>
          </cell>
          <cell r="J16913">
            <v>2998.28</v>
          </cell>
        </row>
        <row r="16914">
          <cell r="A16914" t="str">
            <v>GPO SERVYRE</v>
          </cell>
          <cell r="B16914" t="str">
            <v>650-99999-012-0001</v>
          </cell>
          <cell r="J16914">
            <v>2998.28</v>
          </cell>
        </row>
        <row r="16915">
          <cell r="A16915" t="str">
            <v>GPO SERVYRE</v>
          </cell>
          <cell r="B16915" t="str">
            <v>650-99999-023-0000</v>
          </cell>
          <cell r="J16915">
            <v>12750</v>
          </cell>
        </row>
        <row r="16916">
          <cell r="A16916" t="str">
            <v>GPO SERVYRE</v>
          </cell>
          <cell r="B16916" t="str">
            <v>650-99999-025-0000</v>
          </cell>
          <cell r="J16916">
            <v>3.12</v>
          </cell>
        </row>
        <row r="16917">
          <cell r="A16917" t="str">
            <v>GPO SERVYRE</v>
          </cell>
          <cell r="B16917" t="str">
            <v>650-99999-025-0001</v>
          </cell>
          <cell r="J16917">
            <v>3.12</v>
          </cell>
        </row>
        <row r="16918">
          <cell r="A16918" t="str">
            <v>GPO SERVYRE</v>
          </cell>
          <cell r="B16918" t="str">
            <v>650-99999-030-0000</v>
          </cell>
          <cell r="J16918">
            <v>2412</v>
          </cell>
        </row>
        <row r="16919">
          <cell r="A16919" t="str">
            <v>GPO SERVYRE</v>
          </cell>
          <cell r="B16919" t="str">
            <v>660-00000-000-0000</v>
          </cell>
          <cell r="J16919">
            <v>19850.62</v>
          </cell>
        </row>
        <row r="16920">
          <cell r="A16920" t="str">
            <v>GPO SERVYRE</v>
          </cell>
          <cell r="B16920" t="str">
            <v>660-99999-000-0000</v>
          </cell>
          <cell r="J16920">
            <v>19850.62</v>
          </cell>
        </row>
        <row r="16921">
          <cell r="A16921" t="str">
            <v>GPO SERVYRE</v>
          </cell>
          <cell r="B16921" t="str">
            <v>660-99999-034-0000</v>
          </cell>
          <cell r="J16921">
            <v>19850.62</v>
          </cell>
        </row>
        <row r="16922">
          <cell r="A16922" t="str">
            <v>GPO SERVYRE</v>
          </cell>
          <cell r="B16922" t="str">
            <v>660-99999-034-0001</v>
          </cell>
          <cell r="J16922">
            <v>-0.12</v>
          </cell>
        </row>
        <row r="16923">
          <cell r="A16923" t="str">
            <v>GPO SERVYRE</v>
          </cell>
          <cell r="B16923" t="str">
            <v>660-99999-034-0002</v>
          </cell>
          <cell r="J16923">
            <v>0.02</v>
          </cell>
        </row>
        <row r="16924">
          <cell r="A16924" t="str">
            <v>GPO SERVYRE</v>
          </cell>
          <cell r="B16924" t="str">
            <v>660-99999-034-0003</v>
          </cell>
          <cell r="J16924">
            <v>19850.72</v>
          </cell>
        </row>
        <row r="16925">
          <cell r="A16925" t="str">
            <v>GPO SERVYRE</v>
          </cell>
          <cell r="B16925" t="str">
            <v>710-00000-000-0000</v>
          </cell>
          <cell r="J16925">
            <v>19.23</v>
          </cell>
        </row>
        <row r="16926">
          <cell r="A16926" t="str">
            <v>GPO SERVYRE</v>
          </cell>
          <cell r="B16926" t="str">
            <v>710-99999-000-0000</v>
          </cell>
          <cell r="J16926">
            <v>19.23</v>
          </cell>
        </row>
        <row r="16927">
          <cell r="A16927" t="str">
            <v>GPO SERVYRE</v>
          </cell>
          <cell r="B16927" t="str">
            <v>710-99999-002-0000</v>
          </cell>
          <cell r="J16927">
            <v>19.23</v>
          </cell>
        </row>
        <row r="16928">
          <cell r="A16928" t="str">
            <v>GPO SERVYRE</v>
          </cell>
          <cell r="B16928" t="str">
            <v>710-99999-002-0001</v>
          </cell>
          <cell r="J16928">
            <v>19.23</v>
          </cell>
        </row>
        <row r="16929">
          <cell r="A16929" t="str">
            <v>GPO SERVYRE</v>
          </cell>
          <cell r="B16929" t="str">
            <v>740-00000-000-0000</v>
          </cell>
          <cell r="J16929">
            <v>5763.11</v>
          </cell>
        </row>
        <row r="16930">
          <cell r="A16930" t="str">
            <v>GPO SERVYRE</v>
          </cell>
          <cell r="B16930" t="str">
            <v>740-99999-000-0000</v>
          </cell>
          <cell r="J16930">
            <v>5763.11</v>
          </cell>
        </row>
        <row r="16931">
          <cell r="A16931" t="str">
            <v>GPO SERVYRE</v>
          </cell>
          <cell r="B16931" t="str">
            <v>740-99999-001-0000</v>
          </cell>
          <cell r="J16931">
            <v>5763.11</v>
          </cell>
        </row>
        <row r="16932">
          <cell r="A16932" t="str">
            <v>GPO SERVYRE</v>
          </cell>
          <cell r="J16932">
            <v>0</v>
          </cell>
        </row>
        <row r="16933">
          <cell r="A16933" t="str">
            <v>GPO SERVYRE</v>
          </cell>
          <cell r="J16933">
            <v>0</v>
          </cell>
        </row>
        <row r="16934">
          <cell r="A16934" t="str">
            <v>GPO SERVYRE</v>
          </cell>
          <cell r="J16934">
            <v>0</v>
          </cell>
        </row>
        <row r="16935">
          <cell r="A16935" t="str">
            <v>GPO SERVYRE</v>
          </cell>
          <cell r="J16935">
            <v>0</v>
          </cell>
        </row>
        <row r="16936">
          <cell r="A16936" t="str">
            <v>GPO SERVYRE</v>
          </cell>
          <cell r="J16936">
            <v>0</v>
          </cell>
        </row>
        <row r="16937">
          <cell r="A16937" t="str">
            <v>GPO SERVYRE</v>
          </cell>
          <cell r="J16937">
            <v>0</v>
          </cell>
        </row>
        <row r="16938">
          <cell r="A16938" t="str">
            <v>GPO SERVYRE</v>
          </cell>
          <cell r="J16938">
            <v>0</v>
          </cell>
        </row>
        <row r="16939">
          <cell r="A16939" t="str">
            <v>GPO SERVYRE</v>
          </cell>
          <cell r="J16939">
            <v>0</v>
          </cell>
        </row>
        <row r="16940">
          <cell r="A16940" t="str">
            <v>GPO SERVYRE</v>
          </cell>
          <cell r="J16940">
            <v>0</v>
          </cell>
        </row>
        <row r="16941">
          <cell r="A16941" t="str">
            <v>GPO SERVYRE</v>
          </cell>
          <cell r="J16941">
            <v>0</v>
          </cell>
        </row>
        <row r="16942">
          <cell r="A16942" t="str">
            <v>GPO SERVYRE</v>
          </cell>
          <cell r="J16942">
            <v>0</v>
          </cell>
        </row>
        <row r="16943">
          <cell r="A16943" t="str">
            <v>GPO SERVYRE</v>
          </cell>
          <cell r="J16943">
            <v>0</v>
          </cell>
        </row>
        <row r="16944">
          <cell r="A16944" t="str">
            <v>GPO SERVYRE</v>
          </cell>
          <cell r="J16944">
            <v>0</v>
          </cell>
        </row>
        <row r="16945">
          <cell r="A16945" t="str">
            <v>GPO SERVYRE</v>
          </cell>
          <cell r="J16945">
            <v>0</v>
          </cell>
        </row>
        <row r="16946">
          <cell r="A16946" t="str">
            <v>GPO SERVYRE</v>
          </cell>
          <cell r="J16946">
            <v>0</v>
          </cell>
        </row>
        <row r="16947">
          <cell r="A16947" t="str">
            <v>GPO SERVYRE</v>
          </cell>
          <cell r="J16947">
            <v>0</v>
          </cell>
        </row>
        <row r="16948">
          <cell r="A16948" t="str">
            <v>GPO SERVYRE</v>
          </cell>
          <cell r="J16948">
            <v>0</v>
          </cell>
        </row>
        <row r="16949">
          <cell r="A16949" t="str">
            <v>GPO SERVYRE</v>
          </cell>
          <cell r="J16949">
            <v>0</v>
          </cell>
        </row>
        <row r="16950">
          <cell r="A16950" t="str">
            <v>GPO SERVYRE</v>
          </cell>
          <cell r="J16950">
            <v>0</v>
          </cell>
        </row>
        <row r="16951">
          <cell r="A16951" t="str">
            <v>GPO SERVYRE</v>
          </cell>
          <cell r="J16951">
            <v>0</v>
          </cell>
        </row>
        <row r="16952">
          <cell r="A16952" t="str">
            <v>GPO SERVYRE</v>
          </cell>
          <cell r="J16952">
            <v>0</v>
          </cell>
        </row>
        <row r="16953">
          <cell r="A16953" t="str">
            <v>GPO SERVYRE</v>
          </cell>
          <cell r="J16953">
            <v>0</v>
          </cell>
        </row>
        <row r="16954">
          <cell r="A16954" t="str">
            <v>GPO SERVYRE</v>
          </cell>
          <cell r="J16954">
            <v>0</v>
          </cell>
        </row>
        <row r="16955">
          <cell r="A16955" t="str">
            <v>GPO SERVYRE</v>
          </cell>
          <cell r="J16955">
            <v>0</v>
          </cell>
        </row>
        <row r="16956">
          <cell r="A16956" t="str">
            <v>GPO SERVYRE</v>
          </cell>
          <cell r="J16956">
            <v>0</v>
          </cell>
        </row>
        <row r="16957">
          <cell r="A16957" t="str">
            <v>GPO SERVYRE</v>
          </cell>
          <cell r="J16957">
            <v>0</v>
          </cell>
        </row>
        <row r="16958">
          <cell r="A16958" t="str">
            <v>GPO SERVYRE</v>
          </cell>
          <cell r="J16958">
            <v>0</v>
          </cell>
        </row>
        <row r="16959">
          <cell r="A16959" t="str">
            <v>GPO SERVYRE</v>
          </cell>
          <cell r="J16959">
            <v>0</v>
          </cell>
        </row>
        <row r="16960">
          <cell r="A16960" t="str">
            <v>GPO SERVYRE</v>
          </cell>
          <cell r="J16960">
            <v>0</v>
          </cell>
        </row>
        <row r="16961">
          <cell r="A16961" t="str">
            <v>GPO SERVYRE</v>
          </cell>
          <cell r="J16961">
            <v>0</v>
          </cell>
        </row>
        <row r="16962">
          <cell r="A16962" t="str">
            <v>GPO SERVYRE</v>
          </cell>
          <cell r="J16962">
            <v>0</v>
          </cell>
        </row>
        <row r="16963">
          <cell r="A16963" t="str">
            <v>GPO SERVYRE</v>
          </cell>
          <cell r="J16963">
            <v>0</v>
          </cell>
        </row>
        <row r="16964">
          <cell r="A16964" t="str">
            <v>GPO SERVYRE</v>
          </cell>
          <cell r="J16964">
            <v>0</v>
          </cell>
        </row>
        <row r="16965">
          <cell r="A16965" t="str">
            <v>GPO SERVYRE</v>
          </cell>
          <cell r="J16965">
            <v>0</v>
          </cell>
        </row>
        <row r="16966">
          <cell r="A16966" t="str">
            <v>GPO SERVYRE</v>
          </cell>
          <cell r="J16966">
            <v>0</v>
          </cell>
        </row>
        <row r="16967">
          <cell r="A16967" t="str">
            <v>GPO SERVYRE</v>
          </cell>
          <cell r="J16967">
            <v>0</v>
          </cell>
        </row>
        <row r="16968">
          <cell r="A16968" t="str">
            <v>GPO SERVYRE</v>
          </cell>
          <cell r="J16968">
            <v>0</v>
          </cell>
        </row>
        <row r="16969">
          <cell r="A16969" t="str">
            <v>GPO SERVYRE</v>
          </cell>
          <cell r="J16969">
            <v>0</v>
          </cell>
        </row>
        <row r="16970">
          <cell r="A16970" t="str">
            <v>GPO SERVYRE</v>
          </cell>
          <cell r="J16970">
            <v>0</v>
          </cell>
        </row>
        <row r="16971">
          <cell r="A16971" t="str">
            <v>GPO SERVYRE</v>
          </cell>
          <cell r="J16971">
            <v>0</v>
          </cell>
        </row>
        <row r="16972">
          <cell r="A16972" t="str">
            <v>GPO SERVYRE</v>
          </cell>
          <cell r="J16972">
            <v>0</v>
          </cell>
        </row>
        <row r="16973">
          <cell r="A16973" t="str">
            <v>GPO SERVYRE</v>
          </cell>
          <cell r="J16973">
            <v>0</v>
          </cell>
        </row>
        <row r="16974">
          <cell r="A16974" t="str">
            <v>GPO SERVYRE</v>
          </cell>
          <cell r="J16974">
            <v>0</v>
          </cell>
        </row>
        <row r="16975">
          <cell r="A16975" t="str">
            <v>GPO SERVYRE</v>
          </cell>
          <cell r="J16975">
            <v>0</v>
          </cell>
        </row>
        <row r="16976">
          <cell r="A16976" t="str">
            <v>GPO SERVYRE</v>
          </cell>
          <cell r="J16976">
            <v>0</v>
          </cell>
        </row>
        <row r="16977">
          <cell r="A16977" t="str">
            <v>GPO SERVYRE</v>
          </cell>
          <cell r="J16977">
            <v>0</v>
          </cell>
        </row>
        <row r="16978">
          <cell r="A16978" t="str">
            <v>GPO SERVYRE</v>
          </cell>
          <cell r="J16978">
            <v>0</v>
          </cell>
        </row>
        <row r="16979">
          <cell r="A16979" t="str">
            <v>GPO SERVYRE</v>
          </cell>
          <cell r="J16979">
            <v>0</v>
          </cell>
        </row>
        <row r="16980">
          <cell r="A16980" t="str">
            <v>GPO SERVYRE</v>
          </cell>
          <cell r="J16980">
            <v>0</v>
          </cell>
        </row>
        <row r="16981">
          <cell r="A16981" t="str">
            <v>GPO SERVYRE</v>
          </cell>
          <cell r="J16981">
            <v>0</v>
          </cell>
        </row>
        <row r="16982">
          <cell r="A16982" t="str">
            <v>GPO SERVYRE</v>
          </cell>
          <cell r="J16982">
            <v>0</v>
          </cell>
        </row>
        <row r="16983">
          <cell r="A16983" t="str">
            <v>GPO SERVYRE</v>
          </cell>
          <cell r="J16983">
            <v>0</v>
          </cell>
        </row>
        <row r="16984">
          <cell r="A16984" t="str">
            <v>GPO SERVYRE</v>
          </cell>
          <cell r="J16984">
            <v>0</v>
          </cell>
        </row>
        <row r="16985">
          <cell r="A16985" t="str">
            <v>GPO SERVYRE</v>
          </cell>
          <cell r="J16985">
            <v>0</v>
          </cell>
        </row>
        <row r="16986">
          <cell r="A16986" t="str">
            <v>GPO SERVYRE</v>
          </cell>
          <cell r="J16986">
            <v>0</v>
          </cell>
        </row>
        <row r="16987">
          <cell r="A16987" t="str">
            <v>GPO SERVYRE</v>
          </cell>
          <cell r="J16987">
            <v>0</v>
          </cell>
        </row>
        <row r="16988">
          <cell r="A16988" t="str">
            <v>GPO SERVYRE</v>
          </cell>
          <cell r="J16988">
            <v>0</v>
          </cell>
        </row>
        <row r="16989">
          <cell r="A16989" t="str">
            <v>GPO SERVYRE</v>
          </cell>
          <cell r="J16989">
            <v>0</v>
          </cell>
        </row>
        <row r="16990">
          <cell r="A16990" t="str">
            <v>GPO SERVYRE</v>
          </cell>
          <cell r="J16990">
            <v>0</v>
          </cell>
        </row>
        <row r="16991">
          <cell r="A16991" t="str">
            <v>GPO SERVYRE</v>
          </cell>
          <cell r="J16991">
            <v>0</v>
          </cell>
        </row>
        <row r="16992">
          <cell r="A16992" t="str">
            <v>GPO SERVYRE</v>
          </cell>
          <cell r="J16992">
            <v>0</v>
          </cell>
        </row>
        <row r="16993">
          <cell r="A16993" t="str">
            <v>GPO SERVYRE</v>
          </cell>
          <cell r="J16993">
            <v>0</v>
          </cell>
        </row>
        <row r="16994">
          <cell r="A16994" t="str">
            <v>GPO SERVYRE</v>
          </cell>
          <cell r="J16994">
            <v>0</v>
          </cell>
        </row>
        <row r="16995">
          <cell r="A16995" t="str">
            <v>GPO SERVYRE</v>
          </cell>
          <cell r="J16995">
            <v>0</v>
          </cell>
        </row>
        <row r="16996">
          <cell r="A16996" t="str">
            <v>GPO SERVYRE</v>
          </cell>
          <cell r="J16996">
            <v>0</v>
          </cell>
        </row>
        <row r="16997">
          <cell r="A16997" t="str">
            <v>GPO SERVYRE</v>
          </cell>
          <cell r="J16997">
            <v>0</v>
          </cell>
        </row>
        <row r="16998">
          <cell r="A16998" t="str">
            <v>GPO SERVYRE</v>
          </cell>
          <cell r="J16998">
            <v>0</v>
          </cell>
        </row>
        <row r="16999">
          <cell r="A16999" t="str">
            <v>GPO SERVYRE</v>
          </cell>
          <cell r="J16999">
            <v>0</v>
          </cell>
        </row>
        <row r="17000">
          <cell r="A17000" t="str">
            <v>GPO SERVYRE</v>
          </cell>
          <cell r="J17000">
            <v>0</v>
          </cell>
        </row>
        <row r="17001">
          <cell r="A17001" t="str">
            <v>GPO SERVYRE</v>
          </cell>
          <cell r="J17001">
            <v>0</v>
          </cell>
        </row>
        <row r="17002">
          <cell r="A17002" t="str">
            <v>GPO SERVYRE</v>
          </cell>
          <cell r="J17002">
            <v>0</v>
          </cell>
        </row>
        <row r="17003">
          <cell r="A17003" t="str">
            <v>GPO SERVYRE</v>
          </cell>
          <cell r="J17003">
            <v>0</v>
          </cell>
        </row>
        <row r="17004">
          <cell r="A17004" t="str">
            <v>GPO SERVYRE</v>
          </cell>
          <cell r="J17004">
            <v>0</v>
          </cell>
        </row>
        <row r="17005">
          <cell r="A17005" t="str">
            <v>GPO SERVYRE</v>
          </cell>
          <cell r="J17005">
            <v>0</v>
          </cell>
        </row>
        <row r="17006">
          <cell r="A17006" t="str">
            <v>GPO SERVYRE</v>
          </cell>
          <cell r="J17006">
            <v>0</v>
          </cell>
        </row>
        <row r="17007">
          <cell r="A17007" t="str">
            <v>GPO SERVYRE</v>
          </cell>
          <cell r="J17007">
            <v>0</v>
          </cell>
        </row>
        <row r="17008">
          <cell r="A17008" t="str">
            <v>GPO SERVYRE</v>
          </cell>
          <cell r="J17008">
            <v>0</v>
          </cell>
        </row>
        <row r="17009">
          <cell r="A17009" t="str">
            <v>GPO SERVYRE</v>
          </cell>
          <cell r="J17009">
            <v>0</v>
          </cell>
        </row>
        <row r="17010">
          <cell r="A17010" t="str">
            <v>GPO SERVYRE</v>
          </cell>
          <cell r="J17010">
            <v>0</v>
          </cell>
        </row>
        <row r="17011">
          <cell r="A17011" t="str">
            <v>GPO SERVYRE</v>
          </cell>
          <cell r="J17011">
            <v>0</v>
          </cell>
        </row>
        <row r="17012">
          <cell r="A17012" t="str">
            <v>GPO SERVYRE</v>
          </cell>
          <cell r="J17012">
            <v>0</v>
          </cell>
        </row>
        <row r="17013">
          <cell r="A17013" t="str">
            <v>GPO SERVYRE</v>
          </cell>
          <cell r="J17013">
            <v>0</v>
          </cell>
        </row>
        <row r="17014">
          <cell r="A17014" t="str">
            <v>GPO SERVYRE</v>
          </cell>
          <cell r="J17014">
            <v>0</v>
          </cell>
        </row>
        <row r="17015">
          <cell r="A17015" t="str">
            <v>GPO SERVYRE</v>
          </cell>
          <cell r="J17015">
            <v>0</v>
          </cell>
        </row>
        <row r="17016">
          <cell r="A17016" t="str">
            <v>GPO SERVYRE</v>
          </cell>
          <cell r="J17016">
            <v>0</v>
          </cell>
        </row>
        <row r="17017">
          <cell r="A17017" t="str">
            <v>GPO SERVYRE</v>
          </cell>
          <cell r="J17017">
            <v>0</v>
          </cell>
        </row>
        <row r="17018">
          <cell r="A17018" t="str">
            <v>GPO SERVYRE</v>
          </cell>
          <cell r="J17018">
            <v>0</v>
          </cell>
        </row>
        <row r="17019">
          <cell r="A17019" t="str">
            <v>GPO SERVYRE</v>
          </cell>
          <cell r="J17019">
            <v>0</v>
          </cell>
        </row>
        <row r="17020">
          <cell r="A17020" t="str">
            <v>GPO SERVYRE</v>
          </cell>
          <cell r="J17020">
            <v>0</v>
          </cell>
        </row>
        <row r="17021">
          <cell r="A17021" t="str">
            <v>GPO SERVYRE</v>
          </cell>
          <cell r="J17021">
            <v>0</v>
          </cell>
        </row>
        <row r="17022">
          <cell r="A17022" t="str">
            <v>GPO SERVYRE</v>
          </cell>
          <cell r="J17022">
            <v>0</v>
          </cell>
        </row>
        <row r="17023">
          <cell r="A17023" t="str">
            <v>GPO SERVYRE</v>
          </cell>
          <cell r="J17023">
            <v>0</v>
          </cell>
        </row>
        <row r="17024">
          <cell r="A17024" t="str">
            <v>GPO SERVYRE</v>
          </cell>
          <cell r="J17024">
            <v>0</v>
          </cell>
        </row>
        <row r="17025">
          <cell r="A17025" t="str">
            <v>GPO SERVYRE</v>
          </cell>
          <cell r="J17025">
            <v>0</v>
          </cell>
        </row>
        <row r="17026">
          <cell r="A17026" t="str">
            <v>GPO SERVYRE</v>
          </cell>
          <cell r="J17026">
            <v>0</v>
          </cell>
        </row>
        <row r="17027">
          <cell r="A17027" t="str">
            <v>GPO SERVYRE</v>
          </cell>
          <cell r="J17027">
            <v>0</v>
          </cell>
        </row>
        <row r="17028">
          <cell r="A17028" t="str">
            <v>GPO SERVYRE</v>
          </cell>
          <cell r="J17028">
            <v>0</v>
          </cell>
        </row>
        <row r="17029">
          <cell r="A17029" t="str">
            <v>GPO SERVYRE</v>
          </cell>
          <cell r="J17029">
            <v>0</v>
          </cell>
        </row>
        <row r="17030">
          <cell r="A17030" t="str">
            <v>GPO SERVYRE</v>
          </cell>
          <cell r="J17030">
            <v>0</v>
          </cell>
        </row>
        <row r="17031">
          <cell r="A17031" t="str">
            <v>GPO SERVYRE</v>
          </cell>
          <cell r="J17031">
            <v>0</v>
          </cell>
        </row>
        <row r="17032">
          <cell r="A17032" t="str">
            <v>GPO SERVYRE</v>
          </cell>
          <cell r="J17032">
            <v>0</v>
          </cell>
        </row>
        <row r="17033">
          <cell r="A17033" t="str">
            <v>GPO SERVYRE</v>
          </cell>
          <cell r="J17033">
            <v>0</v>
          </cell>
        </row>
        <row r="17034">
          <cell r="A17034" t="str">
            <v>GPO SERVYRE</v>
          </cell>
          <cell r="J17034">
            <v>0</v>
          </cell>
        </row>
        <row r="17035">
          <cell r="A17035" t="str">
            <v>GPO SERVYRE</v>
          </cell>
          <cell r="J17035">
            <v>0</v>
          </cell>
        </row>
        <row r="17036">
          <cell r="A17036" t="str">
            <v>GPO SERVYRE</v>
          </cell>
          <cell r="J17036">
            <v>0</v>
          </cell>
        </row>
        <row r="17037">
          <cell r="A17037" t="str">
            <v>GPO SERVYRE</v>
          </cell>
          <cell r="J17037">
            <v>0</v>
          </cell>
        </row>
        <row r="17038">
          <cell r="A17038" t="str">
            <v>GPO SERVYRE</v>
          </cell>
          <cell r="J17038">
            <v>0</v>
          </cell>
        </row>
        <row r="17039">
          <cell r="A17039" t="str">
            <v>GPO SERVYRE</v>
          </cell>
          <cell r="J17039">
            <v>0</v>
          </cell>
        </row>
        <row r="17040">
          <cell r="A17040" t="str">
            <v>GPO SERVYRE</v>
          </cell>
          <cell r="J17040">
            <v>0</v>
          </cell>
        </row>
        <row r="17041">
          <cell r="A17041" t="str">
            <v>GPO SERVYRE</v>
          </cell>
          <cell r="J17041">
            <v>0</v>
          </cell>
        </row>
        <row r="17042">
          <cell r="A17042" t="str">
            <v>GPO SERVYRE</v>
          </cell>
          <cell r="J17042">
            <v>0</v>
          </cell>
        </row>
        <row r="17043">
          <cell r="A17043" t="str">
            <v>GPO SERVYRE</v>
          </cell>
          <cell r="J17043">
            <v>0</v>
          </cell>
        </row>
        <row r="17044">
          <cell r="A17044" t="str">
            <v>GPO SERVYRE</v>
          </cell>
          <cell r="J17044">
            <v>0</v>
          </cell>
        </row>
        <row r="17045">
          <cell r="A17045" t="str">
            <v>GPO SERVYRE</v>
          </cell>
          <cell r="J17045">
            <v>0</v>
          </cell>
        </row>
        <row r="17046">
          <cell r="A17046" t="str">
            <v>GPO SERVYRE</v>
          </cell>
          <cell r="J17046">
            <v>0</v>
          </cell>
        </row>
        <row r="17047">
          <cell r="A17047" t="str">
            <v>GPO SERVYRE</v>
          </cell>
          <cell r="J17047">
            <v>0</v>
          </cell>
        </row>
        <row r="17048">
          <cell r="A17048" t="str">
            <v>GPO SERVYRE</v>
          </cell>
          <cell r="J17048">
            <v>0</v>
          </cell>
        </row>
        <row r="17049">
          <cell r="A17049" t="str">
            <v>GPO SERVYRE</v>
          </cell>
          <cell r="J17049">
            <v>0</v>
          </cell>
        </row>
        <row r="17050">
          <cell r="A17050" t="str">
            <v>GPO SERVYRE</v>
          </cell>
          <cell r="J17050">
            <v>0</v>
          </cell>
        </row>
        <row r="17051">
          <cell r="A17051" t="str">
            <v>GPO SERVYRE</v>
          </cell>
          <cell r="J17051">
            <v>0</v>
          </cell>
        </row>
        <row r="17052">
          <cell r="A17052" t="str">
            <v>GPO SERVYRE</v>
          </cell>
          <cell r="J17052">
            <v>0</v>
          </cell>
        </row>
        <row r="17053">
          <cell r="A17053" t="str">
            <v>GPO SERVYRE</v>
          </cell>
          <cell r="J17053">
            <v>0</v>
          </cell>
        </row>
        <row r="17054">
          <cell r="A17054" t="str">
            <v>GPO SERVYRE</v>
          </cell>
          <cell r="J17054">
            <v>0</v>
          </cell>
        </row>
        <row r="17055">
          <cell r="A17055" t="str">
            <v>GPO SERVYRE</v>
          </cell>
          <cell r="J17055">
            <v>0</v>
          </cell>
        </row>
        <row r="17056">
          <cell r="A17056" t="str">
            <v>GPO SERVYRE</v>
          </cell>
          <cell r="J17056">
            <v>0</v>
          </cell>
        </row>
        <row r="17057">
          <cell r="A17057" t="str">
            <v>GPO SERVYRE</v>
          </cell>
          <cell r="J17057">
            <v>0</v>
          </cell>
        </row>
        <row r="17058">
          <cell r="A17058" t="str">
            <v>GPO SERVYRE</v>
          </cell>
          <cell r="J17058">
            <v>0</v>
          </cell>
        </row>
        <row r="17059">
          <cell r="A17059" t="str">
            <v>GPO SERVYRE</v>
          </cell>
          <cell r="J17059">
            <v>0</v>
          </cell>
        </row>
        <row r="17060">
          <cell r="A17060" t="str">
            <v>GPO SERVYRE</v>
          </cell>
          <cell r="J17060">
            <v>0</v>
          </cell>
        </row>
        <row r="17061">
          <cell r="A17061" t="str">
            <v>GPO SERVYRE</v>
          </cell>
          <cell r="J17061">
            <v>0</v>
          </cell>
        </row>
        <row r="17062">
          <cell r="A17062" t="str">
            <v>GPO SERVYRE</v>
          </cell>
          <cell r="J17062">
            <v>0</v>
          </cell>
        </row>
        <row r="17063">
          <cell r="A17063" t="str">
            <v>GPO SERVYRE</v>
          </cell>
          <cell r="J17063">
            <v>0</v>
          </cell>
        </row>
        <row r="17064">
          <cell r="A17064" t="str">
            <v>GPO SERVYRE</v>
          </cell>
          <cell r="J17064">
            <v>0</v>
          </cell>
        </row>
        <row r="17065">
          <cell r="A17065" t="str">
            <v>GPO SERVYRE</v>
          </cell>
          <cell r="J17065">
            <v>0</v>
          </cell>
        </row>
        <row r="17066">
          <cell r="A17066" t="str">
            <v>GPO SERVYRE</v>
          </cell>
          <cell r="J17066">
            <v>0</v>
          </cell>
        </row>
        <row r="17067">
          <cell r="A17067" t="str">
            <v>GPO SERVYRE</v>
          </cell>
          <cell r="J17067">
            <v>0</v>
          </cell>
        </row>
        <row r="17068">
          <cell r="A17068" t="str">
            <v>GPO SERVYRE</v>
          </cell>
          <cell r="J17068">
            <v>0</v>
          </cell>
        </row>
        <row r="17069">
          <cell r="A17069" t="str">
            <v>GPO SERVYRE</v>
          </cell>
          <cell r="J17069">
            <v>0</v>
          </cell>
        </row>
        <row r="17070">
          <cell r="A17070" t="str">
            <v>GPO SERVYRE</v>
          </cell>
          <cell r="J17070">
            <v>0</v>
          </cell>
        </row>
        <row r="17071">
          <cell r="A17071" t="str">
            <v>GPO SERVYRE</v>
          </cell>
          <cell r="J17071">
            <v>0</v>
          </cell>
        </row>
        <row r="17072">
          <cell r="A17072" t="str">
            <v>GPO SERVYRE</v>
          </cell>
          <cell r="J17072">
            <v>0</v>
          </cell>
        </row>
        <row r="17073">
          <cell r="A17073" t="str">
            <v>GPO SERVYRE</v>
          </cell>
          <cell r="J17073">
            <v>0</v>
          </cell>
        </row>
        <row r="17074">
          <cell r="A17074" t="str">
            <v>GPO SERVYRE</v>
          </cell>
          <cell r="J17074">
            <v>0</v>
          </cell>
        </row>
        <row r="17075">
          <cell r="A17075" t="str">
            <v>GPO SERVYRE</v>
          </cell>
          <cell r="J17075">
            <v>0</v>
          </cell>
        </row>
        <row r="17076">
          <cell r="A17076" t="str">
            <v>GPO SERVYRE</v>
          </cell>
          <cell r="J17076">
            <v>0</v>
          </cell>
        </row>
        <row r="17077">
          <cell r="A17077" t="str">
            <v>GPO SERVYRE</v>
          </cell>
          <cell r="J17077">
            <v>0</v>
          </cell>
        </row>
        <row r="17078">
          <cell r="A17078" t="str">
            <v>GPO SERVYRE</v>
          </cell>
          <cell r="J17078">
            <v>0</v>
          </cell>
        </row>
        <row r="17079">
          <cell r="A17079" t="str">
            <v>GPO SERVYRE</v>
          </cell>
          <cell r="J17079">
            <v>0</v>
          </cell>
        </row>
        <row r="17080">
          <cell r="A17080" t="str">
            <v>GPO SERVYRE</v>
          </cell>
          <cell r="J17080">
            <v>0</v>
          </cell>
        </row>
        <row r="17081">
          <cell r="A17081" t="str">
            <v>GPO SERVYRE</v>
          </cell>
          <cell r="J17081">
            <v>0</v>
          </cell>
        </row>
        <row r="17082">
          <cell r="A17082" t="str">
            <v>GPO SERVYRE</v>
          </cell>
          <cell r="J17082">
            <v>0</v>
          </cell>
        </row>
        <row r="17083">
          <cell r="A17083" t="str">
            <v>GPO SERVYRE</v>
          </cell>
          <cell r="J17083">
            <v>0</v>
          </cell>
        </row>
        <row r="17084">
          <cell r="A17084" t="str">
            <v>GPO SERVYRE</v>
          </cell>
          <cell r="J17084">
            <v>0</v>
          </cell>
        </row>
        <row r="17085">
          <cell r="A17085" t="str">
            <v>GPO SERVYRE</v>
          </cell>
          <cell r="J17085">
            <v>0</v>
          </cell>
        </row>
        <row r="17086">
          <cell r="A17086" t="str">
            <v>GPO SERVYRE</v>
          </cell>
          <cell r="J17086">
            <v>0</v>
          </cell>
        </row>
        <row r="17087">
          <cell r="A17087" t="str">
            <v>GPO SERVYRE</v>
          </cell>
          <cell r="J17087">
            <v>0</v>
          </cell>
        </row>
        <row r="17088">
          <cell r="A17088" t="str">
            <v>GPO SERVYRE</v>
          </cell>
          <cell r="J17088">
            <v>0</v>
          </cell>
        </row>
        <row r="17089">
          <cell r="A17089" t="str">
            <v>GPO SERVYRE</v>
          </cell>
          <cell r="J17089">
            <v>0</v>
          </cell>
        </row>
        <row r="17090">
          <cell r="A17090" t="str">
            <v>GPO SERVYRE</v>
          </cell>
          <cell r="J17090">
            <v>0</v>
          </cell>
        </row>
        <row r="17091">
          <cell r="A17091" t="str">
            <v>GPO SERVYRE</v>
          </cell>
          <cell r="J17091">
            <v>0</v>
          </cell>
        </row>
        <row r="17092">
          <cell r="A17092" t="str">
            <v>GPO SERVYRE</v>
          </cell>
          <cell r="J17092">
            <v>0</v>
          </cell>
        </row>
        <row r="17093">
          <cell r="A17093" t="str">
            <v>GPO SERVYRE</v>
          </cell>
          <cell r="J17093">
            <v>0</v>
          </cell>
        </row>
        <row r="17094">
          <cell r="A17094" t="str">
            <v>GPO SERVYRE</v>
          </cell>
          <cell r="J17094">
            <v>0</v>
          </cell>
        </row>
        <row r="17095">
          <cell r="A17095" t="str">
            <v>GPO SERVYRE</v>
          </cell>
          <cell r="J17095">
            <v>0</v>
          </cell>
        </row>
        <row r="17096">
          <cell r="A17096" t="str">
            <v>GPO SERVYRE</v>
          </cell>
          <cell r="J17096">
            <v>0</v>
          </cell>
        </row>
        <row r="17097">
          <cell r="A17097" t="str">
            <v>GPO SERVYRE</v>
          </cell>
          <cell r="J17097">
            <v>0</v>
          </cell>
        </row>
        <row r="17098">
          <cell r="A17098" t="str">
            <v>GPO SERVYRE</v>
          </cell>
          <cell r="J17098">
            <v>0</v>
          </cell>
        </row>
        <row r="17099">
          <cell r="A17099" t="str">
            <v>GPO SERVYRE</v>
          </cell>
          <cell r="J17099">
            <v>0</v>
          </cell>
        </row>
        <row r="17100">
          <cell r="A17100" t="str">
            <v>GPO SERVYRE</v>
          </cell>
          <cell r="J17100">
            <v>0</v>
          </cell>
        </row>
        <row r="17101">
          <cell r="A17101" t="str">
            <v>GPO SERVYRE</v>
          </cell>
          <cell r="J17101">
            <v>0</v>
          </cell>
        </row>
        <row r="17102">
          <cell r="A17102" t="str">
            <v>GPO SERVYRE</v>
          </cell>
          <cell r="J17102">
            <v>0</v>
          </cell>
        </row>
        <row r="17103">
          <cell r="A17103" t="str">
            <v>GPO SERVYRE</v>
          </cell>
          <cell r="J17103">
            <v>0</v>
          </cell>
        </row>
        <row r="17104">
          <cell r="A17104" t="str">
            <v>GPO SERVYRE</v>
          </cell>
          <cell r="J17104">
            <v>0</v>
          </cell>
        </row>
        <row r="17105">
          <cell r="A17105" t="str">
            <v>GPO SERVYRE</v>
          </cell>
          <cell r="J17105">
            <v>0</v>
          </cell>
        </row>
        <row r="17106">
          <cell r="A17106" t="str">
            <v>GPO SERVYRE</v>
          </cell>
          <cell r="J17106">
            <v>0</v>
          </cell>
        </row>
        <row r="17107">
          <cell r="A17107" t="str">
            <v>GPO SERVYRE</v>
          </cell>
          <cell r="J17107">
            <v>0</v>
          </cell>
        </row>
        <row r="17108">
          <cell r="A17108" t="str">
            <v>GPO SERVYRE</v>
          </cell>
          <cell r="J17108">
            <v>0</v>
          </cell>
        </row>
        <row r="17109">
          <cell r="A17109" t="str">
            <v>GPO SERVYRE</v>
          </cell>
          <cell r="J17109">
            <v>0</v>
          </cell>
        </row>
        <row r="17110">
          <cell r="A17110" t="str">
            <v>GPO SERVYRE</v>
          </cell>
          <cell r="J17110">
            <v>0</v>
          </cell>
        </row>
        <row r="17111">
          <cell r="A17111" t="str">
            <v>GPO SERVYRE</v>
          </cell>
          <cell r="J17111">
            <v>0</v>
          </cell>
        </row>
        <row r="17112">
          <cell r="A17112" t="str">
            <v>GPO SERVYRE</v>
          </cell>
          <cell r="J17112">
            <v>0</v>
          </cell>
        </row>
        <row r="17113">
          <cell r="A17113" t="str">
            <v>GPO SERVYRE</v>
          </cell>
          <cell r="J17113">
            <v>0</v>
          </cell>
        </row>
        <row r="17114">
          <cell r="A17114" t="str">
            <v>GPO SERVYRE</v>
          </cell>
          <cell r="J17114">
            <v>0</v>
          </cell>
        </row>
        <row r="17115">
          <cell r="A17115" t="str">
            <v>GPO SERVYRE</v>
          </cell>
          <cell r="J17115">
            <v>0</v>
          </cell>
        </row>
        <row r="17116">
          <cell r="A17116" t="str">
            <v>GPO SERVYRE</v>
          </cell>
          <cell r="J17116">
            <v>0</v>
          </cell>
        </row>
        <row r="17117">
          <cell r="A17117" t="str">
            <v>GPO SERVYRE</v>
          </cell>
          <cell r="J17117">
            <v>0</v>
          </cell>
        </row>
        <row r="17118">
          <cell r="A17118" t="str">
            <v>GPO SERVYRE</v>
          </cell>
          <cell r="J17118">
            <v>0</v>
          </cell>
        </row>
        <row r="17119">
          <cell r="A17119" t="str">
            <v>GPO SERVYRE</v>
          </cell>
          <cell r="J17119">
            <v>0</v>
          </cell>
        </row>
        <row r="17120">
          <cell r="A17120" t="str">
            <v>GPO SERVYRE</v>
          </cell>
          <cell r="J17120">
            <v>0</v>
          </cell>
        </row>
        <row r="17121">
          <cell r="A17121" t="str">
            <v>GPO SERVYRE</v>
          </cell>
          <cell r="J17121">
            <v>0</v>
          </cell>
        </row>
        <row r="17122">
          <cell r="A17122" t="str">
            <v>GPO SERVYRE</v>
          </cell>
          <cell r="J17122">
            <v>0</v>
          </cell>
        </row>
        <row r="17123">
          <cell r="A17123" t="str">
            <v>GPO SERVYRE</v>
          </cell>
          <cell r="J17123">
            <v>0</v>
          </cell>
        </row>
        <row r="17124">
          <cell r="A17124" t="str">
            <v>GPO SERVYRE</v>
          </cell>
          <cell r="J17124">
            <v>0</v>
          </cell>
        </row>
        <row r="17125">
          <cell r="A17125" t="str">
            <v>GPO SERVYRE</v>
          </cell>
          <cell r="J17125">
            <v>0</v>
          </cell>
        </row>
        <row r="17126">
          <cell r="A17126" t="str">
            <v>GPO SERVYRE</v>
          </cell>
          <cell r="J17126">
            <v>0</v>
          </cell>
        </row>
        <row r="17127">
          <cell r="A17127" t="str">
            <v>GPO SERVYRE</v>
          </cell>
          <cell r="J17127">
            <v>0</v>
          </cell>
        </row>
        <row r="17128">
          <cell r="A17128" t="str">
            <v>GPO SERVYRE</v>
          </cell>
          <cell r="J17128">
            <v>0</v>
          </cell>
        </row>
        <row r="17129">
          <cell r="A17129" t="str">
            <v>GPO SERVYRE</v>
          </cell>
          <cell r="J17129">
            <v>0</v>
          </cell>
        </row>
        <row r="17130">
          <cell r="A17130" t="str">
            <v>GPO SERVYRE</v>
          </cell>
          <cell r="J17130">
            <v>0</v>
          </cell>
        </row>
        <row r="17131">
          <cell r="A17131" t="str">
            <v>GPO SERVYRE</v>
          </cell>
          <cell r="J17131">
            <v>0</v>
          </cell>
        </row>
        <row r="17132">
          <cell r="A17132" t="str">
            <v>GPO SERVYRE</v>
          </cell>
          <cell r="J17132">
            <v>0</v>
          </cell>
        </row>
        <row r="17133">
          <cell r="A17133" t="str">
            <v>GPO SERVYRE</v>
          </cell>
          <cell r="J17133">
            <v>0</v>
          </cell>
        </row>
        <row r="17134">
          <cell r="A17134" t="str">
            <v>GPO SERVYRE</v>
          </cell>
          <cell r="J17134">
            <v>0</v>
          </cell>
        </row>
        <row r="17135">
          <cell r="A17135" t="str">
            <v>GPO SERVYRE</v>
          </cell>
          <cell r="J17135">
            <v>0</v>
          </cell>
        </row>
        <row r="17136">
          <cell r="A17136" t="str">
            <v>GPO SERVYRE</v>
          </cell>
          <cell r="J17136">
            <v>0</v>
          </cell>
        </row>
        <row r="17137">
          <cell r="A17137" t="str">
            <v>GPO SERVYRE</v>
          </cell>
          <cell r="J17137">
            <v>0</v>
          </cell>
        </row>
        <row r="17138">
          <cell r="A17138" t="str">
            <v>GPO SERVYRE</v>
          </cell>
          <cell r="J17138">
            <v>0</v>
          </cell>
        </row>
        <row r="17139">
          <cell r="A17139" t="str">
            <v>GPO SERVYRE</v>
          </cell>
          <cell r="J17139">
            <v>0</v>
          </cell>
        </row>
        <row r="17140">
          <cell r="A17140" t="str">
            <v>GPO SERVYRE</v>
          </cell>
          <cell r="J17140">
            <v>0</v>
          </cell>
        </row>
        <row r="17141">
          <cell r="A17141" t="str">
            <v>GPO SERVYRE</v>
          </cell>
          <cell r="J17141">
            <v>0</v>
          </cell>
        </row>
        <row r="17142">
          <cell r="A17142" t="str">
            <v>GPO SERVYRE</v>
          </cell>
          <cell r="J17142">
            <v>0</v>
          </cell>
        </row>
        <row r="17143">
          <cell r="A17143" t="str">
            <v>GPO SERVYRE</v>
          </cell>
          <cell r="J17143">
            <v>0</v>
          </cell>
        </row>
        <row r="17144">
          <cell r="A17144" t="str">
            <v>GPO SERVYRE</v>
          </cell>
          <cell r="J17144">
            <v>0</v>
          </cell>
        </row>
        <row r="17145">
          <cell r="A17145" t="str">
            <v>GPO SERVYRE</v>
          </cell>
          <cell r="J17145">
            <v>0</v>
          </cell>
        </row>
        <row r="17146">
          <cell r="A17146" t="str">
            <v>GPO SERVYRE</v>
          </cell>
          <cell r="J17146">
            <v>0</v>
          </cell>
        </row>
        <row r="17147">
          <cell r="A17147" t="str">
            <v>GPO SERVYRE</v>
          </cell>
          <cell r="J17147">
            <v>0</v>
          </cell>
        </row>
        <row r="17148">
          <cell r="A17148" t="str">
            <v>GPO SERVYRE</v>
          </cell>
          <cell r="J17148">
            <v>0</v>
          </cell>
        </row>
        <row r="17149">
          <cell r="A17149" t="str">
            <v>GPO SERVYRE</v>
          </cell>
          <cell r="J17149">
            <v>0</v>
          </cell>
        </row>
        <row r="17150">
          <cell r="A17150" t="str">
            <v>GPO SERVYRE</v>
          </cell>
          <cell r="J17150">
            <v>0</v>
          </cell>
        </row>
        <row r="17151">
          <cell r="A17151" t="str">
            <v>GPO SERVYRE</v>
          </cell>
          <cell r="J17151">
            <v>0</v>
          </cell>
        </row>
        <row r="17152">
          <cell r="A17152" t="str">
            <v>GPO SERVYRE</v>
          </cell>
          <cell r="J17152">
            <v>0</v>
          </cell>
        </row>
        <row r="17153">
          <cell r="A17153" t="str">
            <v>GPO SERVYRE</v>
          </cell>
          <cell r="J17153">
            <v>0</v>
          </cell>
        </row>
        <row r="17154">
          <cell r="A17154" t="str">
            <v>GPO SERVYRE</v>
          </cell>
          <cell r="J17154">
            <v>0</v>
          </cell>
        </row>
        <row r="17155">
          <cell r="A17155" t="str">
            <v>GPO SERVYRE</v>
          </cell>
          <cell r="J17155">
            <v>0</v>
          </cell>
        </row>
        <row r="17156">
          <cell r="A17156" t="str">
            <v>GPO SERVYRE</v>
          </cell>
          <cell r="J17156">
            <v>0</v>
          </cell>
        </row>
        <row r="17157">
          <cell r="A17157" t="str">
            <v>GPO SERVYRE</v>
          </cell>
          <cell r="J17157">
            <v>0</v>
          </cell>
        </row>
        <row r="17158">
          <cell r="A17158" t="str">
            <v>GPO SERVYRE</v>
          </cell>
          <cell r="J17158">
            <v>0</v>
          </cell>
        </row>
        <row r="17159">
          <cell r="A17159" t="str">
            <v>GPO SERVYRE</v>
          </cell>
          <cell r="J17159">
            <v>0</v>
          </cell>
        </row>
        <row r="17160">
          <cell r="A17160" t="str">
            <v>GPO SERVYRE</v>
          </cell>
          <cell r="J17160">
            <v>0</v>
          </cell>
        </row>
        <row r="17161">
          <cell r="A17161" t="str">
            <v>GPO SERVYRE</v>
          </cell>
          <cell r="J17161">
            <v>0</v>
          </cell>
        </row>
        <row r="17162">
          <cell r="A17162" t="str">
            <v>GPO SERVYRE</v>
          </cell>
          <cell r="J17162">
            <v>0</v>
          </cell>
        </row>
        <row r="17163">
          <cell r="A17163" t="str">
            <v>GPO SERVYRE</v>
          </cell>
          <cell r="J17163">
            <v>0</v>
          </cell>
        </row>
        <row r="17164">
          <cell r="A17164" t="str">
            <v>GPO SERVYRE</v>
          </cell>
          <cell r="J17164">
            <v>0</v>
          </cell>
        </row>
        <row r="17165">
          <cell r="A17165" t="str">
            <v>GPO SERVYRE</v>
          </cell>
          <cell r="J17165">
            <v>0</v>
          </cell>
        </row>
        <row r="17166">
          <cell r="A17166" t="str">
            <v>GPO SERVYRE</v>
          </cell>
          <cell r="J17166">
            <v>0</v>
          </cell>
        </row>
        <row r="17167">
          <cell r="A17167" t="str">
            <v>GPO SERVYRE</v>
          </cell>
          <cell r="J17167">
            <v>0</v>
          </cell>
        </row>
        <row r="17168">
          <cell r="A17168" t="str">
            <v>GPO SERVYRE</v>
          </cell>
          <cell r="J17168">
            <v>0</v>
          </cell>
        </row>
        <row r="17169">
          <cell r="A17169" t="str">
            <v>GPO SERVYRE</v>
          </cell>
          <cell r="J17169">
            <v>0</v>
          </cell>
        </row>
        <row r="17170">
          <cell r="A17170" t="str">
            <v>GPO SERVYRE</v>
          </cell>
          <cell r="J17170">
            <v>0</v>
          </cell>
        </row>
        <row r="17171">
          <cell r="A17171" t="str">
            <v>GPO SERVYRE</v>
          </cell>
          <cell r="J17171">
            <v>0</v>
          </cell>
        </row>
        <row r="17172">
          <cell r="A17172" t="str">
            <v>GPO SERVYRE</v>
          </cell>
          <cell r="J17172">
            <v>0</v>
          </cell>
        </row>
        <row r="17173">
          <cell r="A17173" t="str">
            <v>GPO SERVYRE</v>
          </cell>
          <cell r="J17173">
            <v>0</v>
          </cell>
        </row>
        <row r="17174">
          <cell r="A17174" t="str">
            <v>GPO SERVYRE</v>
          </cell>
          <cell r="J17174">
            <v>0</v>
          </cell>
        </row>
        <row r="17175">
          <cell r="A17175" t="str">
            <v>GPO SERVYRE</v>
          </cell>
          <cell r="J17175">
            <v>0</v>
          </cell>
        </row>
        <row r="17176">
          <cell r="A17176" t="str">
            <v>GPO SERVYRE</v>
          </cell>
          <cell r="J17176">
            <v>0</v>
          </cell>
        </row>
        <row r="17177">
          <cell r="A17177" t="str">
            <v>GPO SERVYRE</v>
          </cell>
          <cell r="J17177">
            <v>0</v>
          </cell>
        </row>
        <row r="17178">
          <cell r="A17178" t="str">
            <v>GPO SERVYRE</v>
          </cell>
          <cell r="J17178">
            <v>0</v>
          </cell>
        </row>
        <row r="17179">
          <cell r="A17179" t="str">
            <v>GPO SERVYRE</v>
          </cell>
          <cell r="J17179">
            <v>0</v>
          </cell>
        </row>
        <row r="17180">
          <cell r="A17180" t="str">
            <v>GPO SERVYRE</v>
          </cell>
          <cell r="J17180">
            <v>0</v>
          </cell>
        </row>
        <row r="17181">
          <cell r="A17181" t="str">
            <v>GPO SERVYRE</v>
          </cell>
          <cell r="J17181">
            <v>0</v>
          </cell>
        </row>
        <row r="17182">
          <cell r="A17182" t="str">
            <v>GPO SERVYRE</v>
          </cell>
          <cell r="J17182">
            <v>0</v>
          </cell>
        </row>
        <row r="17183">
          <cell r="A17183" t="str">
            <v>GPO SERVYRE</v>
          </cell>
          <cell r="J17183">
            <v>0</v>
          </cell>
        </row>
        <row r="17184">
          <cell r="A17184" t="str">
            <v>GPO SERVYRE</v>
          </cell>
          <cell r="J17184">
            <v>0</v>
          </cell>
        </row>
        <row r="17185">
          <cell r="A17185" t="str">
            <v>GPO SERVYRE</v>
          </cell>
          <cell r="J17185">
            <v>0</v>
          </cell>
        </row>
        <row r="17186">
          <cell r="A17186" t="str">
            <v>GPO SERVYRE</v>
          </cell>
          <cell r="J17186">
            <v>0</v>
          </cell>
        </row>
        <row r="17187">
          <cell r="A17187" t="str">
            <v>GPO SERVYRE</v>
          </cell>
          <cell r="J17187">
            <v>0</v>
          </cell>
        </row>
        <row r="17188">
          <cell r="A17188" t="str">
            <v>GPO SERVYRE</v>
          </cell>
          <cell r="J17188">
            <v>0</v>
          </cell>
        </row>
        <row r="17189">
          <cell r="A17189" t="str">
            <v>GPO SERVYRE</v>
          </cell>
          <cell r="J17189">
            <v>0</v>
          </cell>
        </row>
        <row r="17190">
          <cell r="A17190" t="str">
            <v>GPO SERVYRE</v>
          </cell>
          <cell r="J17190">
            <v>0</v>
          </cell>
        </row>
        <row r="17191">
          <cell r="A17191" t="str">
            <v>GPO SERVYRE</v>
          </cell>
          <cell r="J17191">
            <v>0</v>
          </cell>
        </row>
        <row r="17192">
          <cell r="A17192" t="str">
            <v>GPO SERVYRE</v>
          </cell>
          <cell r="J17192">
            <v>0</v>
          </cell>
        </row>
        <row r="17193">
          <cell r="A17193" t="str">
            <v>GPO SERVYRE</v>
          </cell>
          <cell r="J17193">
            <v>0</v>
          </cell>
        </row>
        <row r="17194">
          <cell r="A17194" t="str">
            <v>GPO SERVYRE</v>
          </cell>
          <cell r="J17194">
            <v>0</v>
          </cell>
        </row>
        <row r="17195">
          <cell r="A17195" t="str">
            <v>GPO SERVYRE</v>
          </cell>
          <cell r="J17195">
            <v>0</v>
          </cell>
        </row>
        <row r="17196">
          <cell r="A17196" t="str">
            <v>GPO SERVYRE</v>
          </cell>
          <cell r="J17196">
            <v>0</v>
          </cell>
        </row>
        <row r="17197">
          <cell r="A17197" t="str">
            <v>GPO SERVYRE</v>
          </cell>
          <cell r="J17197">
            <v>0</v>
          </cell>
        </row>
        <row r="17198">
          <cell r="A17198" t="str">
            <v>GPO SERVYRE</v>
          </cell>
          <cell r="J17198">
            <v>0</v>
          </cell>
        </row>
        <row r="17199">
          <cell r="A17199" t="str">
            <v>GPO SERVYRE</v>
          </cell>
          <cell r="J17199">
            <v>0</v>
          </cell>
        </row>
        <row r="17200">
          <cell r="A17200" t="str">
            <v>GPO SERVYRE</v>
          </cell>
          <cell r="J17200">
            <v>0</v>
          </cell>
        </row>
        <row r="17201">
          <cell r="A17201" t="str">
            <v>GPO SERVYRE</v>
          </cell>
          <cell r="J17201">
            <v>0</v>
          </cell>
        </row>
        <row r="17202">
          <cell r="A17202" t="str">
            <v>GPO SERVYRE</v>
          </cell>
          <cell r="J17202">
            <v>0</v>
          </cell>
        </row>
        <row r="17203">
          <cell r="A17203" t="str">
            <v>GPO SERVYRE</v>
          </cell>
          <cell r="J17203">
            <v>0</v>
          </cell>
        </row>
        <row r="17204">
          <cell r="A17204" t="str">
            <v>GPO SERVYRE</v>
          </cell>
          <cell r="J17204">
            <v>0</v>
          </cell>
        </row>
        <row r="17205">
          <cell r="A17205" t="str">
            <v>GPO SERVYRE</v>
          </cell>
          <cell r="J17205">
            <v>0</v>
          </cell>
        </row>
        <row r="17206">
          <cell r="A17206" t="str">
            <v>GPO SERVYRE</v>
          </cell>
          <cell r="J17206">
            <v>0</v>
          </cell>
        </row>
        <row r="17207">
          <cell r="A17207" t="str">
            <v>GPO SERVYRE</v>
          </cell>
          <cell r="J17207">
            <v>0</v>
          </cell>
        </row>
        <row r="17208">
          <cell r="A17208" t="str">
            <v>GPO SERVYRE</v>
          </cell>
          <cell r="J17208">
            <v>0</v>
          </cell>
        </row>
        <row r="17209">
          <cell r="A17209" t="str">
            <v>GPO SERVYRE</v>
          </cell>
          <cell r="J17209">
            <v>0</v>
          </cell>
        </row>
        <row r="17210">
          <cell r="A17210" t="str">
            <v>GPO SERVYRE</v>
          </cell>
          <cell r="J17210">
            <v>0</v>
          </cell>
        </row>
        <row r="17211">
          <cell r="A17211" t="str">
            <v>GPO SERVYRE</v>
          </cell>
          <cell r="J17211">
            <v>0</v>
          </cell>
        </row>
        <row r="17212">
          <cell r="A17212" t="str">
            <v>GPO SERVYRE</v>
          </cell>
          <cell r="J17212">
            <v>0</v>
          </cell>
        </row>
        <row r="17213">
          <cell r="A17213" t="str">
            <v>GPO SERVYRE</v>
          </cell>
          <cell r="J17213">
            <v>0</v>
          </cell>
        </row>
        <row r="17214">
          <cell r="A17214" t="str">
            <v>GPO SERVYRE</v>
          </cell>
          <cell r="J17214">
            <v>0</v>
          </cell>
        </row>
        <row r="17215">
          <cell r="A17215" t="str">
            <v>GPO SERVYRE</v>
          </cell>
          <cell r="J17215">
            <v>0</v>
          </cell>
        </row>
        <row r="17216">
          <cell r="A17216" t="str">
            <v>GPO SERVYRE</v>
          </cell>
          <cell r="J17216">
            <v>0</v>
          </cell>
        </row>
        <row r="17217">
          <cell r="A17217" t="str">
            <v>GPO SERVYRE</v>
          </cell>
          <cell r="J17217">
            <v>0</v>
          </cell>
        </row>
        <row r="17218">
          <cell r="A17218" t="str">
            <v>GPO SERVYRE</v>
          </cell>
          <cell r="J17218">
            <v>0</v>
          </cell>
        </row>
        <row r="17219">
          <cell r="A17219" t="str">
            <v>GPO SERVYRE</v>
          </cell>
          <cell r="J17219">
            <v>0</v>
          </cell>
        </row>
        <row r="17220">
          <cell r="A17220" t="str">
            <v>GPO SERVYRE</v>
          </cell>
          <cell r="J17220">
            <v>0</v>
          </cell>
        </row>
        <row r="17221">
          <cell r="A17221" t="str">
            <v>GPO SERVYRE</v>
          </cell>
          <cell r="J17221">
            <v>0</v>
          </cell>
        </row>
        <row r="17222">
          <cell r="A17222" t="str">
            <v>GPO SERVYRE</v>
          </cell>
          <cell r="J17222">
            <v>0</v>
          </cell>
        </row>
        <row r="17223">
          <cell r="A17223" t="str">
            <v>GPO SERVYRE</v>
          </cell>
          <cell r="J17223">
            <v>0</v>
          </cell>
        </row>
        <row r="17224">
          <cell r="A17224" t="str">
            <v>GPO SERVYRE</v>
          </cell>
          <cell r="J17224">
            <v>0</v>
          </cell>
        </row>
        <row r="17225">
          <cell r="A17225" t="str">
            <v>GPO SERVYRE</v>
          </cell>
          <cell r="J17225">
            <v>0</v>
          </cell>
        </row>
        <row r="17226">
          <cell r="A17226" t="str">
            <v>GPO SERVYRE</v>
          </cell>
          <cell r="J17226">
            <v>0</v>
          </cell>
        </row>
        <row r="17227">
          <cell r="A17227" t="str">
            <v>GPO SERVYRE</v>
          </cell>
          <cell r="J17227">
            <v>0</v>
          </cell>
        </row>
        <row r="17228">
          <cell r="A17228" t="str">
            <v>GPO SERVYRE</v>
          </cell>
          <cell r="J17228">
            <v>0</v>
          </cell>
        </row>
        <row r="17229">
          <cell r="A17229" t="str">
            <v>GPO SERVYRE</v>
          </cell>
          <cell r="J17229">
            <v>0</v>
          </cell>
        </row>
        <row r="17230">
          <cell r="A17230" t="str">
            <v>GPO SERVYRE</v>
          </cell>
          <cell r="J17230">
            <v>0</v>
          </cell>
        </row>
        <row r="17231">
          <cell r="A17231" t="str">
            <v>GPO SERVYRE</v>
          </cell>
          <cell r="J17231">
            <v>0</v>
          </cell>
        </row>
        <row r="17232">
          <cell r="A17232" t="str">
            <v>GPO SERVYRE</v>
          </cell>
          <cell r="J17232">
            <v>0</v>
          </cell>
        </row>
        <row r="17233">
          <cell r="A17233" t="str">
            <v>GPO SERVYRE</v>
          </cell>
          <cell r="J17233">
            <v>0</v>
          </cell>
        </row>
        <row r="17234">
          <cell r="A17234" t="str">
            <v>GPO SERVYRE</v>
          </cell>
          <cell r="J17234">
            <v>0</v>
          </cell>
        </row>
        <row r="17235">
          <cell r="A17235" t="str">
            <v>GPO SERVYRE</v>
          </cell>
          <cell r="J17235">
            <v>0</v>
          </cell>
        </row>
        <row r="17236">
          <cell r="A17236" t="str">
            <v>GPO SERVYRE</v>
          </cell>
          <cell r="J17236">
            <v>0</v>
          </cell>
        </row>
        <row r="17237">
          <cell r="A17237" t="str">
            <v>GPO SERVYRE</v>
          </cell>
          <cell r="J17237">
            <v>0</v>
          </cell>
        </row>
        <row r="17238">
          <cell r="A17238" t="str">
            <v>GPO SERVYRE</v>
          </cell>
          <cell r="J17238">
            <v>0</v>
          </cell>
        </row>
        <row r="17239">
          <cell r="A17239" t="str">
            <v>GPO SERVYRE</v>
          </cell>
          <cell r="J17239">
            <v>0</v>
          </cell>
        </row>
        <row r="17240">
          <cell r="A17240" t="str">
            <v>GPO SERVYRE</v>
          </cell>
          <cell r="J17240">
            <v>0</v>
          </cell>
        </row>
        <row r="17241">
          <cell r="A17241" t="str">
            <v>GPO SERVYRE</v>
          </cell>
          <cell r="J17241">
            <v>0</v>
          </cell>
        </row>
        <row r="17242">
          <cell r="A17242" t="str">
            <v>GPO SERVYRE</v>
          </cell>
          <cell r="J17242">
            <v>0</v>
          </cell>
        </row>
        <row r="17243">
          <cell r="A17243" t="str">
            <v>GPO SERVYRE</v>
          </cell>
          <cell r="J17243">
            <v>0</v>
          </cell>
        </row>
        <row r="17244">
          <cell r="A17244" t="str">
            <v>GPO SERVYRE</v>
          </cell>
          <cell r="J17244">
            <v>0</v>
          </cell>
        </row>
        <row r="17245">
          <cell r="A17245" t="str">
            <v>GPO SERVYRE</v>
          </cell>
          <cell r="J17245">
            <v>0</v>
          </cell>
        </row>
        <row r="17246">
          <cell r="A17246" t="str">
            <v>GPO SERVYRE</v>
          </cell>
          <cell r="J17246">
            <v>0</v>
          </cell>
        </row>
        <row r="17247">
          <cell r="A17247" t="str">
            <v>GPO SERVYRE</v>
          </cell>
          <cell r="J17247">
            <v>0</v>
          </cell>
        </row>
        <row r="17248">
          <cell r="A17248" t="str">
            <v>GPO SERVYRE</v>
          </cell>
          <cell r="J17248">
            <v>0</v>
          </cell>
        </row>
        <row r="17249">
          <cell r="A17249" t="str">
            <v>GPO SERVYRE</v>
          </cell>
          <cell r="J17249">
            <v>0</v>
          </cell>
        </row>
        <row r="17250">
          <cell r="A17250" t="str">
            <v>GPO SERVYRE</v>
          </cell>
          <cell r="J17250">
            <v>0</v>
          </cell>
        </row>
        <row r="17251">
          <cell r="A17251" t="str">
            <v>GPO SERVYRE</v>
          </cell>
          <cell r="J17251">
            <v>0</v>
          </cell>
        </row>
        <row r="17252">
          <cell r="A17252" t="str">
            <v>GPO SERVYRE</v>
          </cell>
          <cell r="J17252">
            <v>0</v>
          </cell>
        </row>
        <row r="17253">
          <cell r="A17253" t="str">
            <v>GPO SERVYRE</v>
          </cell>
          <cell r="J17253">
            <v>0</v>
          </cell>
        </row>
        <row r="17254">
          <cell r="A17254" t="str">
            <v>GPO SERVYRE</v>
          </cell>
          <cell r="J17254">
            <v>0</v>
          </cell>
        </row>
        <row r="17255">
          <cell r="A17255" t="str">
            <v>GPO SERVYRE</v>
          </cell>
          <cell r="J17255">
            <v>0</v>
          </cell>
        </row>
        <row r="17256">
          <cell r="A17256" t="str">
            <v>GPO SERVYRE</v>
          </cell>
          <cell r="J17256">
            <v>0</v>
          </cell>
        </row>
        <row r="17257">
          <cell r="A17257" t="str">
            <v>GPO SERVYRE</v>
          </cell>
          <cell r="J17257">
            <v>0</v>
          </cell>
        </row>
        <row r="17258">
          <cell r="A17258" t="str">
            <v>GPO SERVYRE</v>
          </cell>
          <cell r="J17258">
            <v>0</v>
          </cell>
        </row>
        <row r="17259">
          <cell r="A17259" t="str">
            <v>GPO SERVYRE</v>
          </cell>
          <cell r="J17259">
            <v>0</v>
          </cell>
        </row>
        <row r="17260">
          <cell r="A17260" t="str">
            <v>GPO SERVYRE</v>
          </cell>
          <cell r="J17260">
            <v>0</v>
          </cell>
        </row>
        <row r="17261">
          <cell r="A17261" t="str">
            <v>GPO SERVYRE</v>
          </cell>
          <cell r="J17261">
            <v>0</v>
          </cell>
        </row>
        <row r="17262">
          <cell r="A17262" t="str">
            <v>GPO SERVYRE</v>
          </cell>
          <cell r="J17262">
            <v>0</v>
          </cell>
        </row>
        <row r="17263">
          <cell r="A17263" t="str">
            <v>GPO SERVYRE</v>
          </cell>
          <cell r="J17263">
            <v>0</v>
          </cell>
        </row>
        <row r="17264">
          <cell r="A17264" t="str">
            <v>GPO SERVYRE</v>
          </cell>
          <cell r="J17264">
            <v>0</v>
          </cell>
        </row>
        <row r="17265">
          <cell r="A17265" t="str">
            <v>GPO SERVYRE</v>
          </cell>
          <cell r="J17265">
            <v>0</v>
          </cell>
        </row>
        <row r="17266">
          <cell r="A17266" t="str">
            <v>GPO SERVYRE</v>
          </cell>
          <cell r="J17266">
            <v>0</v>
          </cell>
        </row>
        <row r="17267">
          <cell r="A17267" t="str">
            <v>GPO SERVYRE</v>
          </cell>
          <cell r="J17267">
            <v>0</v>
          </cell>
        </row>
        <row r="17268">
          <cell r="A17268" t="str">
            <v>GPO SERVYRE</v>
          </cell>
          <cell r="J17268">
            <v>0</v>
          </cell>
        </row>
        <row r="17269">
          <cell r="A17269" t="str">
            <v>GPO SERVYRE</v>
          </cell>
          <cell r="J17269">
            <v>0</v>
          </cell>
        </row>
        <row r="17270">
          <cell r="A17270" t="str">
            <v>GPO SERVYRE</v>
          </cell>
          <cell r="J17270">
            <v>0</v>
          </cell>
        </row>
        <row r="17271">
          <cell r="A17271" t="str">
            <v>GPO SERVYRE</v>
          </cell>
          <cell r="J17271">
            <v>0</v>
          </cell>
        </row>
        <row r="17272">
          <cell r="A17272" t="str">
            <v>GPO SERVYRE</v>
          </cell>
          <cell r="J17272">
            <v>0</v>
          </cell>
        </row>
        <row r="17273">
          <cell r="A17273" t="str">
            <v>GPO SERVYRE</v>
          </cell>
          <cell r="J17273">
            <v>0</v>
          </cell>
        </row>
        <row r="17274">
          <cell r="A17274" t="str">
            <v>GPO SERVYRE</v>
          </cell>
          <cell r="J17274">
            <v>0</v>
          </cell>
        </row>
        <row r="17275">
          <cell r="A17275" t="str">
            <v>GPO SERVYRE</v>
          </cell>
          <cell r="J17275">
            <v>0</v>
          </cell>
        </row>
        <row r="17276">
          <cell r="A17276" t="str">
            <v>GPO SERVYRE</v>
          </cell>
          <cell r="J17276">
            <v>0</v>
          </cell>
        </row>
        <row r="17277">
          <cell r="A17277" t="str">
            <v>GPO SERVYRE</v>
          </cell>
          <cell r="J17277">
            <v>0</v>
          </cell>
        </row>
        <row r="17278">
          <cell r="A17278" t="str">
            <v>GPO SERVYRE</v>
          </cell>
          <cell r="J17278">
            <v>0</v>
          </cell>
        </row>
        <row r="17279">
          <cell r="A17279" t="str">
            <v>GPO SERVYRE</v>
          </cell>
          <cell r="J17279">
            <v>0</v>
          </cell>
        </row>
        <row r="17280">
          <cell r="A17280" t="str">
            <v>GPO SERVYRE</v>
          </cell>
          <cell r="J17280">
            <v>0</v>
          </cell>
        </row>
        <row r="17281">
          <cell r="A17281" t="str">
            <v>GPO SERVYRE</v>
          </cell>
          <cell r="J17281">
            <v>0</v>
          </cell>
        </row>
        <row r="17282">
          <cell r="A17282" t="str">
            <v>GPO SERVYRE</v>
          </cell>
          <cell r="J17282">
            <v>0</v>
          </cell>
        </row>
        <row r="17283">
          <cell r="A17283" t="str">
            <v>GPO SERVYRE</v>
          </cell>
          <cell r="J17283">
            <v>0</v>
          </cell>
        </row>
        <row r="17284">
          <cell r="A17284" t="str">
            <v>GPO SERVYRE</v>
          </cell>
          <cell r="J17284">
            <v>0</v>
          </cell>
        </row>
        <row r="17285">
          <cell r="A17285" t="str">
            <v>GPO SERVYRE</v>
          </cell>
          <cell r="J17285">
            <v>0</v>
          </cell>
        </row>
        <row r="17286">
          <cell r="A17286" t="str">
            <v>GPO SERVYRE</v>
          </cell>
          <cell r="J17286">
            <v>0</v>
          </cell>
        </row>
        <row r="17287">
          <cell r="A17287" t="str">
            <v>GPO SERVYRE</v>
          </cell>
          <cell r="J17287">
            <v>0</v>
          </cell>
        </row>
        <row r="17288">
          <cell r="A17288" t="str">
            <v>GPO SERVYRE</v>
          </cell>
          <cell r="J17288">
            <v>0</v>
          </cell>
        </row>
        <row r="17289">
          <cell r="A17289" t="str">
            <v>GPO SERVYRE</v>
          </cell>
          <cell r="J17289">
            <v>0</v>
          </cell>
        </row>
        <row r="17290">
          <cell r="A17290" t="str">
            <v>GPO SERVYRE</v>
          </cell>
          <cell r="J17290">
            <v>0</v>
          </cell>
        </row>
        <row r="17291">
          <cell r="A17291" t="str">
            <v>GPO SERVYRE</v>
          </cell>
          <cell r="J17291">
            <v>0</v>
          </cell>
        </row>
        <row r="17292">
          <cell r="A17292" t="str">
            <v>GPO SERVYRE</v>
          </cell>
          <cell r="J17292">
            <v>0</v>
          </cell>
        </row>
        <row r="17293">
          <cell r="A17293" t="str">
            <v>GPO SERVYRE</v>
          </cell>
          <cell r="J17293">
            <v>0</v>
          </cell>
        </row>
        <row r="17294">
          <cell r="A17294" t="str">
            <v>GPO SERVYRE</v>
          </cell>
          <cell r="J17294">
            <v>0</v>
          </cell>
        </row>
        <row r="17295">
          <cell r="A17295" t="str">
            <v>GPO SERVYRE</v>
          </cell>
          <cell r="J17295">
            <v>0</v>
          </cell>
        </row>
        <row r="17296">
          <cell r="A17296" t="str">
            <v>GPO SERVYRE</v>
          </cell>
          <cell r="J17296">
            <v>0</v>
          </cell>
        </row>
        <row r="17297">
          <cell r="A17297" t="str">
            <v>GPO SERVYRE</v>
          </cell>
          <cell r="J17297">
            <v>0</v>
          </cell>
        </row>
        <row r="17298">
          <cell r="A17298" t="str">
            <v>GPO SERVYRE</v>
          </cell>
          <cell r="J17298">
            <v>0</v>
          </cell>
        </row>
        <row r="17299">
          <cell r="A17299" t="str">
            <v>GPO SERVYRE</v>
          </cell>
          <cell r="J17299">
            <v>0</v>
          </cell>
        </row>
        <row r="17300">
          <cell r="A17300" t="str">
            <v>GPO SERVYRE</v>
          </cell>
          <cell r="J17300">
            <v>0</v>
          </cell>
        </row>
        <row r="17301">
          <cell r="A17301" t="str">
            <v>GPO SERVYRE</v>
          </cell>
          <cell r="J17301">
            <v>0</v>
          </cell>
        </row>
        <row r="17302">
          <cell r="A17302" t="str">
            <v>GPO SERVYRE</v>
          </cell>
          <cell r="J17302">
            <v>0</v>
          </cell>
        </row>
        <row r="17303">
          <cell r="A17303" t="str">
            <v>GPO SERVYRE</v>
          </cell>
          <cell r="J17303">
            <v>0</v>
          </cell>
        </row>
        <row r="17304">
          <cell r="A17304" t="str">
            <v>GPO SERVYRE</v>
          </cell>
          <cell r="J17304">
            <v>0</v>
          </cell>
        </row>
        <row r="17305">
          <cell r="A17305" t="str">
            <v>GPO SERVYRE</v>
          </cell>
          <cell r="J17305">
            <v>0</v>
          </cell>
        </row>
        <row r="17306">
          <cell r="A17306" t="str">
            <v>GPO SERVYRE</v>
          </cell>
          <cell r="J17306">
            <v>0</v>
          </cell>
        </row>
        <row r="17307">
          <cell r="A17307" t="str">
            <v>GPO SERVYRE</v>
          </cell>
          <cell r="J17307">
            <v>0</v>
          </cell>
        </row>
        <row r="17308">
          <cell r="A17308" t="str">
            <v>GPO SERVYRE</v>
          </cell>
          <cell r="J17308">
            <v>0</v>
          </cell>
        </row>
        <row r="17309">
          <cell r="A17309" t="str">
            <v>GPO SERVYRE</v>
          </cell>
          <cell r="J17309">
            <v>0</v>
          </cell>
        </row>
        <row r="17310">
          <cell r="A17310" t="str">
            <v>GPO SERVYRE</v>
          </cell>
          <cell r="J17310">
            <v>0</v>
          </cell>
        </row>
        <row r="17311">
          <cell r="A17311" t="str">
            <v>GPO SERVYRE</v>
          </cell>
          <cell r="J17311">
            <v>0</v>
          </cell>
        </row>
        <row r="17312">
          <cell r="A17312" t="str">
            <v>GPO SERVYRE</v>
          </cell>
          <cell r="J17312">
            <v>0</v>
          </cell>
        </row>
        <row r="17313">
          <cell r="A17313" t="str">
            <v>GPO SERVYRE</v>
          </cell>
          <cell r="J17313">
            <v>0</v>
          </cell>
        </row>
        <row r="17314">
          <cell r="A17314" t="str">
            <v>GPO SERVYRE</v>
          </cell>
          <cell r="J17314">
            <v>0</v>
          </cell>
        </row>
        <row r="17315">
          <cell r="A17315" t="str">
            <v>GPO SERVYRE</v>
          </cell>
          <cell r="J17315">
            <v>0</v>
          </cell>
        </row>
        <row r="17316">
          <cell r="A17316" t="str">
            <v>GPO SERVYRE</v>
          </cell>
          <cell r="J17316">
            <v>0</v>
          </cell>
        </row>
        <row r="17317">
          <cell r="A17317" t="str">
            <v>GPO SERVYRE</v>
          </cell>
          <cell r="J17317">
            <v>0</v>
          </cell>
        </row>
        <row r="17318">
          <cell r="A17318" t="str">
            <v>GPO SERVYRE</v>
          </cell>
          <cell r="J17318">
            <v>0</v>
          </cell>
        </row>
        <row r="17319">
          <cell r="A17319" t="str">
            <v>GPO SERVYRE</v>
          </cell>
          <cell r="J17319">
            <v>0</v>
          </cell>
        </row>
        <row r="17320">
          <cell r="A17320" t="str">
            <v>GPO SERVYRE</v>
          </cell>
          <cell r="J17320">
            <v>0</v>
          </cell>
        </row>
        <row r="17321">
          <cell r="A17321" t="str">
            <v>GPO SERVYRE</v>
          </cell>
          <cell r="J17321">
            <v>0</v>
          </cell>
        </row>
        <row r="17322">
          <cell r="A17322" t="str">
            <v>GPO SERVYRE</v>
          </cell>
          <cell r="J17322">
            <v>0</v>
          </cell>
        </row>
        <row r="17323">
          <cell r="A17323" t="str">
            <v>GPO SERVYRE</v>
          </cell>
          <cell r="J17323">
            <v>0</v>
          </cell>
        </row>
        <row r="17324">
          <cell r="A17324" t="str">
            <v>GPO SERVYRE</v>
          </cell>
          <cell r="J17324">
            <v>0</v>
          </cell>
        </row>
        <row r="17325">
          <cell r="A17325" t="str">
            <v>GPO SERVYRE</v>
          </cell>
          <cell r="J17325">
            <v>0</v>
          </cell>
        </row>
        <row r="17326">
          <cell r="A17326" t="str">
            <v>GPO SERVYRE</v>
          </cell>
          <cell r="J17326">
            <v>0</v>
          </cell>
        </row>
        <row r="17327">
          <cell r="A17327" t="str">
            <v>GPO SERVYRE</v>
          </cell>
          <cell r="J17327">
            <v>0</v>
          </cell>
        </row>
        <row r="17328">
          <cell r="A17328" t="str">
            <v>GPO SERVYRE</v>
          </cell>
          <cell r="J17328">
            <v>0</v>
          </cell>
        </row>
        <row r="17329">
          <cell r="A17329" t="str">
            <v>GPO SERVYRE</v>
          </cell>
          <cell r="J17329">
            <v>0</v>
          </cell>
        </row>
        <row r="17330">
          <cell r="A17330" t="str">
            <v>GPO SERVYRE</v>
          </cell>
          <cell r="J17330">
            <v>0</v>
          </cell>
        </row>
        <row r="17331">
          <cell r="A17331" t="str">
            <v>GPO SERVYRE</v>
          </cell>
          <cell r="J17331">
            <v>0</v>
          </cell>
        </row>
        <row r="17332">
          <cell r="A17332" t="str">
            <v>GPO SERVYRE</v>
          </cell>
          <cell r="J17332">
            <v>0</v>
          </cell>
        </row>
        <row r="17333">
          <cell r="A17333" t="str">
            <v>GPO SERVYRE</v>
          </cell>
          <cell r="J17333">
            <v>0</v>
          </cell>
        </row>
        <row r="17334">
          <cell r="A17334" t="str">
            <v>GPO SERVYRE</v>
          </cell>
          <cell r="J17334">
            <v>0</v>
          </cell>
        </row>
        <row r="17335">
          <cell r="A17335" t="str">
            <v>GPO SERVYRE</v>
          </cell>
          <cell r="J17335">
            <v>0</v>
          </cell>
        </row>
        <row r="17336">
          <cell r="A17336" t="str">
            <v>GPO SERVYRE</v>
          </cell>
          <cell r="J17336">
            <v>0</v>
          </cell>
        </row>
        <row r="17337">
          <cell r="A17337" t="str">
            <v>GPO SERVYRE</v>
          </cell>
          <cell r="J17337">
            <v>0</v>
          </cell>
        </row>
        <row r="17338">
          <cell r="A17338" t="str">
            <v>GPO SERVYRE</v>
          </cell>
          <cell r="J17338">
            <v>0</v>
          </cell>
        </row>
        <row r="17339">
          <cell r="A17339" t="str">
            <v>GPO SERVYRE</v>
          </cell>
          <cell r="J17339">
            <v>0</v>
          </cell>
        </row>
        <row r="17340">
          <cell r="A17340" t="str">
            <v>GPO SERVYRE</v>
          </cell>
          <cell r="J17340">
            <v>0</v>
          </cell>
        </row>
        <row r="17341">
          <cell r="A17341" t="str">
            <v>GPO SERVYRE</v>
          </cell>
          <cell r="J17341">
            <v>0</v>
          </cell>
        </row>
        <row r="17342">
          <cell r="A17342" t="str">
            <v>GPO SERVYRE</v>
          </cell>
          <cell r="J17342">
            <v>0</v>
          </cell>
        </row>
        <row r="17343">
          <cell r="A17343" t="str">
            <v>GPO SERVYRE</v>
          </cell>
          <cell r="J17343">
            <v>0</v>
          </cell>
        </row>
        <row r="17344">
          <cell r="A17344" t="str">
            <v>GPO SERVYRE</v>
          </cell>
          <cell r="J17344">
            <v>0</v>
          </cell>
        </row>
        <row r="17345">
          <cell r="A17345" t="str">
            <v>GPO SERVYRE</v>
          </cell>
          <cell r="J17345">
            <v>0</v>
          </cell>
        </row>
        <row r="17346">
          <cell r="A17346" t="str">
            <v>GPO SERVYRE</v>
          </cell>
          <cell r="J17346">
            <v>0</v>
          </cell>
        </row>
        <row r="17347">
          <cell r="A17347" t="str">
            <v>GPO SERVYRE</v>
          </cell>
          <cell r="J17347">
            <v>0</v>
          </cell>
        </row>
        <row r="17348">
          <cell r="A17348" t="str">
            <v>GPO SERVYRE</v>
          </cell>
          <cell r="J17348">
            <v>0</v>
          </cell>
        </row>
        <row r="17349">
          <cell r="A17349" t="str">
            <v>GPO SERVYRE</v>
          </cell>
          <cell r="J17349">
            <v>0</v>
          </cell>
        </row>
        <row r="17350">
          <cell r="A17350" t="str">
            <v>GPO SERVYRE</v>
          </cell>
          <cell r="J17350">
            <v>0</v>
          </cell>
        </row>
        <row r="17351">
          <cell r="A17351" t="str">
            <v>GPO SERVYRE</v>
          </cell>
          <cell r="J17351">
            <v>0</v>
          </cell>
        </row>
        <row r="17352">
          <cell r="A17352" t="str">
            <v>GPO SERVYRE</v>
          </cell>
          <cell r="J17352">
            <v>0</v>
          </cell>
        </row>
        <row r="17353">
          <cell r="A17353" t="str">
            <v>GPO SERVYRE</v>
          </cell>
          <cell r="J17353">
            <v>0</v>
          </cell>
        </row>
        <row r="17354">
          <cell r="A17354" t="str">
            <v>GPO SERVYRE</v>
          </cell>
          <cell r="J17354">
            <v>0</v>
          </cell>
        </row>
        <row r="17355">
          <cell r="A17355" t="str">
            <v>GPO SERVYRE</v>
          </cell>
          <cell r="J17355">
            <v>0</v>
          </cell>
        </row>
        <row r="17356">
          <cell r="A17356" t="str">
            <v>GPO SERVYRE</v>
          </cell>
          <cell r="J17356">
            <v>0</v>
          </cell>
        </row>
        <row r="17357">
          <cell r="A17357" t="str">
            <v>GPO SERVYRE</v>
          </cell>
          <cell r="J17357">
            <v>0</v>
          </cell>
        </row>
        <row r="17358">
          <cell r="A17358" t="str">
            <v>GPO SERVYRE</v>
          </cell>
          <cell r="J17358">
            <v>0</v>
          </cell>
        </row>
        <row r="17359">
          <cell r="A17359" t="str">
            <v>GPO SERVYRE</v>
          </cell>
          <cell r="J17359">
            <v>0</v>
          </cell>
        </row>
        <row r="17360">
          <cell r="A17360" t="str">
            <v>GPO SERVYRE</v>
          </cell>
          <cell r="J17360">
            <v>0</v>
          </cell>
        </row>
        <row r="17361">
          <cell r="A17361" t="str">
            <v>GPO SERVYRE</v>
          </cell>
          <cell r="J17361">
            <v>0</v>
          </cell>
        </row>
        <row r="17362">
          <cell r="A17362" t="str">
            <v>GPO SERVYRE</v>
          </cell>
          <cell r="J17362">
            <v>0</v>
          </cell>
        </row>
        <row r="17363">
          <cell r="A17363" t="str">
            <v>GPO SERVYRE</v>
          </cell>
          <cell r="J17363">
            <v>0</v>
          </cell>
        </row>
        <row r="17364">
          <cell r="A17364" t="str">
            <v>GPO SERVYRE</v>
          </cell>
          <cell r="J17364">
            <v>0</v>
          </cell>
        </row>
        <row r="17365">
          <cell r="A17365" t="str">
            <v>GPO SERVYRE</v>
          </cell>
          <cell r="J17365">
            <v>0</v>
          </cell>
        </row>
        <row r="17366">
          <cell r="A17366" t="str">
            <v>GPO SERVYRE</v>
          </cell>
          <cell r="J17366">
            <v>0</v>
          </cell>
        </row>
        <row r="17367">
          <cell r="A17367" t="str">
            <v>GPO SERVYRE</v>
          </cell>
          <cell r="J17367">
            <v>0</v>
          </cell>
        </row>
        <row r="17368">
          <cell r="A17368" t="str">
            <v>GPO SERVYRE</v>
          </cell>
          <cell r="J17368">
            <v>0</v>
          </cell>
        </row>
        <row r="17369">
          <cell r="A17369" t="str">
            <v>GPO SERVYRE</v>
          </cell>
          <cell r="J17369">
            <v>0</v>
          </cell>
        </row>
        <row r="17370">
          <cell r="A17370" t="str">
            <v>GPO SERVYRE</v>
          </cell>
          <cell r="J17370">
            <v>0</v>
          </cell>
        </row>
        <row r="17371">
          <cell r="A17371" t="str">
            <v>GPO SERVYRE</v>
          </cell>
          <cell r="J17371">
            <v>0</v>
          </cell>
        </row>
        <row r="17372">
          <cell r="A17372" t="str">
            <v>GPO SERVYRE</v>
          </cell>
          <cell r="J17372">
            <v>0</v>
          </cell>
        </row>
        <row r="17373">
          <cell r="A17373" t="str">
            <v>GPO SERVYRE</v>
          </cell>
          <cell r="J17373">
            <v>0</v>
          </cell>
        </row>
        <row r="17374">
          <cell r="A17374" t="str">
            <v>GPO SERVYRE</v>
          </cell>
          <cell r="J17374">
            <v>0</v>
          </cell>
        </row>
        <row r="17375">
          <cell r="A17375" t="str">
            <v>GPO SERVYRE</v>
          </cell>
          <cell r="J17375">
            <v>0</v>
          </cell>
        </row>
        <row r="17376">
          <cell r="A17376" t="str">
            <v>GPO SERVYRE</v>
          </cell>
          <cell r="J17376">
            <v>0</v>
          </cell>
        </row>
        <row r="17377">
          <cell r="A17377" t="str">
            <v>GPO SERVYRE</v>
          </cell>
          <cell r="J17377">
            <v>0</v>
          </cell>
        </row>
        <row r="17378">
          <cell r="A17378" t="str">
            <v>GPO SERVYRE</v>
          </cell>
          <cell r="J17378">
            <v>0</v>
          </cell>
        </row>
        <row r="17379">
          <cell r="A17379" t="str">
            <v>GPO SERVYRE</v>
          </cell>
          <cell r="J17379">
            <v>0</v>
          </cell>
        </row>
        <row r="17380">
          <cell r="A17380" t="str">
            <v>GPO SERVYRE</v>
          </cell>
          <cell r="J17380">
            <v>0</v>
          </cell>
        </row>
        <row r="17381">
          <cell r="A17381" t="str">
            <v>GPO SERVYRE</v>
          </cell>
          <cell r="J17381">
            <v>0</v>
          </cell>
        </row>
        <row r="17382">
          <cell r="A17382" t="str">
            <v>GPO SERVYRE</v>
          </cell>
          <cell r="J17382">
            <v>0</v>
          </cell>
        </row>
        <row r="17383">
          <cell r="A17383" t="str">
            <v>GPO SERVYRE</v>
          </cell>
          <cell r="J17383">
            <v>0</v>
          </cell>
        </row>
        <row r="17384">
          <cell r="A17384" t="str">
            <v>GPO SERVYRE</v>
          </cell>
          <cell r="J17384">
            <v>0</v>
          </cell>
        </row>
        <row r="17385">
          <cell r="A17385" t="str">
            <v>GPO SERVYRE</v>
          </cell>
          <cell r="J17385">
            <v>0</v>
          </cell>
        </row>
        <row r="17386">
          <cell r="A17386" t="str">
            <v>GPO SERVYRE</v>
          </cell>
          <cell r="J17386">
            <v>0</v>
          </cell>
        </row>
        <row r="17387">
          <cell r="A17387" t="str">
            <v>GPO SERVYRE</v>
          </cell>
          <cell r="J17387">
            <v>0</v>
          </cell>
        </row>
        <row r="17388">
          <cell r="A17388" t="str">
            <v>GPO SERVYRE</v>
          </cell>
          <cell r="J17388">
            <v>0</v>
          </cell>
        </row>
        <row r="17389">
          <cell r="A17389" t="str">
            <v>GPO SERVYRE</v>
          </cell>
          <cell r="J17389">
            <v>0</v>
          </cell>
        </row>
        <row r="17390">
          <cell r="A17390" t="str">
            <v>GPO SERVYRE</v>
          </cell>
          <cell r="J17390">
            <v>0</v>
          </cell>
        </row>
        <row r="17391">
          <cell r="A17391" t="str">
            <v>GPO SERVYRE</v>
          </cell>
          <cell r="J17391">
            <v>0</v>
          </cell>
        </row>
        <row r="17392">
          <cell r="A17392" t="str">
            <v>GPO SERVYRE</v>
          </cell>
          <cell r="J17392">
            <v>0</v>
          </cell>
        </row>
        <row r="17393">
          <cell r="A17393" t="str">
            <v>GPO SERVYRE</v>
          </cell>
          <cell r="J17393">
            <v>0</v>
          </cell>
        </row>
        <row r="17394">
          <cell r="A17394" t="str">
            <v>GPO SERVYRE</v>
          </cell>
          <cell r="J17394">
            <v>0</v>
          </cell>
        </row>
        <row r="17395">
          <cell r="A17395" t="str">
            <v>GPO SERVYRE</v>
          </cell>
          <cell r="J17395">
            <v>0</v>
          </cell>
        </row>
        <row r="17396">
          <cell r="A17396" t="str">
            <v>GPO SERVYRE</v>
          </cell>
          <cell r="J17396">
            <v>0</v>
          </cell>
        </row>
        <row r="17397">
          <cell r="A17397" t="str">
            <v>GPO SERVYRE</v>
          </cell>
          <cell r="J17397">
            <v>0</v>
          </cell>
        </row>
        <row r="17398">
          <cell r="A17398" t="str">
            <v>GPO SERVYRE</v>
          </cell>
          <cell r="J17398">
            <v>0</v>
          </cell>
        </row>
        <row r="17399">
          <cell r="A17399" t="str">
            <v>GPO SERVYRE</v>
          </cell>
          <cell r="J17399">
            <v>0</v>
          </cell>
        </row>
        <row r="17400">
          <cell r="A17400" t="str">
            <v>GPO SERVYRE</v>
          </cell>
          <cell r="J17400">
            <v>0</v>
          </cell>
        </row>
        <row r="17401">
          <cell r="A17401" t="str">
            <v>GPO SERVYRE</v>
          </cell>
          <cell r="J17401">
            <v>0</v>
          </cell>
        </row>
        <row r="17402">
          <cell r="A17402" t="str">
            <v>GPO SERVYRE</v>
          </cell>
          <cell r="J17402">
            <v>0</v>
          </cell>
        </row>
        <row r="17403">
          <cell r="A17403" t="str">
            <v>GPO SERVYRE</v>
          </cell>
          <cell r="J17403">
            <v>0</v>
          </cell>
        </row>
        <row r="17404">
          <cell r="A17404" t="str">
            <v>GPO SERVYRE</v>
          </cell>
          <cell r="J17404">
            <v>0</v>
          </cell>
        </row>
        <row r="17405">
          <cell r="A17405" t="str">
            <v>GPO SERVYRE</v>
          </cell>
          <cell r="J17405">
            <v>0</v>
          </cell>
        </row>
        <row r="17406">
          <cell r="A17406" t="str">
            <v>GPO SERVYRE</v>
          </cell>
          <cell r="J17406">
            <v>0</v>
          </cell>
        </row>
        <row r="17407">
          <cell r="A17407" t="str">
            <v>GPO SERVYRE</v>
          </cell>
          <cell r="J17407">
            <v>0</v>
          </cell>
        </row>
        <row r="17408">
          <cell r="A17408" t="str">
            <v>GPO SERVYRE</v>
          </cell>
          <cell r="J17408">
            <v>0</v>
          </cell>
        </row>
        <row r="17409">
          <cell r="A17409" t="str">
            <v>GPO SERVYRE</v>
          </cell>
          <cell r="J17409">
            <v>0</v>
          </cell>
        </row>
        <row r="17410">
          <cell r="A17410" t="str">
            <v>GPO SERVYRE</v>
          </cell>
          <cell r="J17410">
            <v>0</v>
          </cell>
        </row>
        <row r="17411">
          <cell r="A17411" t="str">
            <v>GPO SERVYRE</v>
          </cell>
          <cell r="J17411">
            <v>0</v>
          </cell>
        </row>
        <row r="17412">
          <cell r="A17412" t="str">
            <v>GPO SERVYRE</v>
          </cell>
          <cell r="J17412">
            <v>0</v>
          </cell>
        </row>
        <row r="17413">
          <cell r="A17413" t="str">
            <v>GPO SERVYRE</v>
          </cell>
          <cell r="J17413">
            <v>0</v>
          </cell>
        </row>
        <row r="17414">
          <cell r="A17414" t="str">
            <v>GPO SERVYRE</v>
          </cell>
          <cell r="J17414">
            <v>0</v>
          </cell>
        </row>
        <row r="17415">
          <cell r="A17415" t="str">
            <v>GPO SERVYRE</v>
          </cell>
          <cell r="J17415">
            <v>0</v>
          </cell>
        </row>
        <row r="17416">
          <cell r="A17416" t="str">
            <v>GPO SERVYRE</v>
          </cell>
          <cell r="J17416">
            <v>0</v>
          </cell>
        </row>
        <row r="17417">
          <cell r="A17417" t="str">
            <v>GPO SERVYRE</v>
          </cell>
          <cell r="J17417">
            <v>0</v>
          </cell>
        </row>
        <row r="17418">
          <cell r="A17418" t="str">
            <v>GPO SERVYRE</v>
          </cell>
          <cell r="J17418">
            <v>0</v>
          </cell>
        </row>
        <row r="17419">
          <cell r="A17419" t="str">
            <v>GPO SERVYRE</v>
          </cell>
          <cell r="J17419">
            <v>0</v>
          </cell>
        </row>
        <row r="17420">
          <cell r="A17420" t="str">
            <v>GPO SERVYRE</v>
          </cell>
          <cell r="J17420">
            <v>0</v>
          </cell>
        </row>
        <row r="17421">
          <cell r="A17421" t="str">
            <v>GPO SERVYRE</v>
          </cell>
          <cell r="J17421">
            <v>0</v>
          </cell>
        </row>
        <row r="17422">
          <cell r="A17422" t="str">
            <v>GPO SERVYRE</v>
          </cell>
          <cell r="J17422">
            <v>0</v>
          </cell>
        </row>
        <row r="17423">
          <cell r="A17423" t="str">
            <v>GPO SERVYRE</v>
          </cell>
          <cell r="J17423">
            <v>0</v>
          </cell>
        </row>
        <row r="17424">
          <cell r="A17424" t="str">
            <v>GPO SERVYRE</v>
          </cell>
          <cell r="J17424">
            <v>0</v>
          </cell>
        </row>
        <row r="17425">
          <cell r="A17425" t="str">
            <v>GPO SERVYRE</v>
          </cell>
          <cell r="J17425">
            <v>0</v>
          </cell>
        </row>
        <row r="17426">
          <cell r="A17426" t="str">
            <v>GPO SERVYRE</v>
          </cell>
          <cell r="J17426">
            <v>0</v>
          </cell>
        </row>
        <row r="17427">
          <cell r="A17427" t="str">
            <v>GPO SERVYRE</v>
          </cell>
          <cell r="J17427">
            <v>0</v>
          </cell>
        </row>
        <row r="17428">
          <cell r="A17428" t="str">
            <v>GPO SERVYRE</v>
          </cell>
          <cell r="J17428">
            <v>0</v>
          </cell>
        </row>
        <row r="17429">
          <cell r="A17429" t="str">
            <v>GPO SERVYRE</v>
          </cell>
          <cell r="J17429">
            <v>0</v>
          </cell>
        </row>
        <row r="17430">
          <cell r="A17430" t="str">
            <v>GPO SERVYRE</v>
          </cell>
          <cell r="J17430">
            <v>0</v>
          </cell>
        </row>
        <row r="17431">
          <cell r="A17431" t="str">
            <v>GPO SERVYRE</v>
          </cell>
          <cell r="J17431">
            <v>0</v>
          </cell>
        </row>
        <row r="17432">
          <cell r="A17432" t="str">
            <v>GPO SERVYRE</v>
          </cell>
          <cell r="J17432">
            <v>0</v>
          </cell>
        </row>
        <row r="17433">
          <cell r="A17433" t="str">
            <v>GPO SERVYRE</v>
          </cell>
          <cell r="J17433">
            <v>0</v>
          </cell>
        </row>
        <row r="17434">
          <cell r="A17434" t="str">
            <v>GPO SERVYRE</v>
          </cell>
          <cell r="J17434">
            <v>0</v>
          </cell>
        </row>
        <row r="17435">
          <cell r="A17435" t="str">
            <v>GPO SERVYRE</v>
          </cell>
          <cell r="J17435">
            <v>0</v>
          </cell>
        </row>
        <row r="17436">
          <cell r="A17436" t="str">
            <v>GPO SERVYRE</v>
          </cell>
          <cell r="J17436">
            <v>0</v>
          </cell>
        </row>
        <row r="17437">
          <cell r="A17437" t="str">
            <v>GPO SERVYRE</v>
          </cell>
          <cell r="J17437">
            <v>0</v>
          </cell>
        </row>
        <row r="17438">
          <cell r="A17438" t="str">
            <v>GPO SERVYRE</v>
          </cell>
          <cell r="J17438">
            <v>0</v>
          </cell>
        </row>
        <row r="17439">
          <cell r="A17439" t="str">
            <v>GPO SERVYRE</v>
          </cell>
          <cell r="J17439">
            <v>0</v>
          </cell>
        </row>
        <row r="17440">
          <cell r="A17440" t="str">
            <v>GPO SERVYRE</v>
          </cell>
          <cell r="J17440">
            <v>0</v>
          </cell>
        </row>
        <row r="17441">
          <cell r="A17441" t="str">
            <v>GPO SERVYRE</v>
          </cell>
          <cell r="J17441">
            <v>0</v>
          </cell>
        </row>
        <row r="17442">
          <cell r="A17442" t="str">
            <v>GPO SERVYRE</v>
          </cell>
          <cell r="J17442">
            <v>0</v>
          </cell>
        </row>
        <row r="17443">
          <cell r="A17443" t="str">
            <v>GPO SERVYRE</v>
          </cell>
          <cell r="J17443">
            <v>0</v>
          </cell>
        </row>
        <row r="17444">
          <cell r="A17444" t="str">
            <v>GPO SERVYRE</v>
          </cell>
          <cell r="J17444">
            <v>0</v>
          </cell>
        </row>
        <row r="17445">
          <cell r="A17445" t="str">
            <v>GPO SERVYRE</v>
          </cell>
          <cell r="J17445">
            <v>0</v>
          </cell>
        </row>
        <row r="17446">
          <cell r="A17446" t="str">
            <v>GPO SERVYRE</v>
          </cell>
          <cell r="J17446">
            <v>0</v>
          </cell>
        </row>
        <row r="17447">
          <cell r="A17447" t="str">
            <v>GPO SERVYRE</v>
          </cell>
          <cell r="J17447">
            <v>0</v>
          </cell>
        </row>
        <row r="17448">
          <cell r="A17448" t="str">
            <v>GPO SERVYRE</v>
          </cell>
          <cell r="J17448">
            <v>0</v>
          </cell>
        </row>
        <row r="17449">
          <cell r="A17449" t="str">
            <v>GPO SERVYRE</v>
          </cell>
          <cell r="J17449">
            <v>0</v>
          </cell>
        </row>
        <row r="17450">
          <cell r="A17450" t="str">
            <v>GPO SERVYRE</v>
          </cell>
          <cell r="J17450">
            <v>0</v>
          </cell>
        </row>
        <row r="17451">
          <cell r="A17451" t="str">
            <v>GPO SERVYRE</v>
          </cell>
          <cell r="J17451">
            <v>0</v>
          </cell>
        </row>
        <row r="17452">
          <cell r="A17452" t="str">
            <v>GPO SERVYRE</v>
          </cell>
          <cell r="J17452">
            <v>0</v>
          </cell>
        </row>
        <row r="17453">
          <cell r="A17453" t="str">
            <v>GPO SERVYRE</v>
          </cell>
          <cell r="J17453">
            <v>0</v>
          </cell>
        </row>
        <row r="17454">
          <cell r="A17454" t="str">
            <v>GPO SERVYRE</v>
          </cell>
          <cell r="J17454">
            <v>0</v>
          </cell>
        </row>
        <row r="17455">
          <cell r="A17455" t="str">
            <v>GPO SERVYRE</v>
          </cell>
          <cell r="J17455">
            <v>0</v>
          </cell>
        </row>
        <row r="17456">
          <cell r="A17456" t="str">
            <v>GPO SERVYRE</v>
          </cell>
          <cell r="J17456">
            <v>0</v>
          </cell>
        </row>
        <row r="17457">
          <cell r="A17457" t="str">
            <v>GPO SERVYRE</v>
          </cell>
          <cell r="J17457">
            <v>0</v>
          </cell>
        </row>
        <row r="17458">
          <cell r="A17458" t="str">
            <v>GPO SERVYRE</v>
          </cell>
          <cell r="J17458">
            <v>0</v>
          </cell>
        </row>
        <row r="17459">
          <cell r="A17459" t="str">
            <v>GPO SERVYRE</v>
          </cell>
          <cell r="J17459">
            <v>0</v>
          </cell>
        </row>
        <row r="17460">
          <cell r="A17460" t="str">
            <v>GPO SERVYRE</v>
          </cell>
          <cell r="J17460">
            <v>0</v>
          </cell>
        </row>
        <row r="17461">
          <cell r="A17461" t="str">
            <v>GPO SERVYRE</v>
          </cell>
          <cell r="J17461">
            <v>0</v>
          </cell>
        </row>
        <row r="17462">
          <cell r="A17462" t="str">
            <v>GPO SERVYRE</v>
          </cell>
          <cell r="J17462">
            <v>0</v>
          </cell>
        </row>
        <row r="17463">
          <cell r="A17463" t="str">
            <v>GPO SERVYRE</v>
          </cell>
          <cell r="J17463">
            <v>0</v>
          </cell>
        </row>
        <row r="17464">
          <cell r="A17464" t="str">
            <v>GPO SERVYRE</v>
          </cell>
          <cell r="J17464">
            <v>0</v>
          </cell>
        </row>
        <row r="17465">
          <cell r="A17465" t="str">
            <v>GPO SERVYRE</v>
          </cell>
          <cell r="J17465">
            <v>0</v>
          </cell>
        </row>
        <row r="17466">
          <cell r="A17466" t="str">
            <v>GPO SERVYRE</v>
          </cell>
          <cell r="J17466">
            <v>0</v>
          </cell>
        </row>
        <row r="17467">
          <cell r="A17467" t="str">
            <v>GPO SERVYRE</v>
          </cell>
          <cell r="J17467">
            <v>0</v>
          </cell>
        </row>
        <row r="17468">
          <cell r="A17468" t="str">
            <v>GPO SERVYRE</v>
          </cell>
          <cell r="J17468">
            <v>0</v>
          </cell>
        </row>
        <row r="17469">
          <cell r="A17469" t="str">
            <v>GPO SERVYRE</v>
          </cell>
          <cell r="J17469">
            <v>0</v>
          </cell>
        </row>
        <row r="17470">
          <cell r="A17470" t="str">
            <v>GPO SERVYRE</v>
          </cell>
          <cell r="J17470">
            <v>0</v>
          </cell>
        </row>
        <row r="17471">
          <cell r="A17471" t="str">
            <v>GPO SERVYRE</v>
          </cell>
          <cell r="J17471">
            <v>0</v>
          </cell>
        </row>
        <row r="17472">
          <cell r="A17472" t="str">
            <v>GPO SERVYRE</v>
          </cell>
          <cell r="J17472">
            <v>0</v>
          </cell>
        </row>
        <row r="17473">
          <cell r="A17473" t="str">
            <v>GPO SERVYRE</v>
          </cell>
          <cell r="J17473">
            <v>0</v>
          </cell>
        </row>
        <row r="17474">
          <cell r="A17474" t="str">
            <v>GPO SERVYRE</v>
          </cell>
          <cell r="J17474">
            <v>0</v>
          </cell>
        </row>
        <row r="17475">
          <cell r="A17475" t="str">
            <v>GPO SERVYRE</v>
          </cell>
          <cell r="J17475">
            <v>0</v>
          </cell>
        </row>
        <row r="17476">
          <cell r="A17476" t="str">
            <v>GPO SERVYRE</v>
          </cell>
          <cell r="J17476">
            <v>0</v>
          </cell>
        </row>
        <row r="17477">
          <cell r="A17477" t="str">
            <v>GPO SERVYRE</v>
          </cell>
          <cell r="J17477">
            <v>0</v>
          </cell>
        </row>
        <row r="17478">
          <cell r="A17478" t="str">
            <v>GPO SERVYRE</v>
          </cell>
          <cell r="J17478">
            <v>0</v>
          </cell>
        </row>
        <row r="17479">
          <cell r="A17479" t="str">
            <v>GPO SERVYRE</v>
          </cell>
          <cell r="J17479">
            <v>0</v>
          </cell>
        </row>
        <row r="17480">
          <cell r="A17480" t="str">
            <v>GPO SERVYRE</v>
          </cell>
          <cell r="J17480">
            <v>0</v>
          </cell>
        </row>
        <row r="17481">
          <cell r="A17481" t="str">
            <v>GPO SERVYRE</v>
          </cell>
          <cell r="J17481">
            <v>0</v>
          </cell>
        </row>
        <row r="17482">
          <cell r="A17482" t="str">
            <v>GPO SERVYRE</v>
          </cell>
          <cell r="J17482">
            <v>0</v>
          </cell>
        </row>
        <row r="17483">
          <cell r="A17483" t="str">
            <v>GPO SERVYRE</v>
          </cell>
          <cell r="J17483">
            <v>0</v>
          </cell>
        </row>
        <row r="17484">
          <cell r="A17484" t="str">
            <v>GPO SERVYRE</v>
          </cell>
          <cell r="J17484">
            <v>0</v>
          </cell>
        </row>
        <row r="17485">
          <cell r="A17485" t="str">
            <v>GPO SERVYRE</v>
          </cell>
          <cell r="J17485">
            <v>0</v>
          </cell>
        </row>
        <row r="17486">
          <cell r="A17486" t="str">
            <v>GPO SERVYRE</v>
          </cell>
          <cell r="J17486">
            <v>0</v>
          </cell>
        </row>
        <row r="17487">
          <cell r="A17487" t="str">
            <v>GPO SERVYRE</v>
          </cell>
          <cell r="J17487">
            <v>0</v>
          </cell>
        </row>
        <row r="17488">
          <cell r="A17488" t="str">
            <v>GPO SERVYRE</v>
          </cell>
          <cell r="J17488">
            <v>0</v>
          </cell>
        </row>
        <row r="17489">
          <cell r="A17489" t="str">
            <v>GPO SERVYRE</v>
          </cell>
          <cell r="J17489">
            <v>0</v>
          </cell>
        </row>
        <row r="17490">
          <cell r="A17490" t="str">
            <v>GPO SERVYRE</v>
          </cell>
          <cell r="J17490">
            <v>0</v>
          </cell>
        </row>
        <row r="17491">
          <cell r="A17491" t="str">
            <v>GPO SERVYRE</v>
          </cell>
          <cell r="J17491">
            <v>0</v>
          </cell>
        </row>
        <row r="17492">
          <cell r="A17492" t="str">
            <v>GPO SERVYRE</v>
          </cell>
          <cell r="J17492">
            <v>0</v>
          </cell>
        </row>
        <row r="17493">
          <cell r="A17493" t="str">
            <v>GPO SERVYRE</v>
          </cell>
          <cell r="J17493">
            <v>0</v>
          </cell>
        </row>
        <row r="17494">
          <cell r="A17494" t="str">
            <v>GPO SERVYRE</v>
          </cell>
          <cell r="J17494">
            <v>0</v>
          </cell>
        </row>
        <row r="17495">
          <cell r="A17495" t="str">
            <v>GPO SERVYRE</v>
          </cell>
          <cell r="J17495">
            <v>0</v>
          </cell>
        </row>
        <row r="17496">
          <cell r="A17496" t="str">
            <v>GPO SERVYRE</v>
          </cell>
          <cell r="J17496">
            <v>0</v>
          </cell>
        </row>
        <row r="17497">
          <cell r="A17497" t="str">
            <v>GPO SERVYRE</v>
          </cell>
          <cell r="J17497">
            <v>0</v>
          </cell>
        </row>
        <row r="17498">
          <cell r="A17498" t="str">
            <v>GPO SERVYRE</v>
          </cell>
          <cell r="J17498">
            <v>0</v>
          </cell>
        </row>
        <row r="17499">
          <cell r="A17499" t="str">
            <v>GPO SERVYRE</v>
          </cell>
          <cell r="J17499">
            <v>0</v>
          </cell>
        </row>
        <row r="17500">
          <cell r="A17500" t="str">
            <v>GPO SERVYRE</v>
          </cell>
          <cell r="J17500">
            <v>0</v>
          </cell>
        </row>
        <row r="17501">
          <cell r="A17501" t="str">
            <v>GPO SERVYRE</v>
          </cell>
          <cell r="J17501">
            <v>0</v>
          </cell>
        </row>
        <row r="17502">
          <cell r="A17502" t="str">
            <v>GPO SERVYRE</v>
          </cell>
          <cell r="J17502">
            <v>0</v>
          </cell>
        </row>
        <row r="17503">
          <cell r="A17503" t="str">
            <v>GPO SERVYRE</v>
          </cell>
          <cell r="J17503">
            <v>0</v>
          </cell>
        </row>
        <row r="17504">
          <cell r="A17504" t="str">
            <v>GPO SERVYRE</v>
          </cell>
          <cell r="J17504">
            <v>0</v>
          </cell>
        </row>
        <row r="17505">
          <cell r="A17505" t="str">
            <v>GPO SERVYRE</v>
          </cell>
          <cell r="J17505">
            <v>0</v>
          </cell>
        </row>
        <row r="17506">
          <cell r="A17506" t="str">
            <v>GPO SERVYRE</v>
          </cell>
          <cell r="J17506">
            <v>0</v>
          </cell>
        </row>
        <row r="17507">
          <cell r="A17507" t="str">
            <v>GPO SERVYRE</v>
          </cell>
          <cell r="J17507">
            <v>0</v>
          </cell>
        </row>
        <row r="17508">
          <cell r="A17508" t="str">
            <v>GPO SERVYRE</v>
          </cell>
          <cell r="J17508">
            <v>0</v>
          </cell>
        </row>
        <row r="17509">
          <cell r="A17509" t="str">
            <v>GPO SERVYRE</v>
          </cell>
          <cell r="J17509">
            <v>0</v>
          </cell>
        </row>
        <row r="17510">
          <cell r="A17510" t="str">
            <v>GPO SERVYRE</v>
          </cell>
          <cell r="J17510">
            <v>0</v>
          </cell>
        </row>
        <row r="17511">
          <cell r="A17511" t="str">
            <v>GPO SERVYRE</v>
          </cell>
          <cell r="J17511">
            <v>0</v>
          </cell>
        </row>
        <row r="17512">
          <cell r="A17512" t="str">
            <v>GPO SERVYRE</v>
          </cell>
          <cell r="J17512">
            <v>0</v>
          </cell>
        </row>
        <row r="17513">
          <cell r="A17513" t="str">
            <v>GPO SERVYRE</v>
          </cell>
          <cell r="J17513">
            <v>0</v>
          </cell>
        </row>
        <row r="17514">
          <cell r="A17514" t="str">
            <v>GPO SERVYRE</v>
          </cell>
          <cell r="J17514">
            <v>0</v>
          </cell>
        </row>
        <row r="17515">
          <cell r="A17515" t="str">
            <v>GPO SERVYRE</v>
          </cell>
          <cell r="J17515">
            <v>0</v>
          </cell>
        </row>
        <row r="17516">
          <cell r="A17516" t="str">
            <v>GPO SERVYRE</v>
          </cell>
          <cell r="J17516">
            <v>0</v>
          </cell>
        </row>
        <row r="17517">
          <cell r="A17517" t="str">
            <v>GPO SERVYRE</v>
          </cell>
          <cell r="J17517">
            <v>0</v>
          </cell>
        </row>
        <row r="17518">
          <cell r="A17518" t="str">
            <v>GPO SERVYRE</v>
          </cell>
          <cell r="J17518">
            <v>0</v>
          </cell>
        </row>
        <row r="17519">
          <cell r="A17519" t="str">
            <v>GPO SERVYRE</v>
          </cell>
          <cell r="J17519">
            <v>0</v>
          </cell>
        </row>
        <row r="17520">
          <cell r="A17520" t="str">
            <v>GPO SERVYRE</v>
          </cell>
          <cell r="J17520">
            <v>0</v>
          </cell>
        </row>
        <row r="17521">
          <cell r="A17521" t="str">
            <v>GPO SERVYRE</v>
          </cell>
          <cell r="J17521">
            <v>0</v>
          </cell>
        </row>
        <row r="17522">
          <cell r="A17522" t="str">
            <v>GPO SERVYRE</v>
          </cell>
          <cell r="J17522">
            <v>0</v>
          </cell>
        </row>
        <row r="17523">
          <cell r="A17523" t="str">
            <v>GPO SERVYRE</v>
          </cell>
          <cell r="J17523">
            <v>0</v>
          </cell>
        </row>
        <row r="17524">
          <cell r="A17524" t="str">
            <v>GPO SERVYRE</v>
          </cell>
          <cell r="J17524">
            <v>0</v>
          </cell>
        </row>
        <row r="17525">
          <cell r="A17525" t="str">
            <v>GPO SERVYRE</v>
          </cell>
          <cell r="J17525">
            <v>0</v>
          </cell>
        </row>
        <row r="17526">
          <cell r="A17526" t="str">
            <v>GPO SERVYRE</v>
          </cell>
          <cell r="J17526">
            <v>0</v>
          </cell>
        </row>
        <row r="17527">
          <cell r="A17527" t="str">
            <v>GPO SERVYRE</v>
          </cell>
          <cell r="J17527">
            <v>0</v>
          </cell>
        </row>
        <row r="17528">
          <cell r="A17528" t="str">
            <v>GPO SERVYRE</v>
          </cell>
          <cell r="J17528">
            <v>0</v>
          </cell>
        </row>
        <row r="17529">
          <cell r="A17529" t="str">
            <v>GPO SERVYRE</v>
          </cell>
          <cell r="J17529">
            <v>0</v>
          </cell>
        </row>
        <row r="17530">
          <cell r="A17530" t="str">
            <v>GPO SERVYRE</v>
          </cell>
          <cell r="J17530">
            <v>0</v>
          </cell>
        </row>
        <row r="17531">
          <cell r="A17531" t="str">
            <v>GPO SERVYRE</v>
          </cell>
          <cell r="J17531">
            <v>0</v>
          </cell>
        </row>
        <row r="17532">
          <cell r="A17532" t="str">
            <v>GPO SERVYRE</v>
          </cell>
          <cell r="J17532">
            <v>0</v>
          </cell>
        </row>
        <row r="17533">
          <cell r="A17533" t="str">
            <v>GPO SERVYRE</v>
          </cell>
          <cell r="J17533">
            <v>0</v>
          </cell>
        </row>
        <row r="17534">
          <cell r="A17534" t="str">
            <v>GPO SERVYRE</v>
          </cell>
          <cell r="J17534">
            <v>0</v>
          </cell>
        </row>
        <row r="17535">
          <cell r="A17535" t="str">
            <v>GPO SERVYRE</v>
          </cell>
          <cell r="J17535">
            <v>0</v>
          </cell>
        </row>
        <row r="17536">
          <cell r="A17536" t="str">
            <v>GPO SERVYRE</v>
          </cell>
          <cell r="J17536">
            <v>0</v>
          </cell>
        </row>
        <row r="17537">
          <cell r="A17537" t="str">
            <v>GPO SERVYRE</v>
          </cell>
          <cell r="J17537">
            <v>0</v>
          </cell>
        </row>
        <row r="17538">
          <cell r="A17538" t="str">
            <v>GPO SERVYRE</v>
          </cell>
          <cell r="J17538">
            <v>0</v>
          </cell>
        </row>
        <row r="17539">
          <cell r="A17539" t="str">
            <v>GPO SERVYRE</v>
          </cell>
          <cell r="J17539">
            <v>0</v>
          </cell>
        </row>
        <row r="17540">
          <cell r="A17540" t="str">
            <v>GPO SERVYRE</v>
          </cell>
          <cell r="J17540">
            <v>0</v>
          </cell>
        </row>
        <row r="17541">
          <cell r="A17541" t="str">
            <v>GPO SERVYRE</v>
          </cell>
          <cell r="J17541">
            <v>0</v>
          </cell>
        </row>
        <row r="17542">
          <cell r="A17542" t="str">
            <v>GPO SERVYRE</v>
          </cell>
          <cell r="J17542">
            <v>0</v>
          </cell>
        </row>
        <row r="17543">
          <cell r="A17543" t="str">
            <v>GPO SERVYRE</v>
          </cell>
          <cell r="J17543">
            <v>0</v>
          </cell>
        </row>
        <row r="17544">
          <cell r="A17544" t="str">
            <v>GPO SERVYRE</v>
          </cell>
          <cell r="J17544">
            <v>0</v>
          </cell>
        </row>
        <row r="17545">
          <cell r="A17545" t="str">
            <v>GPO SERVYRE</v>
          </cell>
          <cell r="J17545">
            <v>0</v>
          </cell>
        </row>
        <row r="17546">
          <cell r="A17546" t="str">
            <v>GPO SERVYRE</v>
          </cell>
          <cell r="J17546">
            <v>0</v>
          </cell>
        </row>
        <row r="17547">
          <cell r="A17547" t="str">
            <v>GPO SERVYRE</v>
          </cell>
          <cell r="J17547">
            <v>0</v>
          </cell>
        </row>
        <row r="17548">
          <cell r="A17548" t="str">
            <v>GPO SERVYRE</v>
          </cell>
          <cell r="J17548">
            <v>0</v>
          </cell>
        </row>
        <row r="17549">
          <cell r="A17549" t="str">
            <v>GPO SERVYRE</v>
          </cell>
          <cell r="J17549">
            <v>0</v>
          </cell>
        </row>
        <row r="17550">
          <cell r="A17550" t="str">
            <v>GPO SERVYRE</v>
          </cell>
          <cell r="J17550">
            <v>0</v>
          </cell>
        </row>
        <row r="17551">
          <cell r="A17551" t="str">
            <v>GPO SERVYRE</v>
          </cell>
          <cell r="J17551">
            <v>0</v>
          </cell>
        </row>
        <row r="17552">
          <cell r="A17552" t="str">
            <v>GPO SERVYRE</v>
          </cell>
          <cell r="J17552">
            <v>0</v>
          </cell>
        </row>
        <row r="17553">
          <cell r="A17553" t="str">
            <v>GPO SERVYRE</v>
          </cell>
          <cell r="J17553">
            <v>0</v>
          </cell>
        </row>
        <row r="17554">
          <cell r="A17554" t="str">
            <v>GPO SERVYRE</v>
          </cell>
          <cell r="J17554">
            <v>0</v>
          </cell>
        </row>
        <row r="17555">
          <cell r="A17555" t="str">
            <v>GPO SERVYRE</v>
          </cell>
          <cell r="J17555">
            <v>0</v>
          </cell>
        </row>
        <row r="17556">
          <cell r="A17556" t="str">
            <v>GPO SERVYRE</v>
          </cell>
          <cell r="J17556">
            <v>0</v>
          </cell>
        </row>
        <row r="17557">
          <cell r="A17557" t="str">
            <v>GPO SERVYRE</v>
          </cell>
          <cell r="J17557">
            <v>0</v>
          </cell>
        </row>
        <row r="17558">
          <cell r="A17558" t="str">
            <v>GPO SERVYRE</v>
          </cell>
          <cell r="J17558">
            <v>0</v>
          </cell>
        </row>
        <row r="17559">
          <cell r="A17559" t="str">
            <v>GPO SERVYRE</v>
          </cell>
          <cell r="J17559">
            <v>0</v>
          </cell>
        </row>
        <row r="17560">
          <cell r="A17560" t="str">
            <v>GPO SERVYRE</v>
          </cell>
          <cell r="J17560">
            <v>0</v>
          </cell>
        </row>
        <row r="17561">
          <cell r="A17561" t="str">
            <v>GPO SERVYRE</v>
          </cell>
          <cell r="J17561">
            <v>0</v>
          </cell>
        </row>
        <row r="17562">
          <cell r="A17562" t="str">
            <v>GPO SERVYRE</v>
          </cell>
          <cell r="J17562">
            <v>0</v>
          </cell>
        </row>
        <row r="17563">
          <cell r="A17563" t="str">
            <v>GPO SERVYRE</v>
          </cell>
          <cell r="J17563">
            <v>0</v>
          </cell>
        </row>
        <row r="17564">
          <cell r="A17564" t="str">
            <v>GPO SERVYRE</v>
          </cell>
          <cell r="J17564">
            <v>0</v>
          </cell>
        </row>
        <row r="17565">
          <cell r="A17565" t="str">
            <v>GPO SERVYRE</v>
          </cell>
          <cell r="J17565">
            <v>0</v>
          </cell>
        </row>
        <row r="17566">
          <cell r="A17566" t="str">
            <v>GPO SERVYRE</v>
          </cell>
          <cell r="J17566">
            <v>0</v>
          </cell>
        </row>
        <row r="17567">
          <cell r="A17567" t="str">
            <v>GPO SERVYRE</v>
          </cell>
          <cell r="J17567">
            <v>0</v>
          </cell>
        </row>
        <row r="17568">
          <cell r="A17568" t="str">
            <v>GPO SERVYRE</v>
          </cell>
          <cell r="J17568">
            <v>0</v>
          </cell>
        </row>
        <row r="17569">
          <cell r="J17569">
            <v>0</v>
          </cell>
        </row>
        <row r="17570">
          <cell r="J17570">
            <v>0</v>
          </cell>
        </row>
        <row r="17571">
          <cell r="J17571">
            <v>0</v>
          </cell>
        </row>
        <row r="17572">
          <cell r="A17572" t="str">
            <v>FGS</v>
          </cell>
          <cell r="B17572" t="str">
            <v>101-00000-000-0000</v>
          </cell>
          <cell r="J17572">
            <v>14406833.85</v>
          </cell>
        </row>
        <row r="17573">
          <cell r="A17573" t="str">
            <v>FGS</v>
          </cell>
          <cell r="B17573" t="str">
            <v>101-00002-000-0000</v>
          </cell>
          <cell r="J17573">
            <v>52684.6</v>
          </cell>
        </row>
        <row r="17574">
          <cell r="A17574" t="str">
            <v>FGS</v>
          </cell>
          <cell r="B17574" t="str">
            <v>101-00002-002-0000</v>
          </cell>
          <cell r="J17574">
            <v>13084.25</v>
          </cell>
        </row>
        <row r="17575">
          <cell r="A17575" t="str">
            <v>FGS</v>
          </cell>
          <cell r="B17575" t="str">
            <v>101-00002-002-0003</v>
          </cell>
          <cell r="J17575">
            <v>1701.58</v>
          </cell>
        </row>
        <row r="17576">
          <cell r="A17576" t="str">
            <v>FGS</v>
          </cell>
          <cell r="B17576" t="str">
            <v>101-00002-002-0006</v>
          </cell>
          <cell r="J17576">
            <v>11382.67</v>
          </cell>
        </row>
        <row r="17577">
          <cell r="A17577" t="str">
            <v>FGS</v>
          </cell>
          <cell r="B17577" t="str">
            <v>101-00002-003-0000</v>
          </cell>
          <cell r="J17577">
            <v>39600.35</v>
          </cell>
        </row>
        <row r="17578">
          <cell r="A17578" t="str">
            <v>FGS</v>
          </cell>
          <cell r="B17578" t="str">
            <v>101-00002-003-0023</v>
          </cell>
          <cell r="J17578">
            <v>39600.35</v>
          </cell>
        </row>
        <row r="17579">
          <cell r="A17579" t="str">
            <v>FGS</v>
          </cell>
          <cell r="B17579" t="str">
            <v>101-00004-000-0000</v>
          </cell>
          <cell r="J17579">
            <v>579527.64</v>
          </cell>
        </row>
        <row r="17580">
          <cell r="A17580" t="str">
            <v>FGS</v>
          </cell>
          <cell r="B17580" t="str">
            <v>101-00004-001-0000</v>
          </cell>
          <cell r="J17580">
            <v>579527.64</v>
          </cell>
        </row>
        <row r="17581">
          <cell r="A17581" t="str">
            <v>FGS</v>
          </cell>
          <cell r="B17581" t="str">
            <v>101-00004-001-0076</v>
          </cell>
          <cell r="J17581">
            <v>15785.28</v>
          </cell>
        </row>
        <row r="17582">
          <cell r="A17582" t="str">
            <v>FGS</v>
          </cell>
          <cell r="B17582" t="str">
            <v>101-00004-001-0082</v>
          </cell>
          <cell r="J17582">
            <v>1536.23</v>
          </cell>
        </row>
        <row r="17583">
          <cell r="A17583" t="str">
            <v>FGS</v>
          </cell>
          <cell r="B17583" t="str">
            <v>101-00004-001-0098</v>
          </cell>
          <cell r="J17583">
            <v>13782.06</v>
          </cell>
        </row>
        <row r="17584">
          <cell r="A17584" t="str">
            <v>FGS</v>
          </cell>
          <cell r="B17584" t="str">
            <v>101-00004-001-0099</v>
          </cell>
          <cell r="J17584">
            <v>3959.84</v>
          </cell>
        </row>
        <row r="17585">
          <cell r="A17585" t="str">
            <v>FGS</v>
          </cell>
          <cell r="B17585" t="str">
            <v>101-00004-001-0118</v>
          </cell>
          <cell r="J17585">
            <v>5564.32</v>
          </cell>
        </row>
        <row r="17586">
          <cell r="A17586" t="str">
            <v>FGS</v>
          </cell>
          <cell r="B17586" t="str">
            <v>101-00004-001-0177</v>
          </cell>
          <cell r="J17586">
            <v>294.95999999999998</v>
          </cell>
        </row>
        <row r="17587">
          <cell r="A17587" t="str">
            <v>FGS</v>
          </cell>
          <cell r="B17587" t="str">
            <v>101-00004-001-0188</v>
          </cell>
          <cell r="J17587">
            <v>1582.95</v>
          </cell>
        </row>
        <row r="17588">
          <cell r="A17588" t="str">
            <v>FGS</v>
          </cell>
          <cell r="B17588" t="str">
            <v>101-00004-001-0246</v>
          </cell>
          <cell r="J17588">
            <v>6862.48</v>
          </cell>
        </row>
        <row r="17589">
          <cell r="A17589" t="str">
            <v>FGS</v>
          </cell>
          <cell r="B17589" t="str">
            <v>101-00004-001-0288</v>
          </cell>
          <cell r="J17589">
            <v>9004.74</v>
          </cell>
        </row>
        <row r="17590">
          <cell r="A17590" t="str">
            <v>FGS</v>
          </cell>
          <cell r="B17590" t="str">
            <v>101-00004-001-0292</v>
          </cell>
          <cell r="J17590">
            <v>8814.76</v>
          </cell>
        </row>
        <row r="17591">
          <cell r="A17591" t="str">
            <v>FGS</v>
          </cell>
          <cell r="B17591" t="str">
            <v>101-00004-001-0299</v>
          </cell>
          <cell r="J17591">
            <v>14786.69</v>
          </cell>
        </row>
        <row r="17592">
          <cell r="A17592" t="str">
            <v>FGS</v>
          </cell>
          <cell r="B17592" t="str">
            <v>101-00004-001-0301</v>
          </cell>
          <cell r="J17592">
            <v>993.63</v>
          </cell>
        </row>
        <row r="17593">
          <cell r="A17593" t="str">
            <v>FGS</v>
          </cell>
          <cell r="B17593" t="str">
            <v>101-00004-001-0311</v>
          </cell>
          <cell r="J17593">
            <v>10569.33</v>
          </cell>
        </row>
        <row r="17594">
          <cell r="A17594" t="str">
            <v>FGS</v>
          </cell>
          <cell r="B17594" t="str">
            <v>101-00004-001-0313</v>
          </cell>
          <cell r="J17594">
            <v>1391.08</v>
          </cell>
        </row>
        <row r="17595">
          <cell r="A17595" t="str">
            <v>FGS</v>
          </cell>
          <cell r="B17595" t="str">
            <v>101-00004-001-0338</v>
          </cell>
          <cell r="J17595">
            <v>43384</v>
          </cell>
        </row>
        <row r="17596">
          <cell r="A17596" t="str">
            <v>FGS</v>
          </cell>
          <cell r="B17596" t="str">
            <v>101-00004-001-0423</v>
          </cell>
          <cell r="J17596">
            <v>12880.4</v>
          </cell>
        </row>
        <row r="17597">
          <cell r="A17597" t="str">
            <v>FGS</v>
          </cell>
          <cell r="B17597" t="str">
            <v>101-00004-001-0426</v>
          </cell>
          <cell r="J17597">
            <v>1929.47</v>
          </cell>
        </row>
        <row r="17598">
          <cell r="A17598" t="str">
            <v>FGS</v>
          </cell>
          <cell r="B17598" t="str">
            <v>101-00004-001-0433</v>
          </cell>
          <cell r="J17598">
            <v>16822.439999999999</v>
          </cell>
        </row>
        <row r="17599">
          <cell r="A17599" t="str">
            <v>FGS</v>
          </cell>
          <cell r="B17599" t="str">
            <v>101-00004-001-0518</v>
          </cell>
          <cell r="J17599">
            <v>3090.57</v>
          </cell>
        </row>
        <row r="17600">
          <cell r="A17600" t="str">
            <v>FGS</v>
          </cell>
          <cell r="B17600" t="str">
            <v>101-00004-001-0519</v>
          </cell>
          <cell r="J17600">
            <v>920.03</v>
          </cell>
        </row>
        <row r="17601">
          <cell r="A17601" t="str">
            <v>FGS</v>
          </cell>
          <cell r="B17601" t="str">
            <v>101-00004-001-0541</v>
          </cell>
          <cell r="J17601">
            <v>4968.1499999999996</v>
          </cell>
        </row>
        <row r="17602">
          <cell r="A17602" t="str">
            <v>FGS</v>
          </cell>
          <cell r="B17602" t="str">
            <v>101-00004-001-0550</v>
          </cell>
          <cell r="J17602">
            <v>7586.27</v>
          </cell>
        </row>
        <row r="17603">
          <cell r="A17603" t="str">
            <v>FGS</v>
          </cell>
          <cell r="B17603" t="str">
            <v>101-00004-001-0558</v>
          </cell>
          <cell r="J17603">
            <v>4439.68</v>
          </cell>
        </row>
        <row r="17604">
          <cell r="A17604" t="str">
            <v>FGS</v>
          </cell>
          <cell r="B17604" t="str">
            <v>101-00004-001-0568</v>
          </cell>
          <cell r="J17604">
            <v>2004.69</v>
          </cell>
        </row>
        <row r="17605">
          <cell r="A17605" t="str">
            <v>FGS</v>
          </cell>
          <cell r="B17605" t="str">
            <v>101-00004-001-0635</v>
          </cell>
          <cell r="J17605">
            <v>1515.62</v>
          </cell>
        </row>
        <row r="17606">
          <cell r="A17606" t="str">
            <v>FGS</v>
          </cell>
          <cell r="B17606" t="str">
            <v>101-00004-001-0841</v>
          </cell>
          <cell r="J17606">
            <v>10331.09</v>
          </cell>
        </row>
        <row r="17607">
          <cell r="A17607" t="str">
            <v>FGS</v>
          </cell>
          <cell r="B17607" t="str">
            <v>101-00004-001-0843</v>
          </cell>
          <cell r="J17607">
            <v>4314.99</v>
          </cell>
        </row>
        <row r="17608">
          <cell r="A17608" t="str">
            <v>FGS</v>
          </cell>
          <cell r="B17608" t="str">
            <v>101-00004-001-0852</v>
          </cell>
          <cell r="J17608">
            <v>14806.56</v>
          </cell>
        </row>
        <row r="17609">
          <cell r="A17609" t="str">
            <v>FGS</v>
          </cell>
          <cell r="B17609" t="str">
            <v>101-00004-001-0864</v>
          </cell>
          <cell r="J17609">
            <v>6798.17</v>
          </cell>
        </row>
        <row r="17610">
          <cell r="A17610" t="str">
            <v>FGS</v>
          </cell>
          <cell r="B17610" t="str">
            <v>101-00004-001-1066</v>
          </cell>
          <cell r="J17610">
            <v>308.42</v>
          </cell>
        </row>
        <row r="17611">
          <cell r="A17611" t="str">
            <v>FGS</v>
          </cell>
          <cell r="B17611" t="str">
            <v>101-00004-001-1073</v>
          </cell>
          <cell r="J17611">
            <v>1700.21</v>
          </cell>
        </row>
        <row r="17612">
          <cell r="A17612" t="str">
            <v>FGS</v>
          </cell>
          <cell r="B17612" t="str">
            <v>101-00004-001-1084</v>
          </cell>
          <cell r="J17612">
            <v>27437.87</v>
          </cell>
        </row>
        <row r="17613">
          <cell r="A17613" t="str">
            <v>FGS</v>
          </cell>
          <cell r="B17613" t="str">
            <v>101-00004-001-1116</v>
          </cell>
          <cell r="J17613">
            <v>10752.74</v>
          </cell>
        </row>
        <row r="17614">
          <cell r="A17614" t="str">
            <v>FGS</v>
          </cell>
          <cell r="B17614" t="str">
            <v>101-00004-001-1124</v>
          </cell>
          <cell r="J17614">
            <v>36935.480000000003</v>
          </cell>
        </row>
        <row r="17615">
          <cell r="A17615" t="str">
            <v>FGS</v>
          </cell>
          <cell r="B17615" t="str">
            <v>101-00004-001-1129</v>
          </cell>
          <cell r="J17615">
            <v>4720.43</v>
          </cell>
        </row>
        <row r="17616">
          <cell r="A17616" t="str">
            <v>FGS</v>
          </cell>
          <cell r="B17616" t="str">
            <v>101-00004-001-1135</v>
          </cell>
          <cell r="J17616">
            <v>373.02</v>
          </cell>
        </row>
        <row r="17617">
          <cell r="A17617" t="str">
            <v>FGS</v>
          </cell>
          <cell r="B17617" t="str">
            <v>101-00004-001-1164</v>
          </cell>
          <cell r="J17617">
            <v>4001.9</v>
          </cell>
        </row>
        <row r="17618">
          <cell r="A17618" t="str">
            <v>FGS</v>
          </cell>
          <cell r="B17618" t="str">
            <v>101-00004-001-1187</v>
          </cell>
          <cell r="J17618">
            <v>4874.3</v>
          </cell>
        </row>
        <row r="17619">
          <cell r="A17619" t="str">
            <v>FGS</v>
          </cell>
          <cell r="B17619" t="str">
            <v>101-00004-001-1395</v>
          </cell>
          <cell r="J17619">
            <v>926.49</v>
          </cell>
        </row>
        <row r="17620">
          <cell r="A17620" t="str">
            <v>FGS</v>
          </cell>
          <cell r="B17620" t="str">
            <v>101-00004-001-1403</v>
          </cell>
          <cell r="J17620">
            <v>327.41000000000003</v>
          </cell>
        </row>
        <row r="17621">
          <cell r="A17621" t="str">
            <v>FGS</v>
          </cell>
          <cell r="B17621" t="str">
            <v>101-00004-001-1424</v>
          </cell>
          <cell r="J17621">
            <v>1595.98</v>
          </cell>
        </row>
        <row r="17622">
          <cell r="A17622" t="str">
            <v>FGS</v>
          </cell>
          <cell r="B17622" t="str">
            <v>101-00004-001-1426</v>
          </cell>
          <cell r="J17622">
            <v>13474.94</v>
          </cell>
        </row>
        <row r="17623">
          <cell r="A17623" t="str">
            <v>FGS</v>
          </cell>
          <cell r="B17623" t="str">
            <v>101-00004-001-1563</v>
          </cell>
          <cell r="J17623">
            <v>580</v>
          </cell>
        </row>
        <row r="17624">
          <cell r="A17624" t="str">
            <v>FGS</v>
          </cell>
          <cell r="B17624" t="str">
            <v>101-00004-001-1607</v>
          </cell>
          <cell r="J17624">
            <v>920.06</v>
          </cell>
        </row>
        <row r="17625">
          <cell r="A17625" t="str">
            <v>FGS</v>
          </cell>
          <cell r="B17625" t="str">
            <v>101-00004-001-1634</v>
          </cell>
          <cell r="J17625">
            <v>19578.349999999999</v>
          </cell>
        </row>
        <row r="17626">
          <cell r="A17626" t="str">
            <v>FGS</v>
          </cell>
          <cell r="B17626" t="str">
            <v>101-00004-001-1635</v>
          </cell>
          <cell r="J17626">
            <v>1987.26</v>
          </cell>
        </row>
        <row r="17627">
          <cell r="A17627" t="str">
            <v>FGS</v>
          </cell>
          <cell r="B17627" t="str">
            <v>101-00004-001-1639</v>
          </cell>
          <cell r="J17627">
            <v>836.39</v>
          </cell>
        </row>
        <row r="17628">
          <cell r="A17628" t="str">
            <v>FGS</v>
          </cell>
          <cell r="B17628" t="str">
            <v>101-00004-001-1683</v>
          </cell>
          <cell r="J17628">
            <v>2196.04</v>
          </cell>
        </row>
        <row r="17629">
          <cell r="A17629" t="str">
            <v>FGS</v>
          </cell>
          <cell r="B17629" t="str">
            <v>101-00004-001-1827</v>
          </cell>
          <cell r="J17629">
            <v>3636.86</v>
          </cell>
        </row>
        <row r="17630">
          <cell r="A17630" t="str">
            <v>FGS</v>
          </cell>
          <cell r="B17630" t="str">
            <v>101-00004-001-1845</v>
          </cell>
          <cell r="J17630">
            <v>1029.05</v>
          </cell>
        </row>
        <row r="17631">
          <cell r="A17631" t="str">
            <v>FGS</v>
          </cell>
          <cell r="B17631" t="str">
            <v>101-00004-001-1888</v>
          </cell>
          <cell r="J17631">
            <v>7510.37</v>
          </cell>
        </row>
        <row r="17632">
          <cell r="A17632" t="str">
            <v>FGS</v>
          </cell>
          <cell r="B17632" t="str">
            <v>101-00004-001-1951</v>
          </cell>
          <cell r="J17632">
            <v>6272.93</v>
          </cell>
        </row>
        <row r="17633">
          <cell r="A17633" t="str">
            <v>FGS</v>
          </cell>
          <cell r="B17633" t="str">
            <v>101-00004-001-2126</v>
          </cell>
          <cell r="J17633">
            <v>1672.79</v>
          </cell>
        </row>
        <row r="17634">
          <cell r="A17634" t="str">
            <v>FGS</v>
          </cell>
          <cell r="B17634" t="str">
            <v>101-00004-001-2197</v>
          </cell>
          <cell r="J17634">
            <v>5076.62</v>
          </cell>
        </row>
        <row r="17635">
          <cell r="A17635" t="str">
            <v>FGS</v>
          </cell>
          <cell r="B17635" t="str">
            <v>101-00004-001-2200</v>
          </cell>
          <cell r="J17635">
            <v>284.31</v>
          </cell>
        </row>
        <row r="17636">
          <cell r="A17636" t="str">
            <v>FGS</v>
          </cell>
          <cell r="B17636" t="str">
            <v>101-00004-001-2328</v>
          </cell>
          <cell r="J17636">
            <v>63456.3</v>
          </cell>
        </row>
        <row r="17637">
          <cell r="A17637" t="str">
            <v>FGS</v>
          </cell>
          <cell r="B17637" t="str">
            <v>101-00004-001-2341</v>
          </cell>
          <cell r="J17637">
            <v>1341.08</v>
          </cell>
        </row>
        <row r="17638">
          <cell r="A17638" t="str">
            <v>FGS</v>
          </cell>
          <cell r="B17638" t="str">
            <v>101-00004-001-2344</v>
          </cell>
          <cell r="J17638">
            <v>31848.26</v>
          </cell>
        </row>
        <row r="17639">
          <cell r="A17639" t="str">
            <v>FGS</v>
          </cell>
          <cell r="B17639" t="str">
            <v>101-00004-001-2356</v>
          </cell>
          <cell r="J17639">
            <v>10929.93</v>
          </cell>
        </row>
        <row r="17640">
          <cell r="A17640" t="str">
            <v>FGS</v>
          </cell>
          <cell r="B17640" t="str">
            <v>101-00004-001-2393</v>
          </cell>
          <cell r="J17640">
            <v>19872.61</v>
          </cell>
        </row>
        <row r="17641">
          <cell r="A17641" t="str">
            <v>FGS</v>
          </cell>
          <cell r="B17641" t="str">
            <v>101-00004-001-2496</v>
          </cell>
          <cell r="J17641">
            <v>703.39</v>
          </cell>
        </row>
        <row r="17642">
          <cell r="A17642" t="str">
            <v>FGS</v>
          </cell>
          <cell r="B17642" t="str">
            <v>101-00004-001-2557</v>
          </cell>
          <cell r="J17642">
            <v>21950.03</v>
          </cell>
        </row>
        <row r="17643">
          <cell r="A17643" t="str">
            <v>FGS</v>
          </cell>
          <cell r="B17643" t="str">
            <v>101-00004-001-2599</v>
          </cell>
          <cell r="J17643">
            <v>670.54</v>
          </cell>
        </row>
        <row r="17644">
          <cell r="A17644" t="str">
            <v>FGS</v>
          </cell>
          <cell r="B17644" t="str">
            <v>101-00004-001-2865</v>
          </cell>
          <cell r="J17644">
            <v>2907.29</v>
          </cell>
        </row>
        <row r="17645">
          <cell r="A17645" t="str">
            <v>FGS</v>
          </cell>
          <cell r="B17645" t="str">
            <v>101-00004-001-2874</v>
          </cell>
          <cell r="J17645">
            <v>670.54</v>
          </cell>
        </row>
        <row r="17646">
          <cell r="A17646" t="str">
            <v>FGS</v>
          </cell>
          <cell r="B17646" t="str">
            <v>101-00004-001-2894</v>
          </cell>
          <cell r="J17646">
            <v>4821.17</v>
          </cell>
        </row>
        <row r="17647">
          <cell r="A17647" t="str">
            <v>FGS</v>
          </cell>
          <cell r="B17647" t="str">
            <v>101-00004-001-2897</v>
          </cell>
          <cell r="J17647">
            <v>2682.16</v>
          </cell>
        </row>
        <row r="17648">
          <cell r="A17648" t="str">
            <v>FGS</v>
          </cell>
          <cell r="B17648" t="str">
            <v>101-00004-001-2904</v>
          </cell>
          <cell r="J17648">
            <v>3974.15</v>
          </cell>
        </row>
        <row r="17649">
          <cell r="A17649" t="str">
            <v>FGS</v>
          </cell>
          <cell r="B17649" t="str">
            <v>101-00004-001-2917</v>
          </cell>
          <cell r="J17649">
            <v>703.42</v>
          </cell>
        </row>
        <row r="17650">
          <cell r="A17650" t="str">
            <v>FGS</v>
          </cell>
          <cell r="B17650" t="str">
            <v>101-00004-001-2964</v>
          </cell>
          <cell r="J17650">
            <v>5196.63</v>
          </cell>
        </row>
        <row r="17651">
          <cell r="A17651" t="str">
            <v>FGS</v>
          </cell>
          <cell r="B17651" t="str">
            <v>101-00004-001-3143</v>
          </cell>
          <cell r="J17651">
            <v>10929.93</v>
          </cell>
        </row>
        <row r="17652">
          <cell r="A17652" t="str">
            <v>FGS</v>
          </cell>
          <cell r="B17652" t="str">
            <v>101-00004-001-3237</v>
          </cell>
          <cell r="J17652">
            <v>488.38</v>
          </cell>
        </row>
        <row r="17653">
          <cell r="A17653" t="str">
            <v>FGS</v>
          </cell>
          <cell r="B17653" t="str">
            <v>101-00004-001-3328</v>
          </cell>
          <cell r="J17653">
            <v>5232.5</v>
          </cell>
        </row>
        <row r="17654">
          <cell r="A17654" t="str">
            <v>FGS</v>
          </cell>
          <cell r="B17654" t="str">
            <v>101-00004-001-3350</v>
          </cell>
          <cell r="J17654">
            <v>618.25</v>
          </cell>
        </row>
        <row r="17655">
          <cell r="A17655" t="str">
            <v>FGS</v>
          </cell>
          <cell r="B17655" t="str">
            <v>101-00004-001-3433</v>
          </cell>
          <cell r="J17655">
            <v>800.38</v>
          </cell>
        </row>
        <row r="17656">
          <cell r="A17656" t="str">
            <v>FGS</v>
          </cell>
          <cell r="B17656" t="str">
            <v>101-00004-004-0000</v>
          </cell>
          <cell r="J17656">
            <v>0</v>
          </cell>
        </row>
        <row r="17657">
          <cell r="A17657" t="str">
            <v>FGS</v>
          </cell>
          <cell r="B17657" t="str">
            <v>101-00004-004-2872</v>
          </cell>
          <cell r="J17657">
            <v>0</v>
          </cell>
        </row>
        <row r="17658">
          <cell r="A17658" t="str">
            <v>FGS</v>
          </cell>
          <cell r="B17658" t="str">
            <v>101-00005-000-0000</v>
          </cell>
          <cell r="J17658">
            <v>56456.56</v>
          </cell>
        </row>
        <row r="17659">
          <cell r="A17659" t="str">
            <v>FGS</v>
          </cell>
          <cell r="B17659" t="str">
            <v>101-00005-010-0000</v>
          </cell>
          <cell r="J17659">
            <v>56456.56</v>
          </cell>
        </row>
        <row r="17660">
          <cell r="A17660" t="str">
            <v>FGS</v>
          </cell>
          <cell r="B17660" t="str">
            <v>101-00005-010-2328</v>
          </cell>
          <cell r="J17660">
            <v>6456.56</v>
          </cell>
        </row>
        <row r="17661">
          <cell r="A17661" t="str">
            <v>FGS</v>
          </cell>
          <cell r="B17661" t="str">
            <v>101-00005-010-2863</v>
          </cell>
          <cell r="J17661">
            <v>50000</v>
          </cell>
        </row>
        <row r="17662">
          <cell r="A17662" t="str">
            <v>FGS</v>
          </cell>
          <cell r="B17662" t="str">
            <v>101-00006-000-0000</v>
          </cell>
          <cell r="J17662">
            <v>566627.41</v>
          </cell>
        </row>
        <row r="17663">
          <cell r="A17663" t="str">
            <v>FGS</v>
          </cell>
          <cell r="B17663" t="str">
            <v>101-00006-003-0000</v>
          </cell>
          <cell r="J17663">
            <v>566627.41</v>
          </cell>
        </row>
        <row r="17664">
          <cell r="A17664" t="str">
            <v>FGS</v>
          </cell>
          <cell r="B17664" t="str">
            <v>101-00008-000-0000</v>
          </cell>
          <cell r="J17664">
            <v>153232.94</v>
          </cell>
        </row>
        <row r="17665">
          <cell r="A17665" t="str">
            <v>FGS</v>
          </cell>
          <cell r="B17665" t="str">
            <v>101-00008-001-0000</v>
          </cell>
          <cell r="J17665">
            <v>280.12</v>
          </cell>
        </row>
        <row r="17666">
          <cell r="A17666" t="str">
            <v>FGS</v>
          </cell>
          <cell r="B17666" t="str">
            <v>101-00008-002-0000</v>
          </cell>
          <cell r="J17666">
            <v>141825.82</v>
          </cell>
        </row>
        <row r="17667">
          <cell r="A17667" t="str">
            <v>FGS</v>
          </cell>
          <cell r="B17667" t="str">
            <v>101-00008-011-0000</v>
          </cell>
          <cell r="J17667">
            <v>301</v>
          </cell>
        </row>
        <row r="17668">
          <cell r="A17668" t="str">
            <v>FGS</v>
          </cell>
          <cell r="B17668" t="str">
            <v>101-00008-012-0000</v>
          </cell>
          <cell r="J17668">
            <v>10826</v>
          </cell>
        </row>
        <row r="17669">
          <cell r="A17669" t="str">
            <v>FGS</v>
          </cell>
          <cell r="B17669" t="str">
            <v>101-00008-012-0002</v>
          </cell>
          <cell r="J17669">
            <v>10743</v>
          </cell>
        </row>
        <row r="17670">
          <cell r="A17670" t="str">
            <v>FGS</v>
          </cell>
          <cell r="B17670" t="str">
            <v>101-00008-012-0003</v>
          </cell>
          <cell r="J17670">
            <v>83</v>
          </cell>
        </row>
        <row r="17671">
          <cell r="A17671" t="str">
            <v>FGS</v>
          </cell>
          <cell r="B17671" t="str">
            <v>101-00010-000-0000</v>
          </cell>
          <cell r="J17671">
            <v>368272.98</v>
          </cell>
        </row>
        <row r="17672">
          <cell r="A17672" t="str">
            <v>FGS</v>
          </cell>
          <cell r="B17672" t="str">
            <v>101-00010-001-0000</v>
          </cell>
          <cell r="J17672">
            <v>368272.98</v>
          </cell>
        </row>
        <row r="17673">
          <cell r="A17673" t="str">
            <v>FGS</v>
          </cell>
          <cell r="B17673" t="str">
            <v>101-00011-000-0000</v>
          </cell>
          <cell r="J17673">
            <v>649.72</v>
          </cell>
        </row>
        <row r="17674">
          <cell r="A17674" t="str">
            <v>FGS</v>
          </cell>
          <cell r="B17674" t="str">
            <v>101-00011-001-0000</v>
          </cell>
          <cell r="J17674">
            <v>649.72</v>
          </cell>
        </row>
        <row r="17675">
          <cell r="A17675" t="str">
            <v>FGS</v>
          </cell>
          <cell r="B17675" t="str">
            <v>101-00015-000-0000</v>
          </cell>
          <cell r="J17675">
            <v>12629382</v>
          </cell>
        </row>
        <row r="17676">
          <cell r="A17676" t="str">
            <v>FGS</v>
          </cell>
          <cell r="B17676" t="str">
            <v>101-00015-001-0000</v>
          </cell>
          <cell r="J17676">
            <v>12629382</v>
          </cell>
        </row>
        <row r="17677">
          <cell r="A17677" t="str">
            <v>FGS</v>
          </cell>
          <cell r="B17677" t="str">
            <v>101-00015-001-2300</v>
          </cell>
          <cell r="J17677">
            <v>70000</v>
          </cell>
        </row>
        <row r="17678">
          <cell r="A17678" t="str">
            <v>FGS</v>
          </cell>
          <cell r="B17678" t="str">
            <v>101-00015-001-2305</v>
          </cell>
          <cell r="J17678">
            <v>2250000</v>
          </cell>
        </row>
        <row r="17679">
          <cell r="A17679" t="str">
            <v>FGS</v>
          </cell>
          <cell r="B17679" t="str">
            <v>101-00015-001-3141</v>
          </cell>
          <cell r="J17679">
            <v>1635000</v>
          </cell>
        </row>
        <row r="17680">
          <cell r="A17680" t="str">
            <v>FGS</v>
          </cell>
          <cell r="B17680" t="str">
            <v>101-00015-001-3142</v>
          </cell>
          <cell r="J17680">
            <v>8674382</v>
          </cell>
        </row>
        <row r="17681">
          <cell r="A17681" t="str">
            <v>FGS</v>
          </cell>
          <cell r="B17681" t="str">
            <v>102-00000-000-0000</v>
          </cell>
          <cell r="J17681">
            <v>-26680.85</v>
          </cell>
        </row>
        <row r="17682">
          <cell r="A17682" t="str">
            <v>FGS</v>
          </cell>
          <cell r="B17682" t="str">
            <v>102-00002-000-0000</v>
          </cell>
          <cell r="J17682">
            <v>-29103.06</v>
          </cell>
        </row>
        <row r="17683">
          <cell r="A17683" t="str">
            <v>FGS</v>
          </cell>
          <cell r="B17683" t="str">
            <v>102-00002-001-0000</v>
          </cell>
          <cell r="J17683">
            <v>1226322.76</v>
          </cell>
        </row>
        <row r="17684">
          <cell r="A17684" t="str">
            <v>FGS</v>
          </cell>
          <cell r="B17684" t="str">
            <v>102-00002-002-0000</v>
          </cell>
          <cell r="J17684">
            <v>-1255425.82</v>
          </cell>
        </row>
        <row r="17685">
          <cell r="A17685" t="str">
            <v>FGS</v>
          </cell>
          <cell r="B17685" t="str">
            <v>102-00003-000-0000</v>
          </cell>
          <cell r="J17685">
            <v>-557.79</v>
          </cell>
        </row>
        <row r="17686">
          <cell r="A17686" t="str">
            <v>FGS</v>
          </cell>
          <cell r="B17686" t="str">
            <v>102-00003-001-0000</v>
          </cell>
          <cell r="J17686">
            <v>701295</v>
          </cell>
        </row>
        <row r="17687">
          <cell r="A17687" t="str">
            <v>FGS</v>
          </cell>
          <cell r="B17687" t="str">
            <v>102-00003-002-0000</v>
          </cell>
          <cell r="J17687">
            <v>-701852.79</v>
          </cell>
        </row>
        <row r="17688">
          <cell r="A17688" t="str">
            <v>FGS</v>
          </cell>
          <cell r="B17688" t="str">
            <v>102-00006-001-0000</v>
          </cell>
          <cell r="J17688">
            <v>688938.6</v>
          </cell>
        </row>
        <row r="17689">
          <cell r="A17689" t="str">
            <v>FGS</v>
          </cell>
          <cell r="B17689" t="str">
            <v>102-00006-002-0000</v>
          </cell>
          <cell r="J17689">
            <v>-688938.6</v>
          </cell>
        </row>
        <row r="17690">
          <cell r="A17690" t="str">
            <v>FGS</v>
          </cell>
          <cell r="B17690" t="str">
            <v>102-00015-000-0000</v>
          </cell>
          <cell r="J17690">
            <v>2980</v>
          </cell>
        </row>
        <row r="17691">
          <cell r="A17691" t="str">
            <v>FGS</v>
          </cell>
          <cell r="B17691" t="str">
            <v>102-00015-001-0000</v>
          </cell>
          <cell r="J17691">
            <v>2980</v>
          </cell>
        </row>
        <row r="17692">
          <cell r="A17692" t="str">
            <v>FGS</v>
          </cell>
          <cell r="B17692" t="str">
            <v>102-00015-001-2217</v>
          </cell>
          <cell r="J17692">
            <v>2980</v>
          </cell>
        </row>
        <row r="17693">
          <cell r="A17693" t="str">
            <v>FGS</v>
          </cell>
          <cell r="B17693" t="str">
            <v>201-00000-000-0000</v>
          </cell>
          <cell r="J17693">
            <v>-2868510.12</v>
          </cell>
        </row>
        <row r="17694">
          <cell r="A17694" t="str">
            <v>FGS</v>
          </cell>
          <cell r="B17694" t="str">
            <v>201-00002-000-0000</v>
          </cell>
          <cell r="J17694">
            <v>-1334000</v>
          </cell>
        </row>
        <row r="17695">
          <cell r="A17695" t="str">
            <v>FGS</v>
          </cell>
          <cell r="B17695" t="str">
            <v>201-00002-001-0000</v>
          </cell>
          <cell r="J17695">
            <v>-1334000</v>
          </cell>
        </row>
        <row r="17696">
          <cell r="A17696" t="str">
            <v>FGS</v>
          </cell>
          <cell r="B17696" t="str">
            <v>201-00002-001-1127</v>
          </cell>
          <cell r="J17696">
            <v>-1334000</v>
          </cell>
        </row>
        <row r="17697">
          <cell r="A17697" t="str">
            <v>FGS</v>
          </cell>
          <cell r="B17697" t="str">
            <v>201-00002-002-0000</v>
          </cell>
          <cell r="J17697">
            <v>0</v>
          </cell>
        </row>
        <row r="17698">
          <cell r="A17698" t="str">
            <v>FGS</v>
          </cell>
          <cell r="B17698" t="str">
            <v>201-00002-002-0306</v>
          </cell>
          <cell r="J17698">
            <v>0</v>
          </cell>
        </row>
        <row r="17699">
          <cell r="A17699" t="str">
            <v>FGS</v>
          </cell>
          <cell r="B17699" t="str">
            <v>201-00002-002-3122</v>
          </cell>
          <cell r="J17699">
            <v>0</v>
          </cell>
        </row>
        <row r="17700">
          <cell r="A17700" t="str">
            <v>FGS</v>
          </cell>
          <cell r="B17700" t="str">
            <v>201-00002-002-3395</v>
          </cell>
          <cell r="J17700">
            <v>0</v>
          </cell>
        </row>
        <row r="17701">
          <cell r="A17701" t="str">
            <v>FGS</v>
          </cell>
          <cell r="B17701" t="str">
            <v>201-00004-000-0000</v>
          </cell>
          <cell r="J17701">
            <v>-1334000</v>
          </cell>
        </row>
        <row r="17702">
          <cell r="A17702" t="str">
            <v>FGS</v>
          </cell>
          <cell r="B17702" t="str">
            <v>201-00004-001-0000</v>
          </cell>
          <cell r="J17702">
            <v>-1334000</v>
          </cell>
        </row>
        <row r="17703">
          <cell r="A17703" t="str">
            <v>FGS</v>
          </cell>
          <cell r="B17703" t="str">
            <v>201-00004-001-1149</v>
          </cell>
          <cell r="J17703">
            <v>-1334000</v>
          </cell>
        </row>
        <row r="17704">
          <cell r="A17704" t="str">
            <v>FGS</v>
          </cell>
          <cell r="B17704" t="str">
            <v>201-00005-000-0000</v>
          </cell>
          <cell r="J17704">
            <v>-89.7</v>
          </cell>
        </row>
        <row r="17705">
          <cell r="A17705" t="str">
            <v>FGS</v>
          </cell>
          <cell r="B17705" t="str">
            <v>201-00005-003-0000</v>
          </cell>
          <cell r="J17705">
            <v>-89.7</v>
          </cell>
        </row>
        <row r="17706">
          <cell r="A17706" t="str">
            <v>FGS</v>
          </cell>
          <cell r="B17706" t="str">
            <v>201-00008-000-0000</v>
          </cell>
          <cell r="J17706">
            <v>-10124</v>
          </cell>
        </row>
        <row r="17707">
          <cell r="A17707" t="str">
            <v>FGS</v>
          </cell>
          <cell r="B17707" t="str">
            <v>201-00009-000-0000</v>
          </cell>
          <cell r="J17707">
            <v>-79951.59</v>
          </cell>
        </row>
        <row r="17708">
          <cell r="A17708" t="str">
            <v>FGS</v>
          </cell>
          <cell r="B17708" t="str">
            <v>201-00009-001-0000</v>
          </cell>
          <cell r="J17708">
            <v>-79951.59</v>
          </cell>
        </row>
        <row r="17709">
          <cell r="A17709" t="str">
            <v>FGS</v>
          </cell>
          <cell r="B17709" t="str">
            <v>201-00010-000-0000</v>
          </cell>
          <cell r="J17709">
            <v>-110344.83</v>
          </cell>
        </row>
        <row r="17710">
          <cell r="A17710" t="str">
            <v>FGS</v>
          </cell>
          <cell r="B17710" t="str">
            <v>201-00010-001-0000</v>
          </cell>
          <cell r="J17710">
            <v>-110344.83</v>
          </cell>
        </row>
        <row r="17711">
          <cell r="A17711" t="str">
            <v>FGS</v>
          </cell>
          <cell r="B17711" t="str">
            <v>202-00000-000-0000</v>
          </cell>
          <cell r="J17711">
            <v>-7900000</v>
          </cell>
        </row>
        <row r="17712">
          <cell r="A17712" t="str">
            <v>FGS</v>
          </cell>
          <cell r="B17712" t="str">
            <v>202-00001-000-0000</v>
          </cell>
          <cell r="J17712">
            <v>-7900000</v>
          </cell>
        </row>
        <row r="17713">
          <cell r="A17713" t="str">
            <v>FGS</v>
          </cell>
          <cell r="B17713" t="str">
            <v>202-00001-009-0000</v>
          </cell>
          <cell r="J17713">
            <v>-7900000</v>
          </cell>
        </row>
        <row r="17714">
          <cell r="A17714" t="str">
            <v>FGS</v>
          </cell>
          <cell r="B17714" t="str">
            <v>202-00001-009-2872</v>
          </cell>
          <cell r="J17714">
            <v>-7900000</v>
          </cell>
        </row>
        <row r="17715">
          <cell r="A17715" t="str">
            <v>FGS</v>
          </cell>
          <cell r="B17715" t="str">
            <v>301-00000-000-0000</v>
          </cell>
          <cell r="J17715">
            <v>-2958797.24</v>
          </cell>
        </row>
        <row r="17716">
          <cell r="A17716" t="str">
            <v>FGS</v>
          </cell>
          <cell r="B17716" t="str">
            <v>301-00001-000-0000</v>
          </cell>
          <cell r="J17716">
            <v>-110000</v>
          </cell>
        </row>
        <row r="17717">
          <cell r="A17717" t="str">
            <v>FGS</v>
          </cell>
          <cell r="B17717" t="str">
            <v>301-00001-001-0000</v>
          </cell>
          <cell r="J17717">
            <v>-50000</v>
          </cell>
        </row>
        <row r="17718">
          <cell r="A17718" t="str">
            <v>FGS</v>
          </cell>
          <cell r="B17718" t="str">
            <v>301-00001-002-0000</v>
          </cell>
          <cell r="J17718">
            <v>-60000</v>
          </cell>
        </row>
        <row r="17719">
          <cell r="A17719" t="str">
            <v>FGS</v>
          </cell>
          <cell r="B17719" t="str">
            <v>301-00004-000-0000</v>
          </cell>
          <cell r="J17719">
            <v>-2848797.24</v>
          </cell>
        </row>
        <row r="17720">
          <cell r="A17720" t="str">
            <v>FGS</v>
          </cell>
          <cell r="B17720" t="str">
            <v>301-00004-003-0000</v>
          </cell>
          <cell r="J17720">
            <v>4290</v>
          </cell>
        </row>
        <row r="17721">
          <cell r="A17721" t="str">
            <v>FGS</v>
          </cell>
          <cell r="B17721" t="str">
            <v>301-00004-004-0000</v>
          </cell>
          <cell r="J17721">
            <v>-7782.47</v>
          </cell>
        </row>
        <row r="17722">
          <cell r="A17722" t="str">
            <v>FGS</v>
          </cell>
          <cell r="B17722" t="str">
            <v>301-00004-005-0000</v>
          </cell>
          <cell r="J17722">
            <v>-22875.42</v>
          </cell>
        </row>
        <row r="17723">
          <cell r="A17723" t="str">
            <v>FGS</v>
          </cell>
          <cell r="B17723" t="str">
            <v>301-00004-006-0000</v>
          </cell>
          <cell r="J17723">
            <v>-866419.13</v>
          </cell>
        </row>
        <row r="17724">
          <cell r="A17724" t="str">
            <v>FGS</v>
          </cell>
          <cell r="B17724" t="str">
            <v>301-00004-007-0000</v>
          </cell>
          <cell r="J17724">
            <v>-375146.1</v>
          </cell>
        </row>
        <row r="17725">
          <cell r="A17725" t="str">
            <v>FGS</v>
          </cell>
          <cell r="B17725" t="str">
            <v>301-00004-008-0000</v>
          </cell>
          <cell r="J17725">
            <v>-311841.49</v>
          </cell>
        </row>
        <row r="17726">
          <cell r="A17726" t="str">
            <v>FGS</v>
          </cell>
          <cell r="B17726" t="str">
            <v>301-00004-009-0000</v>
          </cell>
          <cell r="J17726">
            <v>-412955.33</v>
          </cell>
        </row>
        <row r="17727">
          <cell r="A17727" t="str">
            <v>FGS</v>
          </cell>
          <cell r="B17727" t="str">
            <v>301-00004-010-0000</v>
          </cell>
          <cell r="J17727">
            <v>-152735.92000000001</v>
          </cell>
        </row>
        <row r="17728">
          <cell r="A17728" t="str">
            <v>FGS</v>
          </cell>
          <cell r="B17728" t="str">
            <v>301-00004-011-0000</v>
          </cell>
          <cell r="J17728">
            <v>-472562.33</v>
          </cell>
        </row>
        <row r="17729">
          <cell r="A17729" t="str">
            <v>FGS</v>
          </cell>
          <cell r="B17729" t="str">
            <v>301-00004-012-0000</v>
          </cell>
          <cell r="J17729">
            <v>-647595.77</v>
          </cell>
        </row>
        <row r="17730">
          <cell r="A17730" t="str">
            <v>FGS</v>
          </cell>
          <cell r="B17730" t="str">
            <v>301-00004-013-0000</v>
          </cell>
          <cell r="J17730">
            <v>35304.97</v>
          </cell>
        </row>
        <row r="17731">
          <cell r="A17731" t="str">
            <v>FGS</v>
          </cell>
          <cell r="B17731" t="str">
            <v>301-00004-014-0000</v>
          </cell>
          <cell r="J17731">
            <v>-1218.8599999999999</v>
          </cell>
        </row>
        <row r="17732">
          <cell r="A17732" t="str">
            <v>FGS</v>
          </cell>
          <cell r="B17732" t="str">
            <v>301-00004-015-0000</v>
          </cell>
          <cell r="J17732">
            <v>533663.79</v>
          </cell>
        </row>
        <row r="17733">
          <cell r="A17733" t="str">
            <v>FGS</v>
          </cell>
          <cell r="B17733" t="str">
            <v>301-00004-016-0000</v>
          </cell>
          <cell r="J17733">
            <v>-116865.87</v>
          </cell>
        </row>
        <row r="17734">
          <cell r="A17734" t="str">
            <v>FGS</v>
          </cell>
          <cell r="B17734" t="str">
            <v>301-00004-017-0000</v>
          </cell>
          <cell r="J17734">
            <v>-34057.31</v>
          </cell>
        </row>
        <row r="17735">
          <cell r="A17735" t="str">
            <v>FGS</v>
          </cell>
          <cell r="B17735" t="str">
            <v>411-00000-000-0000</v>
          </cell>
          <cell r="J17735">
            <v>-715517.24</v>
          </cell>
        </row>
        <row r="17736">
          <cell r="A17736" t="str">
            <v>FGS</v>
          </cell>
          <cell r="B17736" t="str">
            <v>411-24777-000-0000</v>
          </cell>
          <cell r="J17736">
            <v>-689655.17</v>
          </cell>
        </row>
        <row r="17737">
          <cell r="A17737" t="str">
            <v>FGS</v>
          </cell>
          <cell r="B17737" t="str">
            <v>411-24777-004-0000</v>
          </cell>
          <cell r="J17737">
            <v>-689655.17</v>
          </cell>
        </row>
        <row r="17738">
          <cell r="A17738" t="str">
            <v>FGS</v>
          </cell>
          <cell r="B17738" t="str">
            <v>411-24777-004-2872</v>
          </cell>
          <cell r="J17738">
            <v>-689655.17</v>
          </cell>
        </row>
        <row r="17739">
          <cell r="A17739" t="str">
            <v>FGS</v>
          </cell>
          <cell r="B17739" t="str">
            <v>411-25777-000-0000</v>
          </cell>
          <cell r="J17739">
            <v>-25862.07</v>
          </cell>
        </row>
        <row r="17740">
          <cell r="A17740" t="str">
            <v>FGS</v>
          </cell>
          <cell r="B17740" t="str">
            <v>411-25777-004-0000</v>
          </cell>
          <cell r="J17740">
            <v>-25862.07</v>
          </cell>
        </row>
        <row r="17741">
          <cell r="A17741" t="str">
            <v>FGS</v>
          </cell>
          <cell r="B17741" t="str">
            <v>411-25777-004-0468</v>
          </cell>
          <cell r="J17741">
            <v>-25862.07</v>
          </cell>
        </row>
        <row r="17742">
          <cell r="A17742" t="str">
            <v>FGS</v>
          </cell>
          <cell r="B17742" t="str">
            <v>720-00000-000-0000</v>
          </cell>
          <cell r="J17742">
            <v>-1704.92</v>
          </cell>
        </row>
        <row r="17743">
          <cell r="A17743" t="str">
            <v>FGS</v>
          </cell>
          <cell r="B17743" t="str">
            <v>720-99999-000-0000</v>
          </cell>
          <cell r="J17743">
            <v>-1704.92</v>
          </cell>
        </row>
        <row r="17744">
          <cell r="A17744" t="str">
            <v>FGS</v>
          </cell>
          <cell r="B17744" t="str">
            <v>720-99999-001-0000</v>
          </cell>
          <cell r="J17744">
            <v>-1704.92</v>
          </cell>
        </row>
        <row r="17745">
          <cell r="A17745" t="str">
            <v>FGS</v>
          </cell>
          <cell r="B17745" t="str">
            <v>720-99999-001-0001</v>
          </cell>
          <cell r="J17745">
            <v>-1704.92</v>
          </cell>
        </row>
        <row r="17746">
          <cell r="A17746" t="str">
            <v>FGS</v>
          </cell>
          <cell r="B17746" t="str">
            <v>650-00000-000-0000</v>
          </cell>
          <cell r="J17746">
            <v>33811.06</v>
          </cell>
        </row>
        <row r="17747">
          <cell r="A17747" t="str">
            <v>FGS</v>
          </cell>
          <cell r="B17747" t="str">
            <v>650-99999-000-0000</v>
          </cell>
          <cell r="J17747">
            <v>33811.06</v>
          </cell>
        </row>
        <row r="17748">
          <cell r="A17748" t="str">
            <v>FGS</v>
          </cell>
          <cell r="B17748" t="str">
            <v>650-99999-004-0000</v>
          </cell>
          <cell r="J17748">
            <v>9871.6</v>
          </cell>
        </row>
        <row r="17749">
          <cell r="A17749" t="str">
            <v>FGS</v>
          </cell>
          <cell r="B17749" t="str">
            <v>650-99999-004-0008</v>
          </cell>
          <cell r="J17749">
            <v>9871.6</v>
          </cell>
        </row>
        <row r="17750">
          <cell r="A17750" t="str">
            <v>FGS</v>
          </cell>
          <cell r="B17750" t="str">
            <v>650-99999-010-0000</v>
          </cell>
          <cell r="J17750">
            <v>12768</v>
          </cell>
        </row>
        <row r="17751">
          <cell r="A17751" t="str">
            <v>FGS</v>
          </cell>
          <cell r="B17751" t="str">
            <v>650-99999-010-0001</v>
          </cell>
          <cell r="J17751">
            <v>12768</v>
          </cell>
        </row>
        <row r="17752">
          <cell r="A17752" t="str">
            <v>FGS</v>
          </cell>
          <cell r="B17752" t="str">
            <v>650-99999-012-0000</v>
          </cell>
          <cell r="J17752">
            <v>1631.04</v>
          </cell>
        </row>
        <row r="17753">
          <cell r="A17753" t="str">
            <v>FGS</v>
          </cell>
          <cell r="B17753" t="str">
            <v>650-99999-012-0001</v>
          </cell>
          <cell r="J17753">
            <v>1631.04</v>
          </cell>
        </row>
        <row r="17754">
          <cell r="A17754" t="str">
            <v>FGS</v>
          </cell>
          <cell r="B17754" t="str">
            <v>650-99999-023-0000</v>
          </cell>
          <cell r="J17754">
            <v>10963</v>
          </cell>
        </row>
        <row r="17755">
          <cell r="A17755" t="str">
            <v>FGS</v>
          </cell>
          <cell r="B17755" t="str">
            <v>650-99999-025-0000</v>
          </cell>
          <cell r="J17755">
            <v>-1422.58</v>
          </cell>
        </row>
        <row r="17756">
          <cell r="A17756" t="str">
            <v>FGS</v>
          </cell>
          <cell r="B17756" t="str">
            <v>650-99999-025-0001</v>
          </cell>
          <cell r="J17756">
            <v>-1422.58</v>
          </cell>
        </row>
        <row r="17757">
          <cell r="A17757" t="str">
            <v>FGS</v>
          </cell>
          <cell r="B17757" t="str">
            <v>660-00000-000-0000</v>
          </cell>
          <cell r="J17757">
            <v>29660.46</v>
          </cell>
        </row>
        <row r="17758">
          <cell r="A17758" t="str">
            <v>FGS</v>
          </cell>
          <cell r="B17758" t="str">
            <v>660-99999-000-0000</v>
          </cell>
          <cell r="J17758">
            <v>29660.46</v>
          </cell>
        </row>
        <row r="17759">
          <cell r="A17759" t="str">
            <v>FGS</v>
          </cell>
          <cell r="B17759" t="str">
            <v>660-99999-034-0000</v>
          </cell>
          <cell r="J17759">
            <v>29660.46</v>
          </cell>
        </row>
        <row r="17760">
          <cell r="A17760" t="str">
            <v>FGS</v>
          </cell>
          <cell r="B17760" t="str">
            <v>660-99999-034-0002</v>
          </cell>
          <cell r="J17760">
            <v>29103.09</v>
          </cell>
        </row>
        <row r="17761">
          <cell r="A17761" t="str">
            <v>FGS</v>
          </cell>
          <cell r="B17761" t="str">
            <v>660-99999-034-0003</v>
          </cell>
          <cell r="J17761">
            <v>557.37</v>
          </cell>
        </row>
        <row r="17762">
          <cell r="A17762" t="str">
            <v>FGS</v>
          </cell>
          <cell r="B17762" t="str">
            <v>710-00000-000-0000</v>
          </cell>
          <cell r="J17762">
            <v>905</v>
          </cell>
        </row>
        <row r="17763">
          <cell r="A17763" t="str">
            <v>FGS</v>
          </cell>
          <cell r="B17763" t="str">
            <v>710-99999-000-0000</v>
          </cell>
          <cell r="J17763">
            <v>905</v>
          </cell>
        </row>
        <row r="17764">
          <cell r="A17764" t="str">
            <v>FGS</v>
          </cell>
          <cell r="B17764" t="str">
            <v>710-99999-002-0000</v>
          </cell>
          <cell r="J17764">
            <v>905</v>
          </cell>
        </row>
        <row r="17765">
          <cell r="A17765" t="str">
            <v>FGS</v>
          </cell>
          <cell r="B17765" t="str">
            <v>710-99999-002-0001</v>
          </cell>
          <cell r="J17765">
            <v>905</v>
          </cell>
        </row>
        <row r="17766">
          <cell r="A17766" t="str">
            <v>FGS</v>
          </cell>
          <cell r="J17766">
            <v>0</v>
          </cell>
        </row>
        <row r="17767">
          <cell r="A17767" t="str">
            <v>FGS</v>
          </cell>
          <cell r="J17767">
            <v>0</v>
          </cell>
        </row>
        <row r="17768">
          <cell r="A17768" t="str">
            <v>FGS</v>
          </cell>
          <cell r="J17768">
            <v>0</v>
          </cell>
        </row>
        <row r="17769">
          <cell r="A17769" t="str">
            <v>FGS</v>
          </cell>
          <cell r="J17769">
            <v>0</v>
          </cell>
        </row>
        <row r="17770">
          <cell r="A17770" t="str">
            <v>FGS</v>
          </cell>
          <cell r="J17770">
            <v>0</v>
          </cell>
        </row>
        <row r="17771">
          <cell r="A17771" t="str">
            <v>FGS</v>
          </cell>
          <cell r="J17771">
            <v>0</v>
          </cell>
        </row>
        <row r="17772">
          <cell r="A17772" t="str">
            <v>FGS</v>
          </cell>
          <cell r="J17772">
            <v>0</v>
          </cell>
        </row>
        <row r="17773">
          <cell r="A17773" t="str">
            <v>FGS</v>
          </cell>
          <cell r="J17773">
            <v>0</v>
          </cell>
        </row>
        <row r="17774">
          <cell r="A17774" t="str">
            <v>FGS</v>
          </cell>
          <cell r="J17774">
            <v>0</v>
          </cell>
        </row>
        <row r="17775">
          <cell r="A17775" t="str">
            <v>FGS</v>
          </cell>
          <cell r="J17775">
            <v>0</v>
          </cell>
        </row>
        <row r="17776">
          <cell r="A17776" t="str">
            <v>FGS</v>
          </cell>
          <cell r="J17776">
            <v>0</v>
          </cell>
        </row>
        <row r="17777">
          <cell r="A17777" t="str">
            <v>FGS</v>
          </cell>
          <cell r="J17777">
            <v>0</v>
          </cell>
        </row>
        <row r="17778">
          <cell r="A17778" t="str">
            <v>FGS</v>
          </cell>
          <cell r="J17778">
            <v>0</v>
          </cell>
        </row>
        <row r="17779">
          <cell r="A17779" t="str">
            <v>FGS</v>
          </cell>
          <cell r="J17779">
            <v>0</v>
          </cell>
        </row>
        <row r="17780">
          <cell r="A17780" t="str">
            <v>FGS</v>
          </cell>
          <cell r="J17780">
            <v>0</v>
          </cell>
        </row>
        <row r="17781">
          <cell r="A17781" t="str">
            <v>FGS</v>
          </cell>
          <cell r="J17781">
            <v>0</v>
          </cell>
        </row>
        <row r="17782">
          <cell r="A17782" t="str">
            <v>FGS</v>
          </cell>
          <cell r="J17782">
            <v>0</v>
          </cell>
        </row>
        <row r="17783">
          <cell r="A17783" t="str">
            <v>FGS</v>
          </cell>
          <cell r="J17783">
            <v>0</v>
          </cell>
        </row>
        <row r="17784">
          <cell r="A17784" t="str">
            <v>FGS</v>
          </cell>
          <cell r="J17784">
            <v>0</v>
          </cell>
        </row>
        <row r="17785">
          <cell r="A17785" t="str">
            <v>FGS</v>
          </cell>
          <cell r="J17785">
            <v>0</v>
          </cell>
        </row>
        <row r="17786">
          <cell r="A17786" t="str">
            <v>FGS</v>
          </cell>
          <cell r="J17786">
            <v>0</v>
          </cell>
        </row>
        <row r="17787">
          <cell r="A17787" t="str">
            <v>FGS</v>
          </cell>
          <cell r="J17787">
            <v>0</v>
          </cell>
        </row>
        <row r="17788">
          <cell r="A17788" t="str">
            <v>FGS</v>
          </cell>
          <cell r="J17788">
            <v>0</v>
          </cell>
        </row>
        <row r="17789">
          <cell r="A17789" t="str">
            <v>FGS</v>
          </cell>
          <cell r="J17789">
            <v>0</v>
          </cell>
        </row>
        <row r="17790">
          <cell r="A17790" t="str">
            <v>FGS</v>
          </cell>
          <cell r="J17790">
            <v>0</v>
          </cell>
        </row>
        <row r="17791">
          <cell r="A17791" t="str">
            <v>FGS</v>
          </cell>
          <cell r="J17791">
            <v>0</v>
          </cell>
        </row>
        <row r="17792">
          <cell r="A17792" t="str">
            <v>FGS</v>
          </cell>
          <cell r="J17792">
            <v>0</v>
          </cell>
        </row>
        <row r="17793">
          <cell r="A17793" t="str">
            <v>FGS</v>
          </cell>
          <cell r="J17793">
            <v>0</v>
          </cell>
        </row>
        <row r="17794">
          <cell r="A17794" t="str">
            <v>FGS</v>
          </cell>
          <cell r="J17794">
            <v>0</v>
          </cell>
        </row>
        <row r="17795">
          <cell r="A17795" t="str">
            <v>FGS</v>
          </cell>
          <cell r="J17795">
            <v>0</v>
          </cell>
        </row>
        <row r="17796">
          <cell r="A17796" t="str">
            <v>FGS</v>
          </cell>
          <cell r="J17796">
            <v>0</v>
          </cell>
        </row>
        <row r="17797">
          <cell r="A17797" t="str">
            <v>FGS</v>
          </cell>
          <cell r="J17797">
            <v>0</v>
          </cell>
        </row>
        <row r="17798">
          <cell r="A17798" t="str">
            <v>FGS</v>
          </cell>
          <cell r="J17798">
            <v>0</v>
          </cell>
        </row>
        <row r="17799">
          <cell r="A17799" t="str">
            <v>FGS</v>
          </cell>
          <cell r="J17799">
            <v>0</v>
          </cell>
        </row>
        <row r="17800">
          <cell r="A17800" t="str">
            <v>FGS</v>
          </cell>
          <cell r="J17800">
            <v>0</v>
          </cell>
        </row>
        <row r="17801">
          <cell r="A17801" t="str">
            <v>FGS</v>
          </cell>
          <cell r="J17801">
            <v>0</v>
          </cell>
        </row>
        <row r="17802">
          <cell r="A17802" t="str">
            <v>FGS</v>
          </cell>
          <cell r="J17802">
            <v>0</v>
          </cell>
        </row>
        <row r="17803">
          <cell r="A17803" t="str">
            <v>FGS</v>
          </cell>
          <cell r="J17803">
            <v>0</v>
          </cell>
        </row>
        <row r="17804">
          <cell r="A17804" t="str">
            <v>FGS</v>
          </cell>
          <cell r="J17804">
            <v>0</v>
          </cell>
        </row>
        <row r="17805">
          <cell r="A17805" t="str">
            <v>FGS</v>
          </cell>
          <cell r="J17805">
            <v>0</v>
          </cell>
        </row>
        <row r="17806">
          <cell r="A17806" t="str">
            <v>FGS</v>
          </cell>
          <cell r="J17806">
            <v>0</v>
          </cell>
        </row>
        <row r="17807">
          <cell r="A17807" t="str">
            <v>FGS</v>
          </cell>
          <cell r="J17807">
            <v>0</v>
          </cell>
        </row>
        <row r="17808">
          <cell r="A17808" t="str">
            <v>FGS</v>
          </cell>
          <cell r="J17808">
            <v>0</v>
          </cell>
        </row>
        <row r="17809">
          <cell r="A17809" t="str">
            <v>FGS</v>
          </cell>
          <cell r="J17809">
            <v>0</v>
          </cell>
        </row>
        <row r="17810">
          <cell r="A17810" t="str">
            <v>FGS</v>
          </cell>
          <cell r="J17810">
            <v>0</v>
          </cell>
        </row>
        <row r="17811">
          <cell r="A17811" t="str">
            <v>FGS</v>
          </cell>
          <cell r="J17811">
            <v>0</v>
          </cell>
        </row>
        <row r="17812">
          <cell r="A17812" t="str">
            <v>FGS</v>
          </cell>
          <cell r="J17812">
            <v>0</v>
          </cell>
        </row>
        <row r="17813">
          <cell r="A17813" t="str">
            <v>FGS</v>
          </cell>
          <cell r="J17813">
            <v>0</v>
          </cell>
        </row>
        <row r="17814">
          <cell r="A17814" t="str">
            <v>FGS</v>
          </cell>
          <cell r="J17814">
            <v>0</v>
          </cell>
        </row>
        <row r="17815">
          <cell r="A17815" t="str">
            <v>FGS</v>
          </cell>
          <cell r="J17815">
            <v>0</v>
          </cell>
        </row>
        <row r="17816">
          <cell r="A17816" t="str">
            <v>FGS</v>
          </cell>
          <cell r="J17816">
            <v>0</v>
          </cell>
        </row>
        <row r="17817">
          <cell r="A17817" t="str">
            <v>FGS</v>
          </cell>
          <cell r="J17817">
            <v>0</v>
          </cell>
        </row>
        <row r="17818">
          <cell r="A17818" t="str">
            <v>FGS</v>
          </cell>
          <cell r="J17818">
            <v>0</v>
          </cell>
        </row>
        <row r="17819">
          <cell r="A17819" t="str">
            <v>FGS</v>
          </cell>
          <cell r="J17819">
            <v>0</v>
          </cell>
        </row>
        <row r="17820">
          <cell r="A17820" t="str">
            <v>FGS</v>
          </cell>
          <cell r="J17820">
            <v>0</v>
          </cell>
        </row>
        <row r="17821">
          <cell r="A17821" t="str">
            <v>FGS</v>
          </cell>
          <cell r="J17821">
            <v>0</v>
          </cell>
        </row>
        <row r="17822">
          <cell r="A17822" t="str">
            <v>FGS</v>
          </cell>
          <cell r="J17822">
            <v>0</v>
          </cell>
        </row>
        <row r="17823">
          <cell r="A17823" t="str">
            <v>FGS</v>
          </cell>
          <cell r="J17823">
            <v>0</v>
          </cell>
        </row>
        <row r="17824">
          <cell r="A17824" t="str">
            <v>FGS</v>
          </cell>
          <cell r="J17824">
            <v>0</v>
          </cell>
        </row>
        <row r="17825">
          <cell r="A17825" t="str">
            <v>FGS</v>
          </cell>
          <cell r="J17825">
            <v>0</v>
          </cell>
        </row>
        <row r="17826">
          <cell r="A17826" t="str">
            <v>FGS</v>
          </cell>
          <cell r="J17826">
            <v>0</v>
          </cell>
        </row>
        <row r="17827">
          <cell r="A17827" t="str">
            <v>FGS</v>
          </cell>
          <cell r="J17827">
            <v>0</v>
          </cell>
        </row>
        <row r="17828">
          <cell r="A17828" t="str">
            <v>FGS</v>
          </cell>
          <cell r="J17828">
            <v>0</v>
          </cell>
        </row>
        <row r="17829">
          <cell r="A17829" t="str">
            <v>FGS</v>
          </cell>
          <cell r="J17829">
            <v>0</v>
          </cell>
        </row>
        <row r="17830">
          <cell r="A17830" t="str">
            <v>FGS</v>
          </cell>
          <cell r="J17830">
            <v>0</v>
          </cell>
        </row>
        <row r="17831">
          <cell r="A17831" t="str">
            <v>FGS</v>
          </cell>
          <cell r="J17831">
            <v>0</v>
          </cell>
        </row>
        <row r="17832">
          <cell r="A17832" t="str">
            <v>FGS</v>
          </cell>
          <cell r="J17832">
            <v>0</v>
          </cell>
        </row>
        <row r="17833">
          <cell r="A17833" t="str">
            <v>FGS</v>
          </cell>
          <cell r="J17833">
            <v>0</v>
          </cell>
        </row>
        <row r="17834">
          <cell r="A17834" t="str">
            <v>FGS</v>
          </cell>
          <cell r="J17834">
            <v>0</v>
          </cell>
        </row>
        <row r="17835">
          <cell r="A17835" t="str">
            <v>FGS</v>
          </cell>
          <cell r="J17835">
            <v>0</v>
          </cell>
        </row>
        <row r="17836">
          <cell r="A17836" t="str">
            <v>FGS</v>
          </cell>
          <cell r="J17836">
            <v>0</v>
          </cell>
        </row>
        <row r="17837">
          <cell r="A17837" t="str">
            <v>FGS</v>
          </cell>
          <cell r="J17837">
            <v>0</v>
          </cell>
        </row>
        <row r="17838">
          <cell r="A17838" t="str">
            <v>FGS</v>
          </cell>
          <cell r="J17838">
            <v>0</v>
          </cell>
        </row>
        <row r="17839">
          <cell r="A17839" t="str">
            <v>FGS</v>
          </cell>
          <cell r="J17839">
            <v>0</v>
          </cell>
        </row>
        <row r="17840">
          <cell r="A17840" t="str">
            <v>FGS</v>
          </cell>
          <cell r="J17840">
            <v>0</v>
          </cell>
        </row>
        <row r="17841">
          <cell r="A17841" t="str">
            <v>FGS</v>
          </cell>
          <cell r="J17841">
            <v>0</v>
          </cell>
        </row>
        <row r="17842">
          <cell r="A17842" t="str">
            <v>FGS</v>
          </cell>
          <cell r="J17842">
            <v>0</v>
          </cell>
        </row>
        <row r="17843">
          <cell r="A17843" t="str">
            <v>FGS</v>
          </cell>
          <cell r="J17843">
            <v>0</v>
          </cell>
        </row>
        <row r="17844">
          <cell r="A17844" t="str">
            <v>FGS</v>
          </cell>
          <cell r="J17844">
            <v>0</v>
          </cell>
        </row>
        <row r="17845">
          <cell r="A17845" t="str">
            <v>FGS</v>
          </cell>
          <cell r="J17845">
            <v>0</v>
          </cell>
        </row>
        <row r="17846">
          <cell r="A17846" t="str">
            <v>FGS</v>
          </cell>
          <cell r="J17846">
            <v>0</v>
          </cell>
        </row>
        <row r="17847">
          <cell r="A17847" t="str">
            <v>FGS</v>
          </cell>
          <cell r="J17847">
            <v>0</v>
          </cell>
        </row>
        <row r="17848">
          <cell r="A17848" t="str">
            <v>FGS</v>
          </cell>
          <cell r="J17848">
            <v>0</v>
          </cell>
        </row>
        <row r="17849">
          <cell r="A17849" t="str">
            <v>FGS</v>
          </cell>
          <cell r="J17849">
            <v>0</v>
          </cell>
        </row>
        <row r="17850">
          <cell r="A17850" t="str">
            <v>FGS</v>
          </cell>
          <cell r="J17850">
            <v>0</v>
          </cell>
        </row>
        <row r="17851">
          <cell r="A17851" t="str">
            <v>FGS</v>
          </cell>
          <cell r="J17851">
            <v>0</v>
          </cell>
        </row>
        <row r="17852">
          <cell r="A17852" t="str">
            <v>FGS</v>
          </cell>
          <cell r="J17852">
            <v>0</v>
          </cell>
        </row>
        <row r="17853">
          <cell r="A17853" t="str">
            <v>FGS</v>
          </cell>
          <cell r="J17853">
            <v>0</v>
          </cell>
        </row>
        <row r="17854">
          <cell r="A17854" t="str">
            <v>FGS</v>
          </cell>
          <cell r="J17854">
            <v>0</v>
          </cell>
        </row>
        <row r="17855">
          <cell r="A17855" t="str">
            <v>FGS</v>
          </cell>
          <cell r="J17855">
            <v>0</v>
          </cell>
        </row>
        <row r="17856">
          <cell r="A17856" t="str">
            <v>FGS</v>
          </cell>
          <cell r="J17856">
            <v>0</v>
          </cell>
        </row>
        <row r="17857">
          <cell r="A17857" t="str">
            <v>FGS</v>
          </cell>
          <cell r="J17857">
            <v>0</v>
          </cell>
        </row>
        <row r="17858">
          <cell r="A17858" t="str">
            <v>FGS</v>
          </cell>
          <cell r="J17858">
            <v>0</v>
          </cell>
        </row>
        <row r="17859">
          <cell r="A17859" t="str">
            <v>FGS</v>
          </cell>
          <cell r="J17859">
            <v>0</v>
          </cell>
        </row>
        <row r="17860">
          <cell r="A17860" t="str">
            <v>FGS</v>
          </cell>
          <cell r="J17860">
            <v>0</v>
          </cell>
        </row>
        <row r="17861">
          <cell r="A17861" t="str">
            <v>FGS</v>
          </cell>
          <cell r="J17861">
            <v>0</v>
          </cell>
        </row>
        <row r="17862">
          <cell r="A17862" t="str">
            <v>FGS</v>
          </cell>
          <cell r="J17862">
            <v>0</v>
          </cell>
        </row>
        <row r="17863">
          <cell r="A17863" t="str">
            <v>FGS</v>
          </cell>
          <cell r="J17863">
            <v>0</v>
          </cell>
        </row>
        <row r="17864">
          <cell r="A17864" t="str">
            <v>FGS</v>
          </cell>
          <cell r="J17864">
            <v>0</v>
          </cell>
        </row>
        <row r="17865">
          <cell r="A17865" t="str">
            <v>FGS</v>
          </cell>
          <cell r="J17865">
            <v>0</v>
          </cell>
        </row>
        <row r="17866">
          <cell r="A17866" t="str">
            <v>FGS</v>
          </cell>
          <cell r="J17866">
            <v>0</v>
          </cell>
        </row>
        <row r="17867">
          <cell r="A17867" t="str">
            <v>FGS</v>
          </cell>
          <cell r="J17867">
            <v>0</v>
          </cell>
        </row>
        <row r="17868">
          <cell r="A17868" t="str">
            <v>FGS</v>
          </cell>
          <cell r="J17868">
            <v>0</v>
          </cell>
        </row>
        <row r="17869">
          <cell r="A17869" t="str">
            <v>FGS</v>
          </cell>
          <cell r="J17869">
            <v>0</v>
          </cell>
        </row>
        <row r="17870">
          <cell r="A17870" t="str">
            <v>FGS</v>
          </cell>
          <cell r="J17870">
            <v>0</v>
          </cell>
        </row>
        <row r="17871">
          <cell r="A17871" t="str">
            <v>FGS</v>
          </cell>
          <cell r="J17871">
            <v>0</v>
          </cell>
        </row>
        <row r="17872">
          <cell r="A17872" t="str">
            <v>FGS</v>
          </cell>
          <cell r="J17872">
            <v>0</v>
          </cell>
        </row>
        <row r="17873">
          <cell r="A17873" t="str">
            <v>FGS</v>
          </cell>
          <cell r="J17873">
            <v>0</v>
          </cell>
        </row>
        <row r="17874">
          <cell r="A17874" t="str">
            <v>FGS</v>
          </cell>
          <cell r="J17874">
            <v>0</v>
          </cell>
        </row>
        <row r="17875">
          <cell r="A17875" t="str">
            <v>FGS</v>
          </cell>
          <cell r="J17875">
            <v>0</v>
          </cell>
        </row>
        <row r="17876">
          <cell r="A17876" t="str">
            <v>FGS</v>
          </cell>
          <cell r="J17876">
            <v>0</v>
          </cell>
        </row>
        <row r="17877">
          <cell r="A17877" t="str">
            <v>FGS</v>
          </cell>
          <cell r="J17877">
            <v>0</v>
          </cell>
        </row>
        <row r="17878">
          <cell r="A17878" t="str">
            <v>FGS</v>
          </cell>
          <cell r="J17878">
            <v>0</v>
          </cell>
        </row>
        <row r="17879">
          <cell r="A17879" t="str">
            <v>FGS</v>
          </cell>
          <cell r="J17879">
            <v>0</v>
          </cell>
        </row>
        <row r="17880">
          <cell r="A17880" t="str">
            <v>FGS</v>
          </cell>
          <cell r="J17880">
            <v>0</v>
          </cell>
        </row>
        <row r="17881">
          <cell r="A17881" t="str">
            <v>FGS</v>
          </cell>
          <cell r="J17881">
            <v>0</v>
          </cell>
        </row>
        <row r="17882">
          <cell r="A17882" t="str">
            <v>FGS</v>
          </cell>
          <cell r="J17882">
            <v>0</v>
          </cell>
        </row>
        <row r="17883">
          <cell r="A17883" t="str">
            <v>FGS</v>
          </cell>
          <cell r="J17883">
            <v>0</v>
          </cell>
        </row>
        <row r="17884">
          <cell r="A17884" t="str">
            <v>FGS</v>
          </cell>
          <cell r="J17884">
            <v>0</v>
          </cell>
        </row>
        <row r="17885">
          <cell r="A17885" t="str">
            <v>FGS</v>
          </cell>
          <cell r="J17885">
            <v>0</v>
          </cell>
        </row>
        <row r="17886">
          <cell r="A17886" t="str">
            <v>FGS</v>
          </cell>
          <cell r="J17886">
            <v>0</v>
          </cell>
        </row>
        <row r="17887">
          <cell r="A17887" t="str">
            <v>FGS</v>
          </cell>
          <cell r="J17887">
            <v>0</v>
          </cell>
        </row>
        <row r="17888">
          <cell r="A17888" t="str">
            <v>FGS</v>
          </cell>
          <cell r="J17888">
            <v>0</v>
          </cell>
        </row>
        <row r="17889">
          <cell r="A17889" t="str">
            <v>FGS</v>
          </cell>
          <cell r="J17889">
            <v>0</v>
          </cell>
        </row>
        <row r="17890">
          <cell r="A17890" t="str">
            <v>FGS</v>
          </cell>
          <cell r="J17890">
            <v>0</v>
          </cell>
        </row>
        <row r="17891">
          <cell r="A17891" t="str">
            <v>FGS</v>
          </cell>
          <cell r="J17891">
            <v>0</v>
          </cell>
        </row>
        <row r="17892">
          <cell r="A17892" t="str">
            <v>FGS</v>
          </cell>
          <cell r="J17892">
            <v>0</v>
          </cell>
        </row>
        <row r="17893">
          <cell r="A17893" t="str">
            <v>FGS</v>
          </cell>
          <cell r="J17893">
            <v>0</v>
          </cell>
        </row>
        <row r="17894">
          <cell r="A17894" t="str">
            <v>FGS</v>
          </cell>
          <cell r="J17894">
            <v>0</v>
          </cell>
        </row>
        <row r="17895">
          <cell r="A17895" t="str">
            <v>FGS</v>
          </cell>
          <cell r="J17895">
            <v>0</v>
          </cell>
        </row>
        <row r="17896">
          <cell r="A17896" t="str">
            <v>FGS</v>
          </cell>
          <cell r="J17896">
            <v>0</v>
          </cell>
        </row>
        <row r="17897">
          <cell r="A17897" t="str">
            <v>FGS</v>
          </cell>
          <cell r="J17897">
            <v>0</v>
          </cell>
        </row>
        <row r="17898">
          <cell r="A17898" t="str">
            <v>FGS</v>
          </cell>
          <cell r="J17898">
            <v>0</v>
          </cell>
        </row>
        <row r="17899">
          <cell r="A17899" t="str">
            <v>FGS</v>
          </cell>
          <cell r="J17899">
            <v>0</v>
          </cell>
        </row>
        <row r="17900">
          <cell r="A17900" t="str">
            <v>FGS</v>
          </cell>
          <cell r="J17900">
            <v>0</v>
          </cell>
        </row>
        <row r="17901">
          <cell r="A17901" t="str">
            <v>FGS</v>
          </cell>
          <cell r="J17901">
            <v>0</v>
          </cell>
        </row>
        <row r="17902">
          <cell r="A17902" t="str">
            <v>FGS</v>
          </cell>
          <cell r="J17902">
            <v>0</v>
          </cell>
        </row>
        <row r="17903">
          <cell r="A17903" t="str">
            <v>FGS</v>
          </cell>
          <cell r="J17903">
            <v>0</v>
          </cell>
        </row>
        <row r="17904">
          <cell r="A17904" t="str">
            <v>FGS</v>
          </cell>
          <cell r="J17904">
            <v>0</v>
          </cell>
        </row>
        <row r="17905">
          <cell r="A17905" t="str">
            <v>FGS</v>
          </cell>
          <cell r="J17905">
            <v>0</v>
          </cell>
        </row>
        <row r="17906">
          <cell r="A17906" t="str">
            <v>FGS</v>
          </cell>
          <cell r="J17906">
            <v>0</v>
          </cell>
        </row>
        <row r="17907">
          <cell r="A17907" t="str">
            <v>FGS</v>
          </cell>
          <cell r="J17907">
            <v>0</v>
          </cell>
        </row>
        <row r="17908">
          <cell r="A17908" t="str">
            <v>FGS</v>
          </cell>
          <cell r="J17908">
            <v>0</v>
          </cell>
        </row>
        <row r="17909">
          <cell r="A17909" t="str">
            <v>FGS</v>
          </cell>
          <cell r="J17909">
            <v>0</v>
          </cell>
        </row>
        <row r="17910">
          <cell r="A17910" t="str">
            <v>FGS</v>
          </cell>
          <cell r="J17910">
            <v>0</v>
          </cell>
        </row>
        <row r="17911">
          <cell r="A17911" t="str">
            <v>FGS</v>
          </cell>
          <cell r="J17911">
            <v>0</v>
          </cell>
        </row>
        <row r="17912">
          <cell r="A17912" t="str">
            <v>FGS</v>
          </cell>
          <cell r="J17912">
            <v>0</v>
          </cell>
        </row>
        <row r="17913">
          <cell r="A17913" t="str">
            <v>FGS</v>
          </cell>
          <cell r="J17913">
            <v>0</v>
          </cell>
        </row>
        <row r="17914">
          <cell r="A17914" t="str">
            <v>FGS</v>
          </cell>
          <cell r="J17914">
            <v>0</v>
          </cell>
        </row>
        <row r="17915">
          <cell r="A17915" t="str">
            <v>FGS</v>
          </cell>
          <cell r="J17915">
            <v>0</v>
          </cell>
        </row>
        <row r="17916">
          <cell r="A17916" t="str">
            <v>FGS</v>
          </cell>
          <cell r="J17916">
            <v>0</v>
          </cell>
        </row>
        <row r="17917">
          <cell r="A17917" t="str">
            <v>FGS</v>
          </cell>
          <cell r="J17917">
            <v>0</v>
          </cell>
        </row>
        <row r="17918">
          <cell r="A17918" t="str">
            <v>FGS</v>
          </cell>
          <cell r="J17918">
            <v>0</v>
          </cell>
        </row>
        <row r="17919">
          <cell r="A17919" t="str">
            <v>FGS</v>
          </cell>
          <cell r="J17919">
            <v>0</v>
          </cell>
        </row>
        <row r="17920">
          <cell r="A17920" t="str">
            <v>FGS</v>
          </cell>
          <cell r="J17920">
            <v>0</v>
          </cell>
        </row>
        <row r="17921">
          <cell r="A17921" t="str">
            <v>FGS</v>
          </cell>
          <cell r="J17921">
            <v>0</v>
          </cell>
        </row>
        <row r="17922">
          <cell r="A17922" t="str">
            <v>FGS</v>
          </cell>
          <cell r="J17922">
            <v>0</v>
          </cell>
        </row>
        <row r="17923">
          <cell r="A17923" t="str">
            <v>FGS</v>
          </cell>
          <cell r="J17923">
            <v>0</v>
          </cell>
        </row>
        <row r="17924">
          <cell r="A17924" t="str">
            <v>FGS</v>
          </cell>
          <cell r="J17924">
            <v>0</v>
          </cell>
        </row>
        <row r="17925">
          <cell r="A17925" t="str">
            <v>FGS</v>
          </cell>
          <cell r="J17925">
            <v>0</v>
          </cell>
        </row>
        <row r="17926">
          <cell r="A17926" t="str">
            <v>FGS</v>
          </cell>
          <cell r="J17926">
            <v>0</v>
          </cell>
        </row>
        <row r="17927">
          <cell r="A17927" t="str">
            <v>FGS</v>
          </cell>
          <cell r="J17927">
            <v>0</v>
          </cell>
        </row>
        <row r="17928">
          <cell r="A17928" t="str">
            <v>FGS</v>
          </cell>
          <cell r="J17928">
            <v>0</v>
          </cell>
        </row>
        <row r="17929">
          <cell r="A17929" t="str">
            <v>FGS</v>
          </cell>
          <cell r="J17929">
            <v>0</v>
          </cell>
        </row>
        <row r="17930">
          <cell r="A17930" t="str">
            <v>FGS</v>
          </cell>
          <cell r="J17930">
            <v>0</v>
          </cell>
        </row>
        <row r="17931">
          <cell r="A17931" t="str">
            <v>FGS</v>
          </cell>
          <cell r="J17931">
            <v>0</v>
          </cell>
        </row>
        <row r="17932">
          <cell r="A17932" t="str">
            <v>FGS</v>
          </cell>
          <cell r="J17932">
            <v>0</v>
          </cell>
        </row>
        <row r="17933">
          <cell r="A17933" t="str">
            <v>FGS</v>
          </cell>
          <cell r="J17933">
            <v>0</v>
          </cell>
        </row>
        <row r="17934">
          <cell r="A17934" t="str">
            <v>FGS</v>
          </cell>
          <cell r="J17934">
            <v>0</v>
          </cell>
        </row>
        <row r="17935">
          <cell r="A17935" t="str">
            <v>FGS</v>
          </cell>
          <cell r="J17935">
            <v>0</v>
          </cell>
        </row>
        <row r="17936">
          <cell r="A17936" t="str">
            <v>FGS</v>
          </cell>
          <cell r="J17936">
            <v>0</v>
          </cell>
        </row>
        <row r="17937">
          <cell r="A17937" t="str">
            <v>FGS</v>
          </cell>
          <cell r="J17937">
            <v>0</v>
          </cell>
        </row>
        <row r="17938">
          <cell r="A17938" t="str">
            <v>FGS</v>
          </cell>
          <cell r="J17938">
            <v>0</v>
          </cell>
        </row>
        <row r="17939">
          <cell r="A17939" t="str">
            <v>FGS</v>
          </cell>
          <cell r="J17939">
            <v>0</v>
          </cell>
        </row>
        <row r="17940">
          <cell r="A17940" t="str">
            <v>FGS</v>
          </cell>
          <cell r="J17940">
            <v>0</v>
          </cell>
        </row>
        <row r="17941">
          <cell r="A17941" t="str">
            <v>FGS</v>
          </cell>
          <cell r="J17941">
            <v>0</v>
          </cell>
        </row>
        <row r="17942">
          <cell r="A17942" t="str">
            <v>FGS</v>
          </cell>
          <cell r="J17942">
            <v>0</v>
          </cell>
        </row>
        <row r="17943">
          <cell r="A17943" t="str">
            <v>FGS</v>
          </cell>
          <cell r="J17943">
            <v>0</v>
          </cell>
        </row>
        <row r="17944">
          <cell r="A17944" t="str">
            <v>FGS</v>
          </cell>
          <cell r="J17944">
            <v>0</v>
          </cell>
        </row>
        <row r="17945">
          <cell r="A17945" t="str">
            <v>FGS</v>
          </cell>
          <cell r="J17945">
            <v>0</v>
          </cell>
        </row>
        <row r="17946">
          <cell r="A17946" t="str">
            <v>FGS</v>
          </cell>
          <cell r="J17946">
            <v>0</v>
          </cell>
        </row>
        <row r="17947">
          <cell r="A17947" t="str">
            <v>FGS</v>
          </cell>
          <cell r="J17947">
            <v>0</v>
          </cell>
        </row>
        <row r="17948">
          <cell r="A17948" t="str">
            <v>FGS</v>
          </cell>
          <cell r="J17948">
            <v>0</v>
          </cell>
        </row>
        <row r="17949">
          <cell r="A17949" t="str">
            <v>FGS</v>
          </cell>
          <cell r="J17949">
            <v>0</v>
          </cell>
        </row>
        <row r="17950">
          <cell r="A17950" t="str">
            <v>FGS</v>
          </cell>
          <cell r="J17950">
            <v>0</v>
          </cell>
        </row>
        <row r="17951">
          <cell r="A17951" t="str">
            <v>FGS</v>
          </cell>
          <cell r="J17951">
            <v>0</v>
          </cell>
        </row>
        <row r="17952">
          <cell r="A17952" t="str">
            <v>FGS</v>
          </cell>
          <cell r="J17952">
            <v>0</v>
          </cell>
        </row>
        <row r="17953">
          <cell r="A17953" t="str">
            <v>FGS</v>
          </cell>
          <cell r="J17953">
            <v>0</v>
          </cell>
        </row>
        <row r="17954">
          <cell r="A17954" t="str">
            <v>FGS</v>
          </cell>
          <cell r="J17954">
            <v>0</v>
          </cell>
        </row>
        <row r="17955">
          <cell r="A17955" t="str">
            <v>FGS</v>
          </cell>
          <cell r="J17955">
            <v>0</v>
          </cell>
        </row>
        <row r="17956">
          <cell r="A17956" t="str">
            <v>FGS</v>
          </cell>
          <cell r="J17956">
            <v>0</v>
          </cell>
        </row>
        <row r="17957">
          <cell r="A17957" t="str">
            <v>FGS</v>
          </cell>
          <cell r="J17957">
            <v>0</v>
          </cell>
        </row>
        <row r="17958">
          <cell r="A17958" t="str">
            <v>FGS</v>
          </cell>
          <cell r="J17958">
            <v>0</v>
          </cell>
        </row>
        <row r="17959">
          <cell r="A17959" t="str">
            <v>FGS</v>
          </cell>
          <cell r="J17959">
            <v>0</v>
          </cell>
        </row>
        <row r="17960">
          <cell r="A17960" t="str">
            <v>FGS</v>
          </cell>
          <cell r="J17960">
            <v>0</v>
          </cell>
        </row>
        <row r="17961">
          <cell r="A17961" t="str">
            <v>FGS</v>
          </cell>
          <cell r="J17961">
            <v>0</v>
          </cell>
        </row>
        <row r="17962">
          <cell r="A17962" t="str">
            <v>FGS</v>
          </cell>
          <cell r="J17962">
            <v>0</v>
          </cell>
        </row>
        <row r="17963">
          <cell r="A17963" t="str">
            <v>FGS</v>
          </cell>
          <cell r="J17963">
            <v>0</v>
          </cell>
        </row>
        <row r="17964">
          <cell r="A17964" t="str">
            <v>FGS</v>
          </cell>
          <cell r="J17964">
            <v>0</v>
          </cell>
        </row>
        <row r="17965">
          <cell r="A17965" t="str">
            <v>FGS</v>
          </cell>
          <cell r="J17965">
            <v>0</v>
          </cell>
        </row>
        <row r="17966">
          <cell r="A17966" t="str">
            <v>FGS</v>
          </cell>
          <cell r="J17966">
            <v>0</v>
          </cell>
        </row>
        <row r="17967">
          <cell r="A17967" t="str">
            <v>FGS</v>
          </cell>
          <cell r="J17967">
            <v>0</v>
          </cell>
        </row>
        <row r="17968">
          <cell r="A17968" t="str">
            <v>FGS</v>
          </cell>
          <cell r="J17968">
            <v>0</v>
          </cell>
        </row>
        <row r="17969">
          <cell r="A17969" t="str">
            <v>FGS</v>
          </cell>
          <cell r="J17969">
            <v>0</v>
          </cell>
        </row>
        <row r="17970">
          <cell r="A17970" t="str">
            <v>FGS</v>
          </cell>
          <cell r="J17970">
            <v>0</v>
          </cell>
        </row>
        <row r="17971">
          <cell r="A17971" t="str">
            <v>FGS</v>
          </cell>
          <cell r="J17971">
            <v>0</v>
          </cell>
        </row>
        <row r="17972">
          <cell r="A17972" t="str">
            <v>FGS</v>
          </cell>
          <cell r="J17972">
            <v>0</v>
          </cell>
        </row>
        <row r="17973">
          <cell r="A17973" t="str">
            <v>FGS</v>
          </cell>
          <cell r="J17973">
            <v>0</v>
          </cell>
        </row>
        <row r="17974">
          <cell r="A17974" t="str">
            <v>FGS</v>
          </cell>
          <cell r="J17974">
            <v>0</v>
          </cell>
        </row>
        <row r="17975">
          <cell r="A17975" t="str">
            <v>FGS</v>
          </cell>
          <cell r="J17975">
            <v>0</v>
          </cell>
        </row>
        <row r="17976">
          <cell r="A17976" t="str">
            <v>FGS</v>
          </cell>
          <cell r="J17976">
            <v>0</v>
          </cell>
        </row>
        <row r="17977">
          <cell r="A17977" t="str">
            <v>FGS</v>
          </cell>
          <cell r="J17977">
            <v>0</v>
          </cell>
        </row>
        <row r="17978">
          <cell r="A17978" t="str">
            <v>FGS</v>
          </cell>
          <cell r="J17978">
            <v>0</v>
          </cell>
        </row>
        <row r="17979">
          <cell r="A17979" t="str">
            <v>FGS</v>
          </cell>
          <cell r="J17979">
            <v>0</v>
          </cell>
        </row>
        <row r="17980">
          <cell r="A17980" t="str">
            <v>FGS</v>
          </cell>
          <cell r="J17980">
            <v>0</v>
          </cell>
        </row>
        <row r="17981">
          <cell r="A17981" t="str">
            <v>FGS</v>
          </cell>
          <cell r="J17981">
            <v>0</v>
          </cell>
        </row>
        <row r="17982">
          <cell r="A17982" t="str">
            <v>FGS</v>
          </cell>
          <cell r="J17982">
            <v>0</v>
          </cell>
        </row>
        <row r="17983">
          <cell r="A17983" t="str">
            <v>FGS</v>
          </cell>
          <cell r="J17983">
            <v>0</v>
          </cell>
        </row>
        <row r="17984">
          <cell r="A17984" t="str">
            <v>FGS</v>
          </cell>
          <cell r="J17984">
            <v>0</v>
          </cell>
        </row>
        <row r="17985">
          <cell r="A17985" t="str">
            <v>FGS</v>
          </cell>
          <cell r="J17985">
            <v>0</v>
          </cell>
        </row>
        <row r="17986">
          <cell r="A17986" t="str">
            <v>FGS</v>
          </cell>
          <cell r="J17986">
            <v>0</v>
          </cell>
        </row>
        <row r="17987">
          <cell r="A17987" t="str">
            <v>FGS</v>
          </cell>
          <cell r="J17987">
            <v>0</v>
          </cell>
        </row>
        <row r="17988">
          <cell r="A17988" t="str">
            <v>FGS</v>
          </cell>
          <cell r="J17988">
            <v>0</v>
          </cell>
        </row>
        <row r="17989">
          <cell r="A17989" t="str">
            <v>FGS</v>
          </cell>
          <cell r="J17989">
            <v>0</v>
          </cell>
        </row>
        <row r="17990">
          <cell r="A17990" t="str">
            <v>FGS</v>
          </cell>
          <cell r="J17990">
            <v>0</v>
          </cell>
        </row>
        <row r="17991">
          <cell r="A17991" t="str">
            <v>FGS</v>
          </cell>
          <cell r="J17991">
            <v>0</v>
          </cell>
        </row>
        <row r="17992">
          <cell r="A17992" t="str">
            <v>FGS</v>
          </cell>
          <cell r="J17992">
            <v>0</v>
          </cell>
        </row>
        <row r="17993">
          <cell r="A17993" t="str">
            <v>FGS</v>
          </cell>
          <cell r="J17993">
            <v>0</v>
          </cell>
        </row>
        <row r="17994">
          <cell r="A17994" t="str">
            <v>FGS</v>
          </cell>
          <cell r="J17994">
            <v>0</v>
          </cell>
        </row>
        <row r="17995">
          <cell r="A17995" t="str">
            <v>FGS</v>
          </cell>
          <cell r="J17995">
            <v>0</v>
          </cell>
        </row>
        <row r="17996">
          <cell r="A17996" t="str">
            <v>FGS</v>
          </cell>
          <cell r="J17996">
            <v>0</v>
          </cell>
        </row>
        <row r="17997">
          <cell r="A17997" t="str">
            <v>FGS</v>
          </cell>
          <cell r="J17997">
            <v>0</v>
          </cell>
        </row>
        <row r="17998">
          <cell r="A17998" t="str">
            <v>FGS</v>
          </cell>
          <cell r="J17998">
            <v>0</v>
          </cell>
        </row>
        <row r="17999">
          <cell r="A17999" t="str">
            <v>FGS</v>
          </cell>
          <cell r="J17999">
            <v>0</v>
          </cell>
        </row>
        <row r="18000">
          <cell r="A18000" t="str">
            <v>FGS</v>
          </cell>
          <cell r="J18000">
            <v>0</v>
          </cell>
        </row>
        <row r="18001">
          <cell r="A18001" t="str">
            <v>FGS</v>
          </cell>
          <cell r="J18001">
            <v>0</v>
          </cell>
        </row>
        <row r="18002">
          <cell r="A18002" t="str">
            <v>FGS</v>
          </cell>
          <cell r="J18002">
            <v>0</v>
          </cell>
        </row>
        <row r="18003">
          <cell r="A18003" t="str">
            <v>FGS</v>
          </cell>
          <cell r="J18003">
            <v>0</v>
          </cell>
        </row>
        <row r="18004">
          <cell r="A18004" t="str">
            <v>FGS</v>
          </cell>
          <cell r="J18004">
            <v>0</v>
          </cell>
        </row>
        <row r="18005">
          <cell r="A18005" t="str">
            <v>FGS</v>
          </cell>
          <cell r="J18005">
            <v>0</v>
          </cell>
        </row>
        <row r="18006">
          <cell r="A18006" t="str">
            <v>FGS</v>
          </cell>
          <cell r="J18006">
            <v>0</v>
          </cell>
        </row>
        <row r="18007">
          <cell r="A18007" t="str">
            <v>FGS</v>
          </cell>
          <cell r="J18007">
            <v>0</v>
          </cell>
        </row>
        <row r="18008">
          <cell r="A18008" t="str">
            <v>FGS</v>
          </cell>
          <cell r="J18008">
            <v>0</v>
          </cell>
        </row>
        <row r="18009">
          <cell r="A18009" t="str">
            <v>FGS</v>
          </cell>
          <cell r="J18009">
            <v>0</v>
          </cell>
        </row>
        <row r="18010">
          <cell r="A18010" t="str">
            <v>FGS</v>
          </cell>
          <cell r="J18010">
            <v>0</v>
          </cell>
        </row>
        <row r="18011">
          <cell r="J18011">
            <v>0</v>
          </cell>
        </row>
        <row r="18012">
          <cell r="J18012">
            <v>0</v>
          </cell>
        </row>
        <row r="18013">
          <cell r="A18013" t="str">
            <v>LATIN</v>
          </cell>
          <cell r="B18013" t="str">
            <v>101-00000-000-0000</v>
          </cell>
          <cell r="J18013">
            <v>5124799.33</v>
          </cell>
        </row>
        <row r="18014">
          <cell r="A18014" t="str">
            <v>LATIN</v>
          </cell>
          <cell r="B18014" t="str">
            <v>101-00002-000-0000</v>
          </cell>
          <cell r="J18014">
            <v>233198.84</v>
          </cell>
        </row>
        <row r="18015">
          <cell r="A18015" t="str">
            <v>LATIN</v>
          </cell>
          <cell r="B18015" t="str">
            <v>101-00002-002-0000</v>
          </cell>
          <cell r="J18015">
            <v>199052.59</v>
          </cell>
        </row>
        <row r="18016">
          <cell r="A18016" t="str">
            <v>LATIN</v>
          </cell>
          <cell r="B18016" t="str">
            <v>101-00002-002-0008</v>
          </cell>
          <cell r="J18016">
            <v>56504.54</v>
          </cell>
        </row>
        <row r="18017">
          <cell r="A18017" t="str">
            <v>LATIN</v>
          </cell>
          <cell r="B18017" t="str">
            <v>101-00002-002-0051</v>
          </cell>
          <cell r="J18017">
            <v>142548.04999999999</v>
          </cell>
        </row>
        <row r="18018">
          <cell r="A18018" t="str">
            <v>LATIN</v>
          </cell>
          <cell r="B18018" t="str">
            <v>101-00002-003-0000</v>
          </cell>
          <cell r="J18018">
            <v>34146.25</v>
          </cell>
        </row>
        <row r="18019">
          <cell r="A18019" t="str">
            <v>LATIN</v>
          </cell>
          <cell r="B18019" t="str">
            <v>101-00002-003-0002</v>
          </cell>
          <cell r="J18019">
            <v>14919.53</v>
          </cell>
        </row>
        <row r="18020">
          <cell r="A18020" t="str">
            <v>LATIN</v>
          </cell>
          <cell r="B18020" t="str">
            <v>101-00002-003-0054</v>
          </cell>
          <cell r="J18020">
            <v>19226.72</v>
          </cell>
        </row>
        <row r="18021">
          <cell r="A18021" t="str">
            <v>LATIN</v>
          </cell>
          <cell r="B18021" t="str">
            <v>101-00004-000-0000</v>
          </cell>
          <cell r="J18021">
            <v>0.01</v>
          </cell>
        </row>
        <row r="18022">
          <cell r="A18022" t="str">
            <v>LATIN</v>
          </cell>
          <cell r="B18022" t="str">
            <v>101-00004-002-0000</v>
          </cell>
          <cell r="J18022">
            <v>0.01</v>
          </cell>
        </row>
        <row r="18023">
          <cell r="A18023" t="str">
            <v>LATIN</v>
          </cell>
          <cell r="B18023" t="str">
            <v>101-00004-002-0468</v>
          </cell>
          <cell r="J18023">
            <v>0.01</v>
          </cell>
        </row>
        <row r="18024">
          <cell r="A18024" t="str">
            <v>LATIN</v>
          </cell>
          <cell r="B18024" t="str">
            <v>101-00004-002-2872</v>
          </cell>
          <cell r="J18024">
            <v>0</v>
          </cell>
        </row>
        <row r="18025">
          <cell r="A18025" t="str">
            <v>LATIN</v>
          </cell>
          <cell r="B18025" t="str">
            <v>101-00005-000-0000</v>
          </cell>
          <cell r="J18025">
            <v>15073.87</v>
          </cell>
        </row>
        <row r="18026">
          <cell r="A18026" t="str">
            <v>LATIN</v>
          </cell>
          <cell r="B18026" t="str">
            <v>101-00005-001-0000</v>
          </cell>
          <cell r="J18026">
            <v>3035.87</v>
          </cell>
        </row>
        <row r="18027">
          <cell r="A18027" t="str">
            <v>LATIN</v>
          </cell>
          <cell r="B18027" t="str">
            <v>101-00005-001-1092</v>
          </cell>
          <cell r="J18027">
            <v>1652</v>
          </cell>
        </row>
        <row r="18028">
          <cell r="A18028" t="str">
            <v>LATIN</v>
          </cell>
          <cell r="B18028" t="str">
            <v>101-00005-001-1967</v>
          </cell>
          <cell r="J18028">
            <v>1383.87</v>
          </cell>
        </row>
        <row r="18029">
          <cell r="A18029" t="str">
            <v>LATIN</v>
          </cell>
          <cell r="B18029" t="str">
            <v>101-00005-010-0000</v>
          </cell>
          <cell r="J18029">
            <v>12038</v>
          </cell>
        </row>
        <row r="18030">
          <cell r="A18030" t="str">
            <v>LATIN</v>
          </cell>
          <cell r="B18030" t="str">
            <v>101-00005-010-2981</v>
          </cell>
          <cell r="J18030">
            <v>12038</v>
          </cell>
        </row>
        <row r="18031">
          <cell r="A18031" t="str">
            <v>LATIN</v>
          </cell>
          <cell r="B18031" t="str">
            <v>101-00006-000-0000</v>
          </cell>
          <cell r="J18031">
            <v>1663744.23</v>
          </cell>
        </row>
        <row r="18032">
          <cell r="A18032" t="str">
            <v>LATIN</v>
          </cell>
          <cell r="B18032" t="str">
            <v>101-00006-001-0000</v>
          </cell>
          <cell r="J18032">
            <v>1654645.48</v>
          </cell>
        </row>
        <row r="18033">
          <cell r="A18033" t="str">
            <v>LATIN</v>
          </cell>
          <cell r="B18033" t="str">
            <v>101-00006-001-2215</v>
          </cell>
          <cell r="J18033">
            <v>4145.47</v>
          </cell>
        </row>
        <row r="18034">
          <cell r="A18034" t="str">
            <v>LATIN</v>
          </cell>
          <cell r="B18034" t="str">
            <v>101-00006-001-2225</v>
          </cell>
          <cell r="J18034">
            <v>1650000</v>
          </cell>
        </row>
        <row r="18035">
          <cell r="A18035" t="str">
            <v>LATIN</v>
          </cell>
          <cell r="B18035" t="str">
            <v>101-00006-001-2273</v>
          </cell>
          <cell r="J18035">
            <v>500.01</v>
          </cell>
        </row>
        <row r="18036">
          <cell r="A18036" t="str">
            <v>LATIN</v>
          </cell>
          <cell r="B18036" t="str">
            <v>101-00006-002-0000</v>
          </cell>
          <cell r="J18036">
            <v>9098.75</v>
          </cell>
        </row>
        <row r="18037">
          <cell r="A18037" t="str">
            <v>LATIN</v>
          </cell>
          <cell r="B18037" t="str">
            <v>101-00006-002-0945</v>
          </cell>
          <cell r="J18037">
            <v>9098.75</v>
          </cell>
        </row>
        <row r="18038">
          <cell r="A18038" t="str">
            <v>LATIN</v>
          </cell>
          <cell r="B18038" t="str">
            <v>101-00008-000-0000</v>
          </cell>
          <cell r="J18038">
            <v>178273.2</v>
          </cell>
        </row>
        <row r="18039">
          <cell r="A18039" t="str">
            <v>LATIN</v>
          </cell>
          <cell r="B18039" t="str">
            <v>101-00008-001-0000</v>
          </cell>
          <cell r="J18039">
            <v>1143.8800000000001</v>
          </cell>
        </row>
        <row r="18040">
          <cell r="A18040" t="str">
            <v>LATIN</v>
          </cell>
          <cell r="B18040" t="str">
            <v>101-00008-002-0000</v>
          </cell>
          <cell r="J18040">
            <v>101941</v>
          </cell>
        </row>
        <row r="18041">
          <cell r="A18041" t="str">
            <v>LATIN</v>
          </cell>
          <cell r="B18041" t="str">
            <v>101-00008-003-0000</v>
          </cell>
          <cell r="J18041">
            <v>359.32</v>
          </cell>
        </row>
        <row r="18042">
          <cell r="A18042" t="str">
            <v>LATIN</v>
          </cell>
          <cell r="B18042" t="str">
            <v>101-00008-003-0001</v>
          </cell>
          <cell r="J18042">
            <v>359.32</v>
          </cell>
        </row>
        <row r="18043">
          <cell r="A18043" t="str">
            <v>LATIN</v>
          </cell>
          <cell r="B18043" t="str">
            <v>101-00008-012-0000</v>
          </cell>
          <cell r="J18043">
            <v>74829</v>
          </cell>
        </row>
        <row r="18044">
          <cell r="A18044" t="str">
            <v>LATIN</v>
          </cell>
          <cell r="B18044" t="str">
            <v>101-00008-012-0007</v>
          </cell>
          <cell r="J18044">
            <v>17296</v>
          </cell>
        </row>
        <row r="18045">
          <cell r="A18045" t="str">
            <v>LATIN</v>
          </cell>
          <cell r="B18045" t="str">
            <v>101-00008-012-0008</v>
          </cell>
          <cell r="J18045">
            <v>54211</v>
          </cell>
        </row>
        <row r="18046">
          <cell r="A18046" t="str">
            <v>LATIN</v>
          </cell>
          <cell r="B18046" t="str">
            <v>101-00008-012-0009</v>
          </cell>
          <cell r="J18046">
            <v>3322</v>
          </cell>
        </row>
        <row r="18047">
          <cell r="A18047" t="str">
            <v>LATIN</v>
          </cell>
          <cell r="B18047" t="str">
            <v>101-00009-000-0000</v>
          </cell>
          <cell r="J18047">
            <v>36</v>
          </cell>
        </row>
        <row r="18048">
          <cell r="A18048" t="str">
            <v>LATIN</v>
          </cell>
          <cell r="B18048" t="str">
            <v>101-00009-004-0000</v>
          </cell>
          <cell r="J18048">
            <v>36</v>
          </cell>
        </row>
        <row r="18049">
          <cell r="A18049" t="str">
            <v>LATIN</v>
          </cell>
          <cell r="B18049" t="str">
            <v>101-00010-000-0000</v>
          </cell>
          <cell r="J18049">
            <v>762431.89</v>
          </cell>
        </row>
        <row r="18050">
          <cell r="A18050" t="str">
            <v>LATIN</v>
          </cell>
          <cell r="B18050" t="str">
            <v>101-00010-001-0000</v>
          </cell>
          <cell r="J18050">
            <v>762431.89</v>
          </cell>
        </row>
        <row r="18051">
          <cell r="A18051" t="str">
            <v>LATIN</v>
          </cell>
          <cell r="B18051" t="str">
            <v>101-00011-000-0000</v>
          </cell>
          <cell r="J18051">
            <v>31646.65</v>
          </cell>
        </row>
        <row r="18052">
          <cell r="A18052" t="str">
            <v>LATIN</v>
          </cell>
          <cell r="B18052" t="str">
            <v>101-00011-001-0000</v>
          </cell>
          <cell r="J18052">
            <v>31646.65</v>
          </cell>
        </row>
        <row r="18053">
          <cell r="A18053" t="str">
            <v>LATIN</v>
          </cell>
          <cell r="B18053" t="str">
            <v>101-00013-000-0000</v>
          </cell>
          <cell r="J18053">
            <v>112531.69</v>
          </cell>
        </row>
        <row r="18054">
          <cell r="A18054" t="str">
            <v>LATIN</v>
          </cell>
          <cell r="B18054" t="str">
            <v>101-00013-010-0000</v>
          </cell>
          <cell r="J18054">
            <v>112531.69</v>
          </cell>
        </row>
        <row r="18055">
          <cell r="A18055" t="str">
            <v>LATIN</v>
          </cell>
          <cell r="B18055" t="str">
            <v>101-00015-000-0000</v>
          </cell>
          <cell r="J18055">
            <v>2127862.9500000002</v>
          </cell>
        </row>
        <row r="18056">
          <cell r="A18056" t="str">
            <v>LATIN</v>
          </cell>
          <cell r="B18056" t="str">
            <v>101-00015-001-0000</v>
          </cell>
          <cell r="J18056">
            <v>2127862.9500000002</v>
          </cell>
        </row>
        <row r="18057">
          <cell r="A18057" t="str">
            <v>LATIN</v>
          </cell>
          <cell r="B18057" t="str">
            <v>101-00015-001-0468</v>
          </cell>
          <cell r="J18057">
            <v>87171</v>
          </cell>
        </row>
        <row r="18058">
          <cell r="A18058" t="str">
            <v>LATIN</v>
          </cell>
          <cell r="B18058" t="str">
            <v>101-00015-001-2303</v>
          </cell>
          <cell r="J18058">
            <v>550000</v>
          </cell>
        </row>
        <row r="18059">
          <cell r="A18059" t="str">
            <v>LATIN</v>
          </cell>
          <cell r="B18059" t="str">
            <v>101-00015-001-2304</v>
          </cell>
          <cell r="J18059">
            <v>500000</v>
          </cell>
        </row>
        <row r="18060">
          <cell r="A18060" t="str">
            <v>LATIN</v>
          </cell>
          <cell r="B18060" t="str">
            <v>101-00015-001-2533</v>
          </cell>
          <cell r="J18060">
            <v>35191.949999999997</v>
          </cell>
        </row>
        <row r="18061">
          <cell r="A18061" t="str">
            <v>LATIN</v>
          </cell>
          <cell r="B18061" t="str">
            <v>101-00015-001-2872</v>
          </cell>
          <cell r="J18061">
            <v>500</v>
          </cell>
        </row>
        <row r="18062">
          <cell r="A18062" t="str">
            <v>LATIN</v>
          </cell>
          <cell r="B18062" t="str">
            <v>101-00015-001-3141</v>
          </cell>
          <cell r="J18062">
            <v>955000</v>
          </cell>
        </row>
        <row r="18063">
          <cell r="A18063" t="str">
            <v>LATIN</v>
          </cell>
          <cell r="B18063" t="str">
            <v>102-00000-000-0000</v>
          </cell>
          <cell r="J18063">
            <v>49260.87</v>
          </cell>
        </row>
        <row r="18064">
          <cell r="A18064" t="str">
            <v>LATIN</v>
          </cell>
          <cell r="B18064" t="str">
            <v>102-00001-000-0000</v>
          </cell>
          <cell r="J18064">
            <v>46280.87</v>
          </cell>
        </row>
        <row r="18065">
          <cell r="A18065" t="str">
            <v>LATIN</v>
          </cell>
          <cell r="B18065" t="str">
            <v>102-00001-001-0000</v>
          </cell>
          <cell r="J18065">
            <v>95658.84</v>
          </cell>
        </row>
        <row r="18066">
          <cell r="A18066" t="str">
            <v>LATIN</v>
          </cell>
          <cell r="B18066" t="str">
            <v>102-00001-002-0000</v>
          </cell>
          <cell r="J18066">
            <v>-49377.97</v>
          </cell>
        </row>
        <row r="18067">
          <cell r="A18067" t="str">
            <v>LATIN</v>
          </cell>
          <cell r="B18067" t="str">
            <v>102-00002-001-0000</v>
          </cell>
          <cell r="J18067">
            <v>1688188.79</v>
          </cell>
        </row>
        <row r="18068">
          <cell r="A18068" t="str">
            <v>LATIN</v>
          </cell>
          <cell r="B18068" t="str">
            <v>102-00002-002-0000</v>
          </cell>
          <cell r="J18068">
            <v>-1688188.79</v>
          </cell>
        </row>
        <row r="18069">
          <cell r="A18069" t="str">
            <v>LATIN</v>
          </cell>
          <cell r="B18069" t="str">
            <v>102-00004-001-0000</v>
          </cell>
          <cell r="J18069">
            <v>118273.22</v>
          </cell>
        </row>
        <row r="18070">
          <cell r="A18070" t="str">
            <v>LATIN</v>
          </cell>
          <cell r="B18070" t="str">
            <v>102-00004-002-0000</v>
          </cell>
          <cell r="J18070">
            <v>-118273.22</v>
          </cell>
        </row>
        <row r="18071">
          <cell r="A18071" t="str">
            <v>LATIN</v>
          </cell>
          <cell r="B18071" t="str">
            <v>102-00015-000-0000</v>
          </cell>
          <cell r="J18071">
            <v>2980</v>
          </cell>
        </row>
        <row r="18072">
          <cell r="A18072" t="str">
            <v>LATIN</v>
          </cell>
          <cell r="B18072" t="str">
            <v>102-00015-001-0000</v>
          </cell>
          <cell r="J18072">
            <v>2980</v>
          </cell>
        </row>
        <row r="18073">
          <cell r="A18073" t="str">
            <v>LATIN</v>
          </cell>
          <cell r="B18073" t="str">
            <v>102-00015-001-2217</v>
          </cell>
          <cell r="J18073">
            <v>2980</v>
          </cell>
        </row>
        <row r="18074">
          <cell r="A18074" t="str">
            <v>LATIN</v>
          </cell>
          <cell r="B18074" t="str">
            <v>103-00000-000-0000</v>
          </cell>
          <cell r="J18074">
            <v>2126436.42</v>
          </cell>
        </row>
        <row r="18075">
          <cell r="A18075" t="str">
            <v>LATIN</v>
          </cell>
          <cell r="B18075" t="str">
            <v>103-00001-000-0000</v>
          </cell>
          <cell r="J18075">
            <v>2126436.42</v>
          </cell>
        </row>
        <row r="18076">
          <cell r="A18076" t="str">
            <v>LATIN</v>
          </cell>
          <cell r="B18076" t="str">
            <v>103-00001-001-0000</v>
          </cell>
          <cell r="J18076">
            <v>3448275.86</v>
          </cell>
        </row>
        <row r="18077">
          <cell r="A18077" t="str">
            <v>LATIN</v>
          </cell>
          <cell r="B18077" t="str">
            <v>103-00001-002-0000</v>
          </cell>
          <cell r="J18077">
            <v>-1321839.44</v>
          </cell>
        </row>
        <row r="18078">
          <cell r="A18078" t="str">
            <v>LATIN</v>
          </cell>
          <cell r="B18078" t="str">
            <v>201-00000-000-0000</v>
          </cell>
          <cell r="J18078">
            <v>-4099403.41</v>
          </cell>
        </row>
        <row r="18079">
          <cell r="A18079" t="str">
            <v>LATIN</v>
          </cell>
          <cell r="B18079" t="str">
            <v>201-00002-000-0000</v>
          </cell>
          <cell r="J18079">
            <v>-188163.48</v>
          </cell>
        </row>
        <row r="18080">
          <cell r="A18080" t="str">
            <v>LATIN</v>
          </cell>
          <cell r="B18080" t="str">
            <v>201-00002-001-0000</v>
          </cell>
          <cell r="J18080">
            <v>-5270.85</v>
          </cell>
        </row>
        <row r="18081">
          <cell r="A18081" t="str">
            <v>LATIN</v>
          </cell>
          <cell r="B18081" t="str">
            <v>201-00002-001-2918</v>
          </cell>
          <cell r="J18081">
            <v>-5270.85</v>
          </cell>
        </row>
        <row r="18082">
          <cell r="A18082" t="str">
            <v>LATIN</v>
          </cell>
          <cell r="B18082" t="str">
            <v>201-00002-002-0000</v>
          </cell>
          <cell r="J18082">
            <v>-182892.63</v>
          </cell>
        </row>
        <row r="18083">
          <cell r="A18083" t="str">
            <v>LATIN</v>
          </cell>
          <cell r="B18083" t="str">
            <v>201-00002-002-0092</v>
          </cell>
          <cell r="J18083">
            <v>4250.01</v>
          </cell>
        </row>
        <row r="18084">
          <cell r="A18084" t="str">
            <v>LATIN</v>
          </cell>
          <cell r="B18084" t="str">
            <v>201-00002-002-0306</v>
          </cell>
          <cell r="J18084">
            <v>0</v>
          </cell>
        </row>
        <row r="18085">
          <cell r="A18085" t="str">
            <v>LATIN</v>
          </cell>
          <cell r="B18085" t="str">
            <v>201-00002-002-0991</v>
          </cell>
          <cell r="J18085">
            <v>1928.93</v>
          </cell>
        </row>
        <row r="18086">
          <cell r="A18086" t="str">
            <v>LATIN</v>
          </cell>
          <cell r="B18086" t="str">
            <v>201-00002-002-2194</v>
          </cell>
          <cell r="J18086">
            <v>-74478.990000000005</v>
          </cell>
        </row>
        <row r="18087">
          <cell r="A18087" t="str">
            <v>LATIN</v>
          </cell>
          <cell r="B18087" t="str">
            <v>201-00002-002-2215</v>
          </cell>
          <cell r="J18087">
            <v>0</v>
          </cell>
        </row>
        <row r="18088">
          <cell r="A18088" t="str">
            <v>LATIN</v>
          </cell>
          <cell r="B18088" t="str">
            <v>201-00002-002-2293</v>
          </cell>
          <cell r="J18088">
            <v>-114592.58</v>
          </cell>
        </row>
        <row r="18089">
          <cell r="A18089" t="str">
            <v>LATIN</v>
          </cell>
          <cell r="B18089" t="str">
            <v>201-00002-002-3122</v>
          </cell>
          <cell r="J18089">
            <v>0</v>
          </cell>
        </row>
        <row r="18090">
          <cell r="A18090" t="str">
            <v>LATIN</v>
          </cell>
          <cell r="B18090" t="str">
            <v>201-00003-000-0000</v>
          </cell>
          <cell r="J18090">
            <v>-255141.66</v>
          </cell>
        </row>
        <row r="18091">
          <cell r="A18091" t="str">
            <v>LATIN</v>
          </cell>
          <cell r="B18091" t="str">
            <v>201-00003-001-0000</v>
          </cell>
          <cell r="J18091">
            <v>-255141.66</v>
          </cell>
        </row>
        <row r="18092">
          <cell r="A18092" t="str">
            <v>LATIN</v>
          </cell>
          <cell r="B18092" t="str">
            <v>201-00003-001-2533</v>
          </cell>
          <cell r="J18092">
            <v>-255141.66</v>
          </cell>
        </row>
        <row r="18093">
          <cell r="A18093" t="str">
            <v>LATIN</v>
          </cell>
          <cell r="B18093" t="str">
            <v>201-00004-000-0000</v>
          </cell>
          <cell r="J18093">
            <v>-3333295.58</v>
          </cell>
        </row>
        <row r="18094">
          <cell r="A18094" t="str">
            <v>LATIN</v>
          </cell>
          <cell r="B18094" t="str">
            <v>201-00004-001-0000</v>
          </cell>
          <cell r="J18094">
            <v>-1850503.56</v>
          </cell>
        </row>
        <row r="18095">
          <cell r="A18095" t="str">
            <v>LATIN</v>
          </cell>
          <cell r="B18095" t="str">
            <v>201-00004-001-0468</v>
          </cell>
          <cell r="J18095">
            <v>-1850503.56</v>
          </cell>
        </row>
        <row r="18096">
          <cell r="A18096" t="str">
            <v>LATIN</v>
          </cell>
          <cell r="B18096" t="str">
            <v>201-00004-002-0000</v>
          </cell>
          <cell r="J18096">
            <v>-1482792.02</v>
          </cell>
        </row>
        <row r="18097">
          <cell r="A18097" t="str">
            <v>LATIN</v>
          </cell>
          <cell r="B18097" t="str">
            <v>201-00004-002-2186</v>
          </cell>
          <cell r="J18097">
            <v>-1482792.02</v>
          </cell>
        </row>
        <row r="18098">
          <cell r="A18098" t="str">
            <v>LATIN</v>
          </cell>
          <cell r="B18098" t="str">
            <v>201-00005-000-0000</v>
          </cell>
          <cell r="J18098">
            <v>-364.41</v>
          </cell>
        </row>
        <row r="18099">
          <cell r="A18099" t="str">
            <v>LATIN</v>
          </cell>
          <cell r="B18099" t="str">
            <v>201-00005-003-0000</v>
          </cell>
          <cell r="J18099">
            <v>-364.41</v>
          </cell>
        </row>
        <row r="18100">
          <cell r="A18100" t="str">
            <v>LATIN</v>
          </cell>
          <cell r="B18100" t="str">
            <v>201-00006-000-0000</v>
          </cell>
          <cell r="J18100">
            <v>-5443.65</v>
          </cell>
        </row>
        <row r="18101">
          <cell r="A18101" t="str">
            <v>LATIN</v>
          </cell>
          <cell r="B18101" t="str">
            <v>201-00006-004-0000</v>
          </cell>
          <cell r="J18101">
            <v>-5668.68</v>
          </cell>
        </row>
        <row r="18102">
          <cell r="A18102" t="str">
            <v>LATIN</v>
          </cell>
          <cell r="B18102" t="str">
            <v>201-00006-005-0000</v>
          </cell>
          <cell r="J18102">
            <v>225.03</v>
          </cell>
        </row>
        <row r="18103">
          <cell r="A18103" t="str">
            <v>LATIN</v>
          </cell>
          <cell r="B18103" t="str">
            <v>201-00008-000-0000</v>
          </cell>
          <cell r="J18103">
            <v>-199651.93</v>
          </cell>
        </row>
        <row r="18104">
          <cell r="A18104" t="str">
            <v>LATIN</v>
          </cell>
          <cell r="B18104" t="str">
            <v>201-00009-000-0000</v>
          </cell>
          <cell r="J18104">
            <v>-2170.2800000000002</v>
          </cell>
        </row>
        <row r="18105">
          <cell r="A18105" t="str">
            <v>LATIN</v>
          </cell>
          <cell r="B18105" t="str">
            <v>201-00009-001-0000</v>
          </cell>
          <cell r="J18105">
            <v>-2170.2800000000002</v>
          </cell>
        </row>
        <row r="18106">
          <cell r="A18106" t="str">
            <v>LATIN</v>
          </cell>
          <cell r="B18106" t="str">
            <v>201-00010-000-0000</v>
          </cell>
          <cell r="J18106">
            <v>-115172.42</v>
          </cell>
        </row>
        <row r="18107">
          <cell r="A18107" t="str">
            <v>LATIN</v>
          </cell>
          <cell r="B18107" t="str">
            <v>201-00010-001-0000</v>
          </cell>
          <cell r="J18107">
            <v>-115172.42</v>
          </cell>
        </row>
        <row r="18108">
          <cell r="A18108" t="str">
            <v>LATIN</v>
          </cell>
          <cell r="B18108" t="str">
            <v>202-00000-000-0000</v>
          </cell>
          <cell r="J18108">
            <v>-678000</v>
          </cell>
        </row>
        <row r="18109">
          <cell r="A18109" t="str">
            <v>LATIN</v>
          </cell>
          <cell r="B18109" t="str">
            <v>202-00001-000-0000</v>
          </cell>
          <cell r="J18109">
            <v>-678000</v>
          </cell>
        </row>
        <row r="18110">
          <cell r="A18110" t="str">
            <v>LATIN</v>
          </cell>
          <cell r="B18110" t="str">
            <v>202-00001-009-0000</v>
          </cell>
          <cell r="J18110">
            <v>-678000</v>
          </cell>
        </row>
        <row r="18111">
          <cell r="A18111" t="str">
            <v>LATIN</v>
          </cell>
          <cell r="B18111" t="str">
            <v>202-00001-009-2872</v>
          </cell>
          <cell r="J18111">
            <v>-678000</v>
          </cell>
        </row>
        <row r="18112">
          <cell r="A18112" t="str">
            <v>LATIN</v>
          </cell>
          <cell r="B18112" t="str">
            <v>301-00000-000-0000</v>
          </cell>
          <cell r="J18112">
            <v>-2365761.19</v>
          </cell>
        </row>
        <row r="18113">
          <cell r="A18113" t="str">
            <v>LATIN</v>
          </cell>
          <cell r="B18113" t="str">
            <v>301-00001-000-0000</v>
          </cell>
          <cell r="J18113">
            <v>-169000</v>
          </cell>
        </row>
        <row r="18114">
          <cell r="A18114" t="str">
            <v>LATIN</v>
          </cell>
          <cell r="B18114" t="str">
            <v>301-00001-001-0000</v>
          </cell>
          <cell r="J18114">
            <v>-10000</v>
          </cell>
        </row>
        <row r="18115">
          <cell r="A18115" t="str">
            <v>LATIN</v>
          </cell>
          <cell r="B18115" t="str">
            <v>301-00001-002-0000</v>
          </cell>
          <cell r="J18115">
            <v>-159000</v>
          </cell>
        </row>
        <row r="18116">
          <cell r="A18116" t="str">
            <v>LATIN</v>
          </cell>
          <cell r="B18116" t="str">
            <v>301-00004-000-0000</v>
          </cell>
          <cell r="J18116">
            <v>-2196761.19</v>
          </cell>
        </row>
        <row r="18117">
          <cell r="A18117" t="str">
            <v>LATIN</v>
          </cell>
          <cell r="B18117" t="str">
            <v>301-00004-005-0000</v>
          </cell>
          <cell r="J18117">
            <v>-474271.02</v>
          </cell>
        </row>
        <row r="18118">
          <cell r="A18118" t="str">
            <v>LATIN</v>
          </cell>
          <cell r="B18118" t="str">
            <v>301-00004-006-0000</v>
          </cell>
          <cell r="J18118">
            <v>-3340491.44</v>
          </cell>
        </row>
        <row r="18119">
          <cell r="A18119" t="str">
            <v>LATIN</v>
          </cell>
          <cell r="B18119" t="str">
            <v>301-00004-007-0000</v>
          </cell>
          <cell r="J18119">
            <v>-693261.17</v>
          </cell>
        </row>
        <row r="18120">
          <cell r="A18120" t="str">
            <v>LATIN</v>
          </cell>
          <cell r="B18120" t="str">
            <v>301-00004-008-0000</v>
          </cell>
          <cell r="J18120">
            <v>-2273731.64</v>
          </cell>
        </row>
        <row r="18121">
          <cell r="A18121" t="str">
            <v>LATIN</v>
          </cell>
          <cell r="B18121" t="str">
            <v>301-00004-009-0000</v>
          </cell>
          <cell r="J18121">
            <v>-113914.8</v>
          </cell>
        </row>
        <row r="18122">
          <cell r="A18122" t="str">
            <v>LATIN</v>
          </cell>
          <cell r="B18122" t="str">
            <v>301-00004-010-0000</v>
          </cell>
          <cell r="J18122">
            <v>-94535.46</v>
          </cell>
        </row>
        <row r="18123">
          <cell r="A18123" t="str">
            <v>LATIN</v>
          </cell>
          <cell r="B18123" t="str">
            <v>301-00004-011-0000</v>
          </cell>
          <cell r="J18123">
            <v>-46767.99</v>
          </cell>
        </row>
        <row r="18124">
          <cell r="A18124" t="str">
            <v>LATIN</v>
          </cell>
          <cell r="B18124" t="str">
            <v>301-00004-012-0000</v>
          </cell>
          <cell r="J18124">
            <v>-426367.8</v>
          </cell>
        </row>
        <row r="18125">
          <cell r="A18125" t="str">
            <v>LATIN</v>
          </cell>
          <cell r="B18125" t="str">
            <v>301-00004-013-0000</v>
          </cell>
          <cell r="J18125">
            <v>-350276.1</v>
          </cell>
        </row>
        <row r="18126">
          <cell r="A18126" t="str">
            <v>LATIN</v>
          </cell>
          <cell r="B18126" t="str">
            <v>301-00004-014-0000</v>
          </cell>
          <cell r="J18126">
            <v>-132401.32</v>
          </cell>
        </row>
        <row r="18127">
          <cell r="A18127" t="str">
            <v>LATIN</v>
          </cell>
          <cell r="B18127" t="str">
            <v>301-00004-015-0000</v>
          </cell>
          <cell r="J18127">
            <v>5992414.4100000001</v>
          </cell>
        </row>
        <row r="18128">
          <cell r="A18128" t="str">
            <v>LATIN</v>
          </cell>
          <cell r="B18128" t="str">
            <v>301-00004-016-0000</v>
          </cell>
          <cell r="J18128">
            <v>-23012.16</v>
          </cell>
        </row>
        <row r="18129">
          <cell r="A18129" t="str">
            <v>LATIN</v>
          </cell>
          <cell r="B18129" t="str">
            <v>301-00004-017-0000</v>
          </cell>
          <cell r="J18129">
            <v>-220144.7</v>
          </cell>
        </row>
        <row r="18130">
          <cell r="A18130" t="str">
            <v>LATIN</v>
          </cell>
          <cell r="B18130" t="str">
            <v>411-00000-000-0000</v>
          </cell>
          <cell r="J18130">
            <v>-719827.59</v>
          </cell>
        </row>
        <row r="18131">
          <cell r="A18131" t="str">
            <v>LATIN</v>
          </cell>
          <cell r="B18131" t="str">
            <v>411-24777-000-0000</v>
          </cell>
          <cell r="J18131">
            <v>-517241.38</v>
          </cell>
        </row>
        <row r="18132">
          <cell r="A18132" t="str">
            <v>LATIN</v>
          </cell>
          <cell r="B18132" t="str">
            <v>411-24777-002-0000</v>
          </cell>
          <cell r="J18132">
            <v>-517241.38</v>
          </cell>
        </row>
        <row r="18133">
          <cell r="A18133" t="str">
            <v>LATIN</v>
          </cell>
          <cell r="B18133" t="str">
            <v>411-24777-002-2872</v>
          </cell>
          <cell r="J18133">
            <v>-517241.38</v>
          </cell>
        </row>
        <row r="18134">
          <cell r="A18134" t="str">
            <v>LATIN</v>
          </cell>
          <cell r="B18134" t="str">
            <v>411-26777-000-0000</v>
          </cell>
          <cell r="J18134">
            <v>-202586.21</v>
          </cell>
        </row>
        <row r="18135">
          <cell r="A18135" t="str">
            <v>LATIN</v>
          </cell>
          <cell r="B18135" t="str">
            <v>411-26777-004-0000</v>
          </cell>
          <cell r="J18135">
            <v>-202586.21</v>
          </cell>
        </row>
        <row r="18136">
          <cell r="A18136" t="str">
            <v>LATIN</v>
          </cell>
          <cell r="B18136" t="str">
            <v>411-26777-004-0468</v>
          </cell>
          <cell r="J18136">
            <v>-202586.21</v>
          </cell>
        </row>
        <row r="18137">
          <cell r="A18137" t="str">
            <v>LATIN</v>
          </cell>
          <cell r="B18137" t="str">
            <v>720-00000-000-0000</v>
          </cell>
          <cell r="J18137">
            <v>-1094.33</v>
          </cell>
        </row>
        <row r="18138">
          <cell r="A18138" t="str">
            <v>LATIN</v>
          </cell>
          <cell r="B18138" t="str">
            <v>720-99999-000-0000</v>
          </cell>
          <cell r="J18138">
            <v>-1094.33</v>
          </cell>
        </row>
        <row r="18139">
          <cell r="A18139" t="str">
            <v>LATIN</v>
          </cell>
          <cell r="B18139" t="str">
            <v>720-99999-001-0000</v>
          </cell>
          <cell r="J18139">
            <v>-1094.33</v>
          </cell>
        </row>
        <row r="18140">
          <cell r="A18140" t="str">
            <v>LATIN</v>
          </cell>
          <cell r="B18140" t="str">
            <v>720-99999-001-0001</v>
          </cell>
          <cell r="J18140">
            <v>-1094.33</v>
          </cell>
        </row>
        <row r="18141">
          <cell r="A18141" t="str">
            <v>LATIN</v>
          </cell>
          <cell r="B18141" t="str">
            <v>730-00000-000-0000</v>
          </cell>
          <cell r="J18141">
            <v>-118418.75</v>
          </cell>
        </row>
        <row r="18142">
          <cell r="A18142" t="str">
            <v>LATIN</v>
          </cell>
          <cell r="B18142" t="str">
            <v>730-99999-000-0000</v>
          </cell>
          <cell r="J18142">
            <v>-118418.75</v>
          </cell>
        </row>
        <row r="18143">
          <cell r="A18143" t="str">
            <v>LATIN</v>
          </cell>
          <cell r="B18143" t="str">
            <v>730-99999-002-0000</v>
          </cell>
          <cell r="J18143">
            <v>-118418.75</v>
          </cell>
        </row>
        <row r="18144">
          <cell r="A18144" t="str">
            <v>LATIN</v>
          </cell>
          <cell r="B18144" t="str">
            <v>531-00000-000-0000</v>
          </cell>
          <cell r="J18144">
            <v>11944.41</v>
          </cell>
        </row>
        <row r="18145">
          <cell r="A18145" t="str">
            <v>LATIN</v>
          </cell>
          <cell r="B18145" t="str">
            <v>531-21044-000-0000</v>
          </cell>
          <cell r="J18145">
            <v>11944.41</v>
          </cell>
        </row>
        <row r="18146">
          <cell r="A18146" t="str">
            <v>LATIN</v>
          </cell>
          <cell r="B18146" t="str">
            <v>531-21044-004-0000</v>
          </cell>
          <cell r="J18146">
            <v>11944.41</v>
          </cell>
        </row>
        <row r="18147">
          <cell r="A18147" t="str">
            <v>LATIN</v>
          </cell>
          <cell r="B18147" t="str">
            <v>531-21044-004-0013</v>
          </cell>
          <cell r="J18147">
            <v>11944.41</v>
          </cell>
        </row>
        <row r="18148">
          <cell r="A18148" t="str">
            <v>LATIN</v>
          </cell>
          <cell r="B18148" t="str">
            <v>531-25303-004-0000</v>
          </cell>
          <cell r="J18148">
            <v>11834.22</v>
          </cell>
        </row>
        <row r="18149">
          <cell r="A18149" t="str">
            <v>LATIN</v>
          </cell>
          <cell r="B18149" t="str">
            <v>531-25303-004-0001</v>
          </cell>
          <cell r="J18149">
            <v>1989.83</v>
          </cell>
        </row>
        <row r="18150">
          <cell r="A18150" t="str">
            <v>LATIN</v>
          </cell>
          <cell r="B18150" t="str">
            <v>531-25303-004-0002</v>
          </cell>
          <cell r="J18150">
            <v>5368.83</v>
          </cell>
        </row>
        <row r="18151">
          <cell r="A18151" t="str">
            <v>LATIN</v>
          </cell>
          <cell r="B18151" t="str">
            <v>531-25303-004-0003</v>
          </cell>
          <cell r="J18151">
            <v>2543.11</v>
          </cell>
        </row>
        <row r="18152">
          <cell r="A18152" t="str">
            <v>LATIN</v>
          </cell>
          <cell r="B18152" t="str">
            <v>531-25303-004-0005</v>
          </cell>
          <cell r="J18152">
            <v>1379.79</v>
          </cell>
        </row>
        <row r="18153">
          <cell r="A18153" t="str">
            <v>LATIN</v>
          </cell>
          <cell r="B18153" t="str">
            <v>531-25303-004-0009</v>
          </cell>
          <cell r="J18153">
            <v>476.73</v>
          </cell>
        </row>
        <row r="18154">
          <cell r="A18154" t="str">
            <v>LATIN</v>
          </cell>
          <cell r="B18154" t="str">
            <v>531-25303-004-0013</v>
          </cell>
          <cell r="J18154">
            <v>75.930000000000007</v>
          </cell>
        </row>
        <row r="18155">
          <cell r="A18155" t="str">
            <v>LATIN</v>
          </cell>
          <cell r="B18155" t="str">
            <v>531-25303-054-0000</v>
          </cell>
          <cell r="J18155">
            <v>-11834.22</v>
          </cell>
        </row>
        <row r="18156">
          <cell r="A18156" t="str">
            <v>LATIN</v>
          </cell>
          <cell r="B18156" t="str">
            <v>531-25303-054-0006</v>
          </cell>
          <cell r="J18156">
            <v>-11834.22</v>
          </cell>
        </row>
        <row r="18157">
          <cell r="A18157" t="str">
            <v>LATIN</v>
          </cell>
          <cell r="B18157" t="str">
            <v>560-00000-000-0000</v>
          </cell>
          <cell r="J18157">
            <v>17197.080000000002</v>
          </cell>
        </row>
        <row r="18158">
          <cell r="A18158" t="str">
            <v>LATIN</v>
          </cell>
          <cell r="B18158" t="str">
            <v>560-99999-000-0000</v>
          </cell>
          <cell r="J18158">
            <v>17197.080000000002</v>
          </cell>
        </row>
        <row r="18159">
          <cell r="A18159" t="str">
            <v>LATIN</v>
          </cell>
          <cell r="B18159" t="str">
            <v>560-99999-003-0000</v>
          </cell>
          <cell r="J18159">
            <v>17197.080000000002</v>
          </cell>
        </row>
        <row r="18160">
          <cell r="A18160" t="str">
            <v>LATIN</v>
          </cell>
          <cell r="B18160" t="str">
            <v>561-00000-000-0000</v>
          </cell>
          <cell r="J18160">
            <v>-2685.18</v>
          </cell>
        </row>
        <row r="18161">
          <cell r="A18161" t="str">
            <v>LATIN</v>
          </cell>
          <cell r="B18161" t="str">
            <v>561-99999-000-0000</v>
          </cell>
          <cell r="J18161">
            <v>-2685.18</v>
          </cell>
        </row>
        <row r="18162">
          <cell r="A18162" t="str">
            <v>LATIN</v>
          </cell>
          <cell r="B18162" t="str">
            <v>561-99999-021-0000</v>
          </cell>
          <cell r="J18162">
            <v>-2685.18</v>
          </cell>
        </row>
        <row r="18163">
          <cell r="A18163" t="str">
            <v>LATIN</v>
          </cell>
          <cell r="B18163" t="str">
            <v>630-00000-000-0000</v>
          </cell>
          <cell r="J18163">
            <v>190933.62</v>
          </cell>
        </row>
        <row r="18164">
          <cell r="A18164" t="str">
            <v>LATIN</v>
          </cell>
          <cell r="B18164" t="str">
            <v>630-99999-000-0000</v>
          </cell>
          <cell r="J18164">
            <v>190933.62</v>
          </cell>
        </row>
        <row r="18165">
          <cell r="A18165" t="str">
            <v>LATIN</v>
          </cell>
          <cell r="B18165" t="str">
            <v>630-99999-011-0000</v>
          </cell>
          <cell r="J18165">
            <v>190933.62</v>
          </cell>
        </row>
        <row r="18166">
          <cell r="A18166" t="str">
            <v>LATIN</v>
          </cell>
          <cell r="B18166" t="str">
            <v>650-00000-000-0000</v>
          </cell>
          <cell r="J18166">
            <v>241252</v>
          </cell>
        </row>
        <row r="18167">
          <cell r="A18167" t="str">
            <v>LATIN</v>
          </cell>
          <cell r="B18167" t="str">
            <v>650-99999-000-0000</v>
          </cell>
          <cell r="J18167">
            <v>241252</v>
          </cell>
        </row>
        <row r="18168">
          <cell r="A18168" t="str">
            <v>LATIN</v>
          </cell>
          <cell r="B18168" t="str">
            <v>650-99999-004-0000</v>
          </cell>
          <cell r="J18168">
            <v>10440</v>
          </cell>
        </row>
        <row r="18169">
          <cell r="A18169" t="str">
            <v>LATIN</v>
          </cell>
          <cell r="B18169" t="str">
            <v>650-99999-004-0008</v>
          </cell>
          <cell r="J18169">
            <v>10440</v>
          </cell>
        </row>
        <row r="18170">
          <cell r="A18170" t="str">
            <v>LATIN</v>
          </cell>
          <cell r="B18170" t="str">
            <v>650-99999-010-0000</v>
          </cell>
          <cell r="J18170">
            <v>16304.3</v>
          </cell>
        </row>
        <row r="18171">
          <cell r="A18171" t="str">
            <v>LATIN</v>
          </cell>
          <cell r="B18171" t="str">
            <v>650-99999-010-0001</v>
          </cell>
          <cell r="J18171">
            <v>16304.3</v>
          </cell>
        </row>
        <row r="18172">
          <cell r="A18172" t="str">
            <v>LATIN</v>
          </cell>
          <cell r="B18172" t="str">
            <v>650-99999-011-0000</v>
          </cell>
          <cell r="J18172">
            <v>189996.12</v>
          </cell>
        </row>
        <row r="18173">
          <cell r="A18173" t="str">
            <v>LATIN</v>
          </cell>
          <cell r="B18173" t="str">
            <v>650-99999-012-0000</v>
          </cell>
          <cell r="J18173">
            <v>3508.61</v>
          </cell>
        </row>
        <row r="18174">
          <cell r="A18174" t="str">
            <v>LATIN</v>
          </cell>
          <cell r="B18174" t="str">
            <v>650-99999-012-0001</v>
          </cell>
          <cell r="J18174">
            <v>3508.61</v>
          </cell>
        </row>
        <row r="18175">
          <cell r="A18175" t="str">
            <v>LATIN</v>
          </cell>
          <cell r="B18175" t="str">
            <v>650-99999-023-0000</v>
          </cell>
          <cell r="J18175">
            <v>12958</v>
          </cell>
        </row>
        <row r="18176">
          <cell r="A18176" t="str">
            <v>LATIN</v>
          </cell>
          <cell r="B18176" t="str">
            <v>650-99999-025-0000</v>
          </cell>
          <cell r="J18176">
            <v>8044.97</v>
          </cell>
        </row>
        <row r="18177">
          <cell r="A18177" t="str">
            <v>LATIN</v>
          </cell>
          <cell r="B18177" t="str">
            <v>650-99999-025-0001</v>
          </cell>
          <cell r="J18177">
            <v>8044.97</v>
          </cell>
        </row>
        <row r="18178">
          <cell r="A18178" t="str">
            <v>LATIN</v>
          </cell>
          <cell r="B18178" t="str">
            <v>660-00000-000-0000</v>
          </cell>
          <cell r="J18178">
            <v>121319.84</v>
          </cell>
        </row>
        <row r="18179">
          <cell r="A18179" t="str">
            <v>LATIN</v>
          </cell>
          <cell r="B18179" t="str">
            <v>660-99999-000-0000</v>
          </cell>
          <cell r="J18179">
            <v>121319.84</v>
          </cell>
        </row>
        <row r="18180">
          <cell r="A18180" t="str">
            <v>LATIN</v>
          </cell>
          <cell r="B18180" t="str">
            <v>660-99999-034-0000</v>
          </cell>
          <cell r="J18180">
            <v>6377.28</v>
          </cell>
        </row>
        <row r="18181">
          <cell r="A18181" t="str">
            <v>LATIN</v>
          </cell>
          <cell r="B18181" t="str">
            <v>660-99999-034-0001</v>
          </cell>
          <cell r="J18181">
            <v>6377.28</v>
          </cell>
        </row>
        <row r="18182">
          <cell r="A18182" t="str">
            <v>LATIN</v>
          </cell>
          <cell r="B18182" t="str">
            <v>660-99999-035-0000</v>
          </cell>
          <cell r="J18182">
            <v>114942.56</v>
          </cell>
        </row>
        <row r="18183">
          <cell r="A18183" t="str">
            <v>LATIN</v>
          </cell>
          <cell r="B18183" t="str">
            <v>660-99999-035-0001</v>
          </cell>
          <cell r="J18183">
            <v>114942.56</v>
          </cell>
        </row>
        <row r="18184">
          <cell r="A18184" t="str">
            <v>LATIN</v>
          </cell>
          <cell r="B18184" t="str">
            <v>710-00000-000-0000</v>
          </cell>
          <cell r="J18184">
            <v>3084.5</v>
          </cell>
        </row>
        <row r="18185">
          <cell r="A18185" t="str">
            <v>LATIN</v>
          </cell>
          <cell r="B18185" t="str">
            <v>710-99999-000-0000</v>
          </cell>
          <cell r="J18185">
            <v>3084.5</v>
          </cell>
        </row>
        <row r="18186">
          <cell r="A18186" t="str">
            <v>LATIN</v>
          </cell>
          <cell r="B18186" t="str">
            <v>710-99999-002-0000</v>
          </cell>
          <cell r="J18186">
            <v>3084.5</v>
          </cell>
        </row>
        <row r="18187">
          <cell r="A18187" t="str">
            <v>LATIN</v>
          </cell>
          <cell r="B18187" t="str">
            <v>710-99999-002-0001</v>
          </cell>
          <cell r="J18187">
            <v>3084.5</v>
          </cell>
        </row>
        <row r="18188">
          <cell r="A18188" t="str">
            <v>LATIN</v>
          </cell>
          <cell r="B18188" t="str">
            <v>740-00000-000-0000</v>
          </cell>
          <cell r="J18188">
            <v>98962.38</v>
          </cell>
        </row>
        <row r="18189">
          <cell r="A18189" t="str">
            <v>LATIN</v>
          </cell>
          <cell r="B18189" t="str">
            <v>740-99999-000-0000</v>
          </cell>
          <cell r="J18189">
            <v>98962.38</v>
          </cell>
        </row>
        <row r="18190">
          <cell r="A18190" t="str">
            <v>LATIN</v>
          </cell>
          <cell r="B18190" t="str">
            <v>740-99999-001-0000</v>
          </cell>
          <cell r="J18190">
            <v>98962.38</v>
          </cell>
        </row>
        <row r="18191">
          <cell r="A18191" t="str">
            <v>LATIN</v>
          </cell>
          <cell r="J18191">
            <v>0</v>
          </cell>
        </row>
        <row r="18192">
          <cell r="A18192" t="str">
            <v>LATIN</v>
          </cell>
          <cell r="J18192">
            <v>0</v>
          </cell>
        </row>
        <row r="18193">
          <cell r="A18193" t="str">
            <v>LATIN</v>
          </cell>
          <cell r="J18193">
            <v>0</v>
          </cell>
        </row>
        <row r="18194">
          <cell r="A18194" t="str">
            <v>LATIN</v>
          </cell>
          <cell r="J18194">
            <v>0</v>
          </cell>
        </row>
        <row r="18195">
          <cell r="A18195" t="str">
            <v>LATIN</v>
          </cell>
          <cell r="J18195">
            <v>0</v>
          </cell>
        </row>
        <row r="18196">
          <cell r="A18196" t="str">
            <v>LATIN</v>
          </cell>
          <cell r="J18196">
            <v>0</v>
          </cell>
        </row>
        <row r="18197">
          <cell r="A18197" t="str">
            <v>LATIN</v>
          </cell>
          <cell r="J18197">
            <v>0</v>
          </cell>
        </row>
        <row r="18198">
          <cell r="A18198" t="str">
            <v>LATIN</v>
          </cell>
          <cell r="J18198">
            <v>0</v>
          </cell>
        </row>
        <row r="18199">
          <cell r="A18199" t="str">
            <v>LATIN</v>
          </cell>
          <cell r="J18199">
            <v>0</v>
          </cell>
        </row>
        <row r="18200">
          <cell r="A18200" t="str">
            <v>LATIN</v>
          </cell>
          <cell r="J18200">
            <v>0</v>
          </cell>
        </row>
        <row r="18201">
          <cell r="A18201" t="str">
            <v>LATIN</v>
          </cell>
          <cell r="J18201">
            <v>0</v>
          </cell>
        </row>
        <row r="18202">
          <cell r="A18202" t="str">
            <v>LATIN</v>
          </cell>
          <cell r="J18202">
            <v>0</v>
          </cell>
        </row>
        <row r="18203">
          <cell r="A18203" t="str">
            <v>LATIN</v>
          </cell>
          <cell r="J18203">
            <v>0</v>
          </cell>
        </row>
        <row r="18204">
          <cell r="A18204" t="str">
            <v>LATIN</v>
          </cell>
          <cell r="J18204">
            <v>0</v>
          </cell>
        </row>
        <row r="18205">
          <cell r="A18205" t="str">
            <v>LATIN</v>
          </cell>
          <cell r="J18205">
            <v>0</v>
          </cell>
        </row>
        <row r="18206">
          <cell r="A18206" t="str">
            <v>LATIN</v>
          </cell>
          <cell r="J18206">
            <v>0</v>
          </cell>
        </row>
        <row r="18207">
          <cell r="A18207" t="str">
            <v>LATIN</v>
          </cell>
          <cell r="J18207">
            <v>0</v>
          </cell>
        </row>
        <row r="18208">
          <cell r="A18208" t="str">
            <v>LATIN</v>
          </cell>
          <cell r="J18208">
            <v>0</v>
          </cell>
        </row>
        <row r="18209">
          <cell r="A18209" t="str">
            <v>LATIN</v>
          </cell>
          <cell r="J18209">
            <v>0</v>
          </cell>
        </row>
        <row r="18210">
          <cell r="A18210" t="str">
            <v>LATIN</v>
          </cell>
          <cell r="J18210">
            <v>0</v>
          </cell>
        </row>
        <row r="18211">
          <cell r="A18211" t="str">
            <v>LATIN</v>
          </cell>
          <cell r="J18211">
            <v>0</v>
          </cell>
        </row>
        <row r="18212">
          <cell r="A18212" t="str">
            <v>LATIN</v>
          </cell>
          <cell r="J18212">
            <v>0</v>
          </cell>
        </row>
        <row r="18213">
          <cell r="A18213" t="str">
            <v>LATIN</v>
          </cell>
          <cell r="J18213">
            <v>0</v>
          </cell>
        </row>
        <row r="18214">
          <cell r="A18214" t="str">
            <v>LATIN</v>
          </cell>
          <cell r="J18214">
            <v>0</v>
          </cell>
        </row>
        <row r="18215">
          <cell r="A18215" t="str">
            <v>LATIN</v>
          </cell>
          <cell r="J18215">
            <v>0</v>
          </cell>
        </row>
        <row r="18216">
          <cell r="A18216" t="str">
            <v>LATIN</v>
          </cell>
          <cell r="J18216">
            <v>0</v>
          </cell>
        </row>
        <row r="18217">
          <cell r="A18217" t="str">
            <v>LATIN</v>
          </cell>
          <cell r="J18217">
            <v>0</v>
          </cell>
        </row>
        <row r="18218">
          <cell r="A18218" t="str">
            <v>LATIN</v>
          </cell>
          <cell r="J18218">
            <v>0</v>
          </cell>
        </row>
        <row r="18219">
          <cell r="A18219" t="str">
            <v>LATIN</v>
          </cell>
          <cell r="J18219">
            <v>0</v>
          </cell>
        </row>
        <row r="18220">
          <cell r="A18220" t="str">
            <v>LATIN</v>
          </cell>
          <cell r="J18220">
            <v>0</v>
          </cell>
        </row>
        <row r="18221">
          <cell r="A18221" t="str">
            <v>LATIN</v>
          </cell>
          <cell r="J18221">
            <v>0</v>
          </cell>
        </row>
        <row r="18222">
          <cell r="A18222" t="str">
            <v>LATIN</v>
          </cell>
          <cell r="J18222">
            <v>0</v>
          </cell>
        </row>
        <row r="18223">
          <cell r="A18223" t="str">
            <v>LATIN</v>
          </cell>
          <cell r="J18223">
            <v>0</v>
          </cell>
        </row>
        <row r="18224">
          <cell r="A18224" t="str">
            <v>LATIN</v>
          </cell>
          <cell r="J18224">
            <v>0</v>
          </cell>
        </row>
        <row r="18225">
          <cell r="A18225" t="str">
            <v>LATIN</v>
          </cell>
          <cell r="J18225">
            <v>0</v>
          </cell>
        </row>
        <row r="18226">
          <cell r="A18226" t="str">
            <v>LATIN</v>
          </cell>
          <cell r="J18226">
            <v>0</v>
          </cell>
        </row>
        <row r="18227">
          <cell r="A18227" t="str">
            <v>LATIN</v>
          </cell>
          <cell r="J18227">
            <v>0</v>
          </cell>
        </row>
        <row r="18228">
          <cell r="A18228" t="str">
            <v>LATIN</v>
          </cell>
          <cell r="J18228">
            <v>0</v>
          </cell>
        </row>
        <row r="18229">
          <cell r="A18229" t="str">
            <v>LATIN</v>
          </cell>
          <cell r="J18229">
            <v>0</v>
          </cell>
        </row>
        <row r="18230">
          <cell r="A18230" t="str">
            <v>LATIN</v>
          </cell>
          <cell r="J18230">
            <v>0</v>
          </cell>
        </row>
        <row r="18231">
          <cell r="A18231" t="str">
            <v>LATIN</v>
          </cell>
          <cell r="J18231">
            <v>0</v>
          </cell>
        </row>
        <row r="18232">
          <cell r="A18232" t="str">
            <v>LATIN</v>
          </cell>
          <cell r="J18232">
            <v>0</v>
          </cell>
        </row>
        <row r="18233">
          <cell r="A18233" t="str">
            <v>LATIN</v>
          </cell>
          <cell r="J18233">
            <v>0</v>
          </cell>
        </row>
        <row r="18234">
          <cell r="A18234" t="str">
            <v>LATIN</v>
          </cell>
          <cell r="J18234">
            <v>0</v>
          </cell>
        </row>
        <row r="18235">
          <cell r="A18235" t="str">
            <v>LATIN</v>
          </cell>
          <cell r="J18235">
            <v>0</v>
          </cell>
        </row>
        <row r="18236">
          <cell r="A18236" t="str">
            <v>LATIN</v>
          </cell>
          <cell r="J18236">
            <v>0</v>
          </cell>
        </row>
        <row r="18237">
          <cell r="A18237" t="str">
            <v>LATIN</v>
          </cell>
          <cell r="J18237">
            <v>0</v>
          </cell>
        </row>
        <row r="18238">
          <cell r="A18238" t="str">
            <v>LATIN</v>
          </cell>
          <cell r="J18238">
            <v>0</v>
          </cell>
        </row>
        <row r="18239">
          <cell r="A18239" t="str">
            <v>LATIN</v>
          </cell>
          <cell r="J18239">
            <v>0</v>
          </cell>
        </row>
        <row r="18240">
          <cell r="A18240" t="str">
            <v>LATIN</v>
          </cell>
          <cell r="J18240">
            <v>0</v>
          </cell>
        </row>
        <row r="18241">
          <cell r="A18241" t="str">
            <v>LATIN</v>
          </cell>
          <cell r="J18241">
            <v>0</v>
          </cell>
        </row>
        <row r="18242">
          <cell r="A18242" t="str">
            <v>LATIN</v>
          </cell>
          <cell r="J18242">
            <v>0</v>
          </cell>
        </row>
        <row r="18243">
          <cell r="A18243" t="str">
            <v>LATIN</v>
          </cell>
          <cell r="J18243">
            <v>0</v>
          </cell>
        </row>
        <row r="18244">
          <cell r="A18244" t="str">
            <v>LATIN</v>
          </cell>
          <cell r="J18244">
            <v>0</v>
          </cell>
        </row>
        <row r="18245">
          <cell r="A18245" t="str">
            <v>LATIN</v>
          </cell>
          <cell r="J18245">
            <v>0</v>
          </cell>
        </row>
        <row r="18246">
          <cell r="A18246" t="str">
            <v>LATIN</v>
          </cell>
          <cell r="J18246">
            <v>0</v>
          </cell>
        </row>
        <row r="18247">
          <cell r="A18247" t="str">
            <v>LATIN</v>
          </cell>
          <cell r="J18247">
            <v>0</v>
          </cell>
        </row>
        <row r="18248">
          <cell r="A18248" t="str">
            <v>LATIN</v>
          </cell>
          <cell r="J18248">
            <v>0</v>
          </cell>
        </row>
        <row r="18249">
          <cell r="A18249" t="str">
            <v>LATIN</v>
          </cell>
          <cell r="J18249">
            <v>0</v>
          </cell>
        </row>
        <row r="18250">
          <cell r="A18250" t="str">
            <v>LATIN</v>
          </cell>
          <cell r="J18250">
            <v>0</v>
          </cell>
        </row>
        <row r="18251">
          <cell r="A18251" t="str">
            <v>LATIN</v>
          </cell>
          <cell r="J18251">
            <v>0</v>
          </cell>
        </row>
        <row r="18252">
          <cell r="A18252" t="str">
            <v>LATIN</v>
          </cell>
          <cell r="J18252">
            <v>0</v>
          </cell>
        </row>
        <row r="18253">
          <cell r="A18253" t="str">
            <v>LATIN</v>
          </cell>
          <cell r="J18253">
            <v>0</v>
          </cell>
        </row>
        <row r="18254">
          <cell r="A18254" t="str">
            <v>LATIN</v>
          </cell>
          <cell r="J18254">
            <v>0</v>
          </cell>
        </row>
        <row r="18255">
          <cell r="A18255" t="str">
            <v>LATIN</v>
          </cell>
          <cell r="J18255">
            <v>0</v>
          </cell>
        </row>
        <row r="18256">
          <cell r="A18256" t="str">
            <v>LATIN</v>
          </cell>
          <cell r="J18256">
            <v>0</v>
          </cell>
        </row>
        <row r="18257">
          <cell r="A18257" t="str">
            <v>LATIN</v>
          </cell>
          <cell r="J18257">
            <v>0</v>
          </cell>
        </row>
        <row r="18258">
          <cell r="A18258" t="str">
            <v>LATIN</v>
          </cell>
          <cell r="J18258">
            <v>0</v>
          </cell>
        </row>
        <row r="18259">
          <cell r="A18259" t="str">
            <v>LATIN</v>
          </cell>
          <cell r="J18259">
            <v>0</v>
          </cell>
        </row>
        <row r="18260">
          <cell r="A18260" t="str">
            <v>LATIN</v>
          </cell>
          <cell r="J18260">
            <v>0</v>
          </cell>
        </row>
        <row r="18261">
          <cell r="A18261" t="str">
            <v>LATIN</v>
          </cell>
          <cell r="J18261">
            <v>0</v>
          </cell>
        </row>
        <row r="18262">
          <cell r="A18262" t="str">
            <v>LATIN</v>
          </cell>
          <cell r="J18262">
            <v>0</v>
          </cell>
        </row>
        <row r="18263">
          <cell r="A18263" t="str">
            <v>LATIN</v>
          </cell>
          <cell r="J18263">
            <v>0</v>
          </cell>
        </row>
        <row r="18264">
          <cell r="A18264" t="str">
            <v>LATIN</v>
          </cell>
          <cell r="J18264">
            <v>0</v>
          </cell>
        </row>
        <row r="18265">
          <cell r="A18265" t="str">
            <v>LATIN</v>
          </cell>
          <cell r="J18265">
            <v>0</v>
          </cell>
        </row>
        <row r="18266">
          <cell r="A18266" t="str">
            <v>LATIN</v>
          </cell>
          <cell r="J18266">
            <v>0</v>
          </cell>
        </row>
        <row r="18267">
          <cell r="A18267" t="str">
            <v>LATIN</v>
          </cell>
          <cell r="J18267">
            <v>0</v>
          </cell>
        </row>
        <row r="18268">
          <cell r="A18268" t="str">
            <v>LATIN</v>
          </cell>
          <cell r="J18268">
            <v>0</v>
          </cell>
        </row>
        <row r="18269">
          <cell r="A18269" t="str">
            <v>LATIN</v>
          </cell>
          <cell r="J18269">
            <v>0</v>
          </cell>
        </row>
        <row r="18270">
          <cell r="A18270" t="str">
            <v>LATIN</v>
          </cell>
          <cell r="J18270">
            <v>0</v>
          </cell>
        </row>
        <row r="18271">
          <cell r="A18271" t="str">
            <v>LATIN</v>
          </cell>
          <cell r="J18271">
            <v>0</v>
          </cell>
        </row>
        <row r="18272">
          <cell r="A18272" t="str">
            <v>LATIN</v>
          </cell>
          <cell r="J18272">
            <v>0</v>
          </cell>
        </row>
        <row r="18273">
          <cell r="A18273" t="str">
            <v>LATIN</v>
          </cell>
          <cell r="J18273">
            <v>0</v>
          </cell>
        </row>
        <row r="18274">
          <cell r="A18274" t="str">
            <v>LATIN</v>
          </cell>
          <cell r="J18274">
            <v>0</v>
          </cell>
        </row>
        <row r="18275">
          <cell r="A18275" t="str">
            <v>LATIN</v>
          </cell>
          <cell r="J18275">
            <v>0</v>
          </cell>
        </row>
        <row r="18276">
          <cell r="A18276" t="str">
            <v>LATIN</v>
          </cell>
          <cell r="J18276">
            <v>0</v>
          </cell>
        </row>
        <row r="18277">
          <cell r="A18277" t="str">
            <v>LATIN</v>
          </cell>
          <cell r="J18277">
            <v>0</v>
          </cell>
        </row>
        <row r="18278">
          <cell r="A18278" t="str">
            <v>LATIN</v>
          </cell>
          <cell r="J18278">
            <v>0</v>
          </cell>
        </row>
        <row r="18279">
          <cell r="A18279" t="str">
            <v>LATIN</v>
          </cell>
          <cell r="J18279">
            <v>0</v>
          </cell>
        </row>
        <row r="18280">
          <cell r="A18280" t="str">
            <v>LATIN</v>
          </cell>
          <cell r="J18280">
            <v>0</v>
          </cell>
        </row>
        <row r="18281">
          <cell r="A18281" t="str">
            <v>LATIN</v>
          </cell>
          <cell r="J18281">
            <v>0</v>
          </cell>
        </row>
        <row r="18282">
          <cell r="A18282" t="str">
            <v>LATIN</v>
          </cell>
          <cell r="J18282">
            <v>0</v>
          </cell>
        </row>
        <row r="18283">
          <cell r="A18283" t="str">
            <v>LATIN</v>
          </cell>
          <cell r="J18283">
            <v>0</v>
          </cell>
        </row>
        <row r="18284">
          <cell r="A18284" t="str">
            <v>LATIN</v>
          </cell>
          <cell r="J18284">
            <v>0</v>
          </cell>
        </row>
        <row r="18285">
          <cell r="A18285" t="str">
            <v>LATIN</v>
          </cell>
          <cell r="J18285">
            <v>0</v>
          </cell>
        </row>
        <row r="18286">
          <cell r="A18286" t="str">
            <v>LATIN</v>
          </cell>
          <cell r="J18286">
            <v>0</v>
          </cell>
        </row>
        <row r="18287">
          <cell r="A18287" t="str">
            <v>LATIN</v>
          </cell>
          <cell r="J18287">
            <v>0</v>
          </cell>
        </row>
        <row r="18288">
          <cell r="A18288" t="str">
            <v>LATIN</v>
          </cell>
          <cell r="J18288">
            <v>0</v>
          </cell>
        </row>
        <row r="18289">
          <cell r="A18289" t="str">
            <v>LATIN</v>
          </cell>
          <cell r="J18289">
            <v>0</v>
          </cell>
        </row>
        <row r="18290">
          <cell r="A18290" t="str">
            <v>LATIN</v>
          </cell>
          <cell r="J18290">
            <v>0</v>
          </cell>
        </row>
        <row r="18291">
          <cell r="A18291" t="str">
            <v>LATIN</v>
          </cell>
          <cell r="J18291">
            <v>0</v>
          </cell>
        </row>
        <row r="18292">
          <cell r="A18292" t="str">
            <v>LATIN</v>
          </cell>
          <cell r="J18292">
            <v>0</v>
          </cell>
        </row>
        <row r="18293">
          <cell r="A18293" t="str">
            <v>LATIN</v>
          </cell>
          <cell r="J18293">
            <v>0</v>
          </cell>
        </row>
        <row r="18294">
          <cell r="A18294" t="str">
            <v>LATIN</v>
          </cell>
          <cell r="J18294">
            <v>0</v>
          </cell>
        </row>
        <row r="18295">
          <cell r="A18295" t="str">
            <v>LATIN</v>
          </cell>
          <cell r="J18295">
            <v>0</v>
          </cell>
        </row>
        <row r="18296">
          <cell r="A18296" t="str">
            <v>LATIN</v>
          </cell>
          <cell r="J18296">
            <v>0</v>
          </cell>
        </row>
        <row r="18297">
          <cell r="A18297" t="str">
            <v>LATIN</v>
          </cell>
          <cell r="J18297">
            <v>0</v>
          </cell>
        </row>
        <row r="18298">
          <cell r="A18298" t="str">
            <v>LATIN</v>
          </cell>
          <cell r="J18298">
            <v>0</v>
          </cell>
        </row>
        <row r="18299">
          <cell r="A18299" t="str">
            <v>LATIN</v>
          </cell>
          <cell r="J18299">
            <v>0</v>
          </cell>
        </row>
        <row r="18300">
          <cell r="A18300" t="str">
            <v>LATIN</v>
          </cell>
          <cell r="J18300">
            <v>0</v>
          </cell>
        </row>
        <row r="18301">
          <cell r="A18301" t="str">
            <v>LATIN</v>
          </cell>
          <cell r="J18301">
            <v>0</v>
          </cell>
        </row>
        <row r="18302">
          <cell r="A18302" t="str">
            <v>LATIN</v>
          </cell>
          <cell r="J18302">
            <v>0</v>
          </cell>
        </row>
        <row r="18303">
          <cell r="A18303" t="str">
            <v>LATIN</v>
          </cell>
          <cell r="J18303">
            <v>0</v>
          </cell>
        </row>
        <row r="18304">
          <cell r="A18304" t="str">
            <v>LATIN</v>
          </cell>
          <cell r="J18304">
            <v>0</v>
          </cell>
        </row>
        <row r="18305">
          <cell r="A18305" t="str">
            <v>LATIN</v>
          </cell>
          <cell r="J18305">
            <v>0</v>
          </cell>
        </row>
        <row r="18306">
          <cell r="A18306" t="str">
            <v>LATIN</v>
          </cell>
          <cell r="J18306">
            <v>0</v>
          </cell>
        </row>
        <row r="18307">
          <cell r="A18307" t="str">
            <v>LATIN</v>
          </cell>
          <cell r="J18307">
            <v>0</v>
          </cell>
        </row>
        <row r="18308">
          <cell r="A18308" t="str">
            <v>LATIN</v>
          </cell>
          <cell r="J18308">
            <v>0</v>
          </cell>
        </row>
        <row r="18309">
          <cell r="A18309" t="str">
            <v>LATIN</v>
          </cell>
          <cell r="J18309">
            <v>0</v>
          </cell>
        </row>
        <row r="18310">
          <cell r="A18310" t="str">
            <v>LATIN</v>
          </cell>
          <cell r="J18310">
            <v>0</v>
          </cell>
        </row>
        <row r="18311">
          <cell r="A18311" t="str">
            <v>LATIN</v>
          </cell>
          <cell r="J18311">
            <v>0</v>
          </cell>
        </row>
        <row r="18312">
          <cell r="A18312" t="str">
            <v>LATIN</v>
          </cell>
          <cell r="J18312">
            <v>0</v>
          </cell>
        </row>
        <row r="18313">
          <cell r="A18313" t="str">
            <v>LATIN</v>
          </cell>
          <cell r="J18313">
            <v>0</v>
          </cell>
        </row>
        <row r="18314">
          <cell r="A18314" t="str">
            <v>LATIN</v>
          </cell>
          <cell r="J18314">
            <v>0</v>
          </cell>
        </row>
        <row r="18315">
          <cell r="A18315" t="str">
            <v>LATIN</v>
          </cell>
          <cell r="J18315">
            <v>0</v>
          </cell>
        </row>
        <row r="18316">
          <cell r="A18316" t="str">
            <v>LATIN</v>
          </cell>
          <cell r="J18316">
            <v>0</v>
          </cell>
        </row>
        <row r="18317">
          <cell r="A18317" t="str">
            <v>LATIN</v>
          </cell>
          <cell r="J18317">
            <v>0</v>
          </cell>
        </row>
        <row r="18318">
          <cell r="A18318" t="str">
            <v>LATIN</v>
          </cell>
          <cell r="J18318">
            <v>0</v>
          </cell>
        </row>
        <row r="18319">
          <cell r="A18319" t="str">
            <v>LATIN</v>
          </cell>
          <cell r="J18319">
            <v>0</v>
          </cell>
        </row>
        <row r="18320">
          <cell r="A18320" t="str">
            <v>LATIN</v>
          </cell>
          <cell r="J18320">
            <v>0</v>
          </cell>
        </row>
        <row r="18321">
          <cell r="A18321" t="str">
            <v>LATIN</v>
          </cell>
          <cell r="J18321">
            <v>0</v>
          </cell>
        </row>
        <row r="18322">
          <cell r="A18322" t="str">
            <v>LATIN</v>
          </cell>
          <cell r="J18322">
            <v>0</v>
          </cell>
        </row>
        <row r="18323">
          <cell r="A18323" t="str">
            <v>LATIN</v>
          </cell>
          <cell r="J18323">
            <v>0</v>
          </cell>
        </row>
        <row r="18324">
          <cell r="A18324" t="str">
            <v>LATIN</v>
          </cell>
          <cell r="J18324">
            <v>0</v>
          </cell>
        </row>
        <row r="18325">
          <cell r="A18325" t="str">
            <v>LATIN</v>
          </cell>
          <cell r="J18325">
            <v>0</v>
          </cell>
        </row>
        <row r="18326">
          <cell r="A18326" t="str">
            <v>LATIN</v>
          </cell>
          <cell r="J18326">
            <v>0</v>
          </cell>
        </row>
        <row r="18327">
          <cell r="A18327" t="str">
            <v>LATIN</v>
          </cell>
          <cell r="J18327">
            <v>0</v>
          </cell>
        </row>
        <row r="18328">
          <cell r="A18328" t="str">
            <v>LATIN</v>
          </cell>
          <cell r="J18328">
            <v>0</v>
          </cell>
        </row>
        <row r="18329">
          <cell r="A18329" t="str">
            <v>LATIN</v>
          </cell>
          <cell r="J18329">
            <v>0</v>
          </cell>
        </row>
        <row r="18330">
          <cell r="A18330" t="str">
            <v>LATIN</v>
          </cell>
          <cell r="J18330">
            <v>0</v>
          </cell>
        </row>
        <row r="18331">
          <cell r="A18331" t="str">
            <v>LATIN</v>
          </cell>
          <cell r="J18331">
            <v>0</v>
          </cell>
        </row>
        <row r="18332">
          <cell r="A18332" t="str">
            <v>LATIN</v>
          </cell>
          <cell r="J18332">
            <v>0</v>
          </cell>
        </row>
        <row r="18333">
          <cell r="A18333" t="str">
            <v>LATIN</v>
          </cell>
          <cell r="J18333">
            <v>0</v>
          </cell>
        </row>
        <row r="18334">
          <cell r="A18334" t="str">
            <v>LATIN</v>
          </cell>
          <cell r="J18334">
            <v>0</v>
          </cell>
        </row>
        <row r="18335">
          <cell r="A18335" t="str">
            <v>LATIN</v>
          </cell>
          <cell r="J18335">
            <v>0</v>
          </cell>
        </row>
        <row r="18336">
          <cell r="A18336" t="str">
            <v>LATIN</v>
          </cell>
          <cell r="J18336">
            <v>0</v>
          </cell>
        </row>
        <row r="18337">
          <cell r="A18337" t="str">
            <v>LATIN</v>
          </cell>
          <cell r="J18337">
            <v>0</v>
          </cell>
        </row>
        <row r="18338">
          <cell r="A18338" t="str">
            <v>LATIN</v>
          </cell>
          <cell r="J18338">
            <v>0</v>
          </cell>
        </row>
        <row r="18339">
          <cell r="A18339" t="str">
            <v>LATIN</v>
          </cell>
          <cell r="J18339">
            <v>0</v>
          </cell>
        </row>
        <row r="18340">
          <cell r="A18340" t="str">
            <v>LATIN</v>
          </cell>
          <cell r="J18340">
            <v>0</v>
          </cell>
        </row>
        <row r="18341">
          <cell r="A18341" t="str">
            <v>LATIN</v>
          </cell>
          <cell r="J18341">
            <v>0</v>
          </cell>
        </row>
        <row r="18342">
          <cell r="A18342" t="str">
            <v>LATIN</v>
          </cell>
          <cell r="J18342">
            <v>0</v>
          </cell>
        </row>
        <row r="18343">
          <cell r="A18343" t="str">
            <v>LATIN</v>
          </cell>
          <cell r="J18343">
            <v>0</v>
          </cell>
        </row>
        <row r="18344">
          <cell r="A18344" t="str">
            <v>LATIN</v>
          </cell>
          <cell r="J18344">
            <v>0</v>
          </cell>
        </row>
        <row r="18345">
          <cell r="A18345" t="str">
            <v>LATIN</v>
          </cell>
          <cell r="J18345">
            <v>0</v>
          </cell>
        </row>
        <row r="18346">
          <cell r="A18346" t="str">
            <v>LATIN</v>
          </cell>
          <cell r="J18346">
            <v>0</v>
          </cell>
        </row>
        <row r="18347">
          <cell r="A18347" t="str">
            <v>LATIN</v>
          </cell>
          <cell r="J18347">
            <v>0</v>
          </cell>
        </row>
        <row r="18348">
          <cell r="A18348" t="str">
            <v>LATIN</v>
          </cell>
          <cell r="J18348">
            <v>0</v>
          </cell>
        </row>
        <row r="18349">
          <cell r="A18349" t="str">
            <v>LATIN</v>
          </cell>
          <cell r="J18349">
            <v>0</v>
          </cell>
        </row>
        <row r="18350">
          <cell r="A18350" t="str">
            <v>LATIN</v>
          </cell>
          <cell r="J18350">
            <v>0</v>
          </cell>
        </row>
        <row r="18351">
          <cell r="A18351" t="str">
            <v>LATIN</v>
          </cell>
          <cell r="J18351">
            <v>0</v>
          </cell>
        </row>
        <row r="18352">
          <cell r="A18352" t="str">
            <v>LATIN</v>
          </cell>
          <cell r="J18352">
            <v>0</v>
          </cell>
        </row>
        <row r="18353">
          <cell r="A18353" t="str">
            <v>LATIN</v>
          </cell>
          <cell r="J18353">
            <v>0</v>
          </cell>
        </row>
        <row r="18354">
          <cell r="A18354" t="str">
            <v>LATIN</v>
          </cell>
          <cell r="J18354">
            <v>0</v>
          </cell>
        </row>
        <row r="18355">
          <cell r="A18355" t="str">
            <v>LATIN</v>
          </cell>
          <cell r="J18355">
            <v>0</v>
          </cell>
        </row>
        <row r="18356">
          <cell r="A18356" t="str">
            <v>LATIN</v>
          </cell>
          <cell r="J18356">
            <v>0</v>
          </cell>
        </row>
        <row r="18357">
          <cell r="A18357" t="str">
            <v>LATIN</v>
          </cell>
          <cell r="J18357">
            <v>0</v>
          </cell>
        </row>
        <row r="18358">
          <cell r="A18358" t="str">
            <v>LATIN</v>
          </cell>
          <cell r="J18358">
            <v>0</v>
          </cell>
        </row>
        <row r="18359">
          <cell r="A18359" t="str">
            <v>LATIN</v>
          </cell>
          <cell r="J18359">
            <v>0</v>
          </cell>
        </row>
        <row r="18360">
          <cell r="A18360" t="str">
            <v>LATIN</v>
          </cell>
          <cell r="J18360">
            <v>0</v>
          </cell>
        </row>
        <row r="18361">
          <cell r="A18361" t="str">
            <v>LATIN</v>
          </cell>
          <cell r="J18361">
            <v>0</v>
          </cell>
        </row>
        <row r="18362">
          <cell r="A18362" t="str">
            <v>LATIN</v>
          </cell>
          <cell r="J18362">
            <v>0</v>
          </cell>
        </row>
        <row r="18363">
          <cell r="A18363" t="str">
            <v>LATIN</v>
          </cell>
          <cell r="J18363">
            <v>0</v>
          </cell>
        </row>
        <row r="18364">
          <cell r="A18364" t="str">
            <v>LATIN</v>
          </cell>
          <cell r="J18364">
            <v>0</v>
          </cell>
        </row>
        <row r="18365">
          <cell r="A18365" t="str">
            <v>LATIN</v>
          </cell>
          <cell r="J18365">
            <v>0</v>
          </cell>
        </row>
        <row r="18366">
          <cell r="A18366" t="str">
            <v>LATIN</v>
          </cell>
          <cell r="J18366">
            <v>0</v>
          </cell>
        </row>
        <row r="18367">
          <cell r="A18367" t="str">
            <v>LATIN</v>
          </cell>
          <cell r="J18367">
            <v>0</v>
          </cell>
        </row>
        <row r="18368">
          <cell r="A18368" t="str">
            <v>LATIN</v>
          </cell>
          <cell r="J18368">
            <v>0</v>
          </cell>
        </row>
        <row r="18369">
          <cell r="A18369" t="str">
            <v>LATIN</v>
          </cell>
          <cell r="J18369">
            <v>0</v>
          </cell>
        </row>
        <row r="18370">
          <cell r="A18370" t="str">
            <v>LATIN</v>
          </cell>
          <cell r="J18370">
            <v>0</v>
          </cell>
        </row>
        <row r="18371">
          <cell r="A18371" t="str">
            <v>LATIN</v>
          </cell>
          <cell r="J18371">
            <v>0</v>
          </cell>
        </row>
        <row r="18372">
          <cell r="A18372" t="str">
            <v>LATIN</v>
          </cell>
          <cell r="J18372">
            <v>0</v>
          </cell>
        </row>
        <row r="18373">
          <cell r="A18373" t="str">
            <v>LATIN</v>
          </cell>
          <cell r="J18373">
            <v>0</v>
          </cell>
        </row>
        <row r="18374">
          <cell r="A18374" t="str">
            <v>LATIN</v>
          </cell>
          <cell r="J18374">
            <v>0</v>
          </cell>
        </row>
        <row r="18375">
          <cell r="A18375" t="str">
            <v>LATIN</v>
          </cell>
          <cell r="J18375">
            <v>0</v>
          </cell>
        </row>
        <row r="18376">
          <cell r="A18376" t="str">
            <v>LATIN</v>
          </cell>
          <cell r="J18376">
            <v>0</v>
          </cell>
        </row>
        <row r="18377">
          <cell r="A18377" t="str">
            <v>LATIN</v>
          </cell>
          <cell r="J18377">
            <v>0</v>
          </cell>
        </row>
        <row r="18378">
          <cell r="A18378" t="str">
            <v>LATIN</v>
          </cell>
          <cell r="J18378">
            <v>0</v>
          </cell>
        </row>
        <row r="18379">
          <cell r="A18379" t="str">
            <v>LATIN</v>
          </cell>
          <cell r="J18379">
            <v>0</v>
          </cell>
        </row>
        <row r="18380">
          <cell r="A18380" t="str">
            <v>LATIN</v>
          </cell>
          <cell r="J18380">
            <v>0</v>
          </cell>
        </row>
        <row r="18381">
          <cell r="A18381" t="str">
            <v>LATIN</v>
          </cell>
          <cell r="J18381">
            <v>0</v>
          </cell>
        </row>
        <row r="18382">
          <cell r="A18382" t="str">
            <v>LATIN</v>
          </cell>
          <cell r="J18382">
            <v>0</v>
          </cell>
        </row>
        <row r="18383">
          <cell r="A18383" t="str">
            <v>LATIN</v>
          </cell>
          <cell r="J18383">
            <v>0</v>
          </cell>
        </row>
        <row r="18384">
          <cell r="A18384" t="str">
            <v>LATIN</v>
          </cell>
          <cell r="J18384">
            <v>0</v>
          </cell>
        </row>
        <row r="18385">
          <cell r="A18385" t="str">
            <v>LATIN</v>
          </cell>
          <cell r="J18385">
            <v>0</v>
          </cell>
        </row>
        <row r="18386">
          <cell r="A18386" t="str">
            <v>LATIN</v>
          </cell>
          <cell r="J18386">
            <v>0</v>
          </cell>
        </row>
        <row r="18387">
          <cell r="A18387" t="str">
            <v>LATIN</v>
          </cell>
          <cell r="J18387">
            <v>0</v>
          </cell>
        </row>
        <row r="18388">
          <cell r="A18388" t="str">
            <v>LATIN</v>
          </cell>
          <cell r="J18388">
            <v>0</v>
          </cell>
        </row>
        <row r="18389">
          <cell r="A18389" t="str">
            <v>LATIN</v>
          </cell>
          <cell r="J18389">
            <v>0</v>
          </cell>
        </row>
        <row r="18390">
          <cell r="A18390" t="str">
            <v>LATIN</v>
          </cell>
          <cell r="J18390">
            <v>0</v>
          </cell>
        </row>
        <row r="18391">
          <cell r="A18391" t="str">
            <v>LATIN</v>
          </cell>
          <cell r="J18391">
            <v>0</v>
          </cell>
        </row>
        <row r="18392">
          <cell r="A18392" t="str">
            <v>LATIN</v>
          </cell>
          <cell r="J18392">
            <v>0</v>
          </cell>
        </row>
        <row r="18393">
          <cell r="A18393" t="str">
            <v>LATIN</v>
          </cell>
          <cell r="J18393">
            <v>0</v>
          </cell>
        </row>
        <row r="18394">
          <cell r="A18394" t="str">
            <v>LATIN</v>
          </cell>
          <cell r="J18394">
            <v>0</v>
          </cell>
        </row>
        <row r="18395">
          <cell r="A18395" t="str">
            <v>LATIN</v>
          </cell>
          <cell r="J18395">
            <v>0</v>
          </cell>
        </row>
        <row r="18396">
          <cell r="A18396" t="str">
            <v>LATIN</v>
          </cell>
          <cell r="J18396">
            <v>0</v>
          </cell>
        </row>
        <row r="18397">
          <cell r="A18397" t="str">
            <v>LATIN</v>
          </cell>
          <cell r="J18397">
            <v>0</v>
          </cell>
        </row>
        <row r="18398">
          <cell r="A18398" t="str">
            <v>LATIN</v>
          </cell>
          <cell r="J18398">
            <v>0</v>
          </cell>
        </row>
        <row r="18399">
          <cell r="A18399" t="str">
            <v>LATIN</v>
          </cell>
          <cell r="J18399">
            <v>0</v>
          </cell>
        </row>
        <row r="18400">
          <cell r="A18400" t="str">
            <v>LATIN</v>
          </cell>
          <cell r="J18400">
            <v>0</v>
          </cell>
        </row>
        <row r="18401">
          <cell r="A18401" t="str">
            <v>LATIN</v>
          </cell>
          <cell r="J18401">
            <v>0</v>
          </cell>
        </row>
        <row r="18402">
          <cell r="A18402" t="str">
            <v>LATIN</v>
          </cell>
          <cell r="J18402">
            <v>0</v>
          </cell>
        </row>
        <row r="18403">
          <cell r="A18403" t="str">
            <v>LATIN</v>
          </cell>
          <cell r="J18403">
            <v>0</v>
          </cell>
        </row>
        <row r="18404">
          <cell r="A18404" t="str">
            <v>LATIN</v>
          </cell>
          <cell r="J18404">
            <v>0</v>
          </cell>
        </row>
        <row r="18405">
          <cell r="A18405" t="str">
            <v>LATIN</v>
          </cell>
          <cell r="J18405">
            <v>0</v>
          </cell>
        </row>
        <row r="18406">
          <cell r="A18406" t="str">
            <v>LATIN</v>
          </cell>
          <cell r="J18406">
            <v>0</v>
          </cell>
        </row>
        <row r="18407">
          <cell r="A18407" t="str">
            <v>LATIN</v>
          </cell>
          <cell r="J18407">
            <v>0</v>
          </cell>
        </row>
        <row r="18408">
          <cell r="A18408" t="str">
            <v>LATIN</v>
          </cell>
          <cell r="J18408">
            <v>0</v>
          </cell>
        </row>
        <row r="18409">
          <cell r="A18409" t="str">
            <v>LATIN</v>
          </cell>
          <cell r="J18409">
            <v>0</v>
          </cell>
        </row>
        <row r="18410">
          <cell r="A18410" t="str">
            <v>LATIN</v>
          </cell>
          <cell r="J18410">
            <v>0</v>
          </cell>
        </row>
        <row r="18411">
          <cell r="A18411" t="str">
            <v>LATIN</v>
          </cell>
          <cell r="J18411">
            <v>0</v>
          </cell>
        </row>
        <row r="18412">
          <cell r="A18412" t="str">
            <v>LATIN</v>
          </cell>
          <cell r="J18412">
            <v>0</v>
          </cell>
        </row>
        <row r="18413">
          <cell r="A18413" t="str">
            <v>LATIN</v>
          </cell>
          <cell r="J18413">
            <v>0</v>
          </cell>
        </row>
        <row r="18414">
          <cell r="A18414" t="str">
            <v>LATIN</v>
          </cell>
          <cell r="J18414">
            <v>0</v>
          </cell>
        </row>
        <row r="18415">
          <cell r="A18415" t="str">
            <v>LATIN</v>
          </cell>
          <cell r="J18415">
            <v>0</v>
          </cell>
        </row>
        <row r="18416">
          <cell r="A18416" t="str">
            <v>LATIN</v>
          </cell>
          <cell r="J18416">
            <v>0</v>
          </cell>
        </row>
        <row r="18417">
          <cell r="A18417" t="str">
            <v>LATIN</v>
          </cell>
          <cell r="J18417">
            <v>0</v>
          </cell>
        </row>
        <row r="18418">
          <cell r="A18418" t="str">
            <v>LATIN</v>
          </cell>
          <cell r="J18418">
            <v>0</v>
          </cell>
        </row>
        <row r="18419">
          <cell r="A18419" t="str">
            <v>LATIN</v>
          </cell>
          <cell r="J18419">
            <v>0</v>
          </cell>
        </row>
        <row r="18420">
          <cell r="A18420" t="str">
            <v>LATIN</v>
          </cell>
          <cell r="J18420">
            <v>0</v>
          </cell>
        </row>
        <row r="18421">
          <cell r="A18421" t="str">
            <v>LATIN</v>
          </cell>
          <cell r="J18421">
            <v>0</v>
          </cell>
        </row>
        <row r="18422">
          <cell r="A18422" t="str">
            <v>LATIN</v>
          </cell>
          <cell r="J18422">
            <v>0</v>
          </cell>
        </row>
        <row r="18423">
          <cell r="A18423" t="str">
            <v>LATIN</v>
          </cell>
          <cell r="J18423">
            <v>0</v>
          </cell>
        </row>
        <row r="18424">
          <cell r="A18424" t="str">
            <v>LATIN</v>
          </cell>
          <cell r="J18424">
            <v>0</v>
          </cell>
        </row>
        <row r="18425">
          <cell r="A18425" t="str">
            <v>LATIN</v>
          </cell>
          <cell r="J18425">
            <v>0</v>
          </cell>
        </row>
        <row r="18426">
          <cell r="A18426" t="str">
            <v>LATIN</v>
          </cell>
          <cell r="J18426">
            <v>0</v>
          </cell>
        </row>
        <row r="18427">
          <cell r="A18427" t="str">
            <v>LATIN</v>
          </cell>
          <cell r="J18427">
            <v>0</v>
          </cell>
        </row>
        <row r="18428">
          <cell r="A18428" t="str">
            <v>LATIN</v>
          </cell>
          <cell r="J18428">
            <v>0</v>
          </cell>
        </row>
        <row r="18429">
          <cell r="A18429" t="str">
            <v>LATIN</v>
          </cell>
          <cell r="J18429">
            <v>0</v>
          </cell>
        </row>
        <row r="18430">
          <cell r="A18430" t="str">
            <v>LATIN</v>
          </cell>
          <cell r="J18430">
            <v>0</v>
          </cell>
        </row>
        <row r="18431">
          <cell r="A18431" t="str">
            <v>LATIN</v>
          </cell>
          <cell r="J18431">
            <v>0</v>
          </cell>
        </row>
        <row r="18432">
          <cell r="A18432" t="str">
            <v>LATIN</v>
          </cell>
          <cell r="J18432">
            <v>0</v>
          </cell>
        </row>
        <row r="18433">
          <cell r="A18433" t="str">
            <v>LATIN</v>
          </cell>
          <cell r="J18433">
            <v>0</v>
          </cell>
        </row>
        <row r="18434">
          <cell r="A18434" t="str">
            <v>LATIN</v>
          </cell>
          <cell r="J18434">
            <v>0</v>
          </cell>
        </row>
        <row r="18435">
          <cell r="A18435" t="str">
            <v>LATIN</v>
          </cell>
          <cell r="J18435">
            <v>0</v>
          </cell>
        </row>
        <row r="18436">
          <cell r="A18436" t="str">
            <v>LATIN</v>
          </cell>
          <cell r="J18436">
            <v>0</v>
          </cell>
        </row>
        <row r="18437">
          <cell r="A18437" t="str">
            <v>LATIN</v>
          </cell>
          <cell r="J18437">
            <v>0</v>
          </cell>
        </row>
        <row r="18438">
          <cell r="A18438" t="str">
            <v>LATIN</v>
          </cell>
          <cell r="J18438">
            <v>0</v>
          </cell>
        </row>
        <row r="18439">
          <cell r="A18439" t="str">
            <v>LATIN</v>
          </cell>
          <cell r="J18439">
            <v>0</v>
          </cell>
        </row>
        <row r="18440">
          <cell r="A18440" t="str">
            <v>LATIN</v>
          </cell>
          <cell r="J18440">
            <v>0</v>
          </cell>
        </row>
        <row r="18441">
          <cell r="A18441" t="str">
            <v>LATIN</v>
          </cell>
          <cell r="J18441">
            <v>0</v>
          </cell>
        </row>
        <row r="18442">
          <cell r="A18442" t="str">
            <v>LATIN</v>
          </cell>
          <cell r="J18442">
            <v>0</v>
          </cell>
        </row>
        <row r="18443">
          <cell r="A18443" t="str">
            <v>LATIN</v>
          </cell>
          <cell r="J18443">
            <v>0</v>
          </cell>
        </row>
        <row r="18444">
          <cell r="A18444" t="str">
            <v>LATIN</v>
          </cell>
          <cell r="J18444">
            <v>0</v>
          </cell>
        </row>
        <row r="18445">
          <cell r="A18445" t="str">
            <v>LATIN</v>
          </cell>
          <cell r="J18445">
            <v>0</v>
          </cell>
        </row>
        <row r="18446">
          <cell r="A18446" t="str">
            <v>LATIN</v>
          </cell>
          <cell r="J18446">
            <v>0</v>
          </cell>
        </row>
        <row r="18447">
          <cell r="A18447" t="str">
            <v>LATIN</v>
          </cell>
          <cell r="J18447">
            <v>0</v>
          </cell>
        </row>
        <row r="18448">
          <cell r="A18448" t="str">
            <v>LATIN</v>
          </cell>
          <cell r="J18448">
            <v>0</v>
          </cell>
        </row>
        <row r="18449">
          <cell r="A18449" t="str">
            <v>LATIN</v>
          </cell>
          <cell r="J18449">
            <v>0</v>
          </cell>
        </row>
        <row r="18450">
          <cell r="A18450" t="str">
            <v>LATIN</v>
          </cell>
          <cell r="J18450">
            <v>0</v>
          </cell>
        </row>
        <row r="18451">
          <cell r="A18451" t="str">
            <v>LATIN</v>
          </cell>
          <cell r="J18451">
            <v>0</v>
          </cell>
        </row>
        <row r="18452">
          <cell r="A18452" t="str">
            <v>LATIN</v>
          </cell>
          <cell r="J18452">
            <v>0</v>
          </cell>
        </row>
        <row r="18453">
          <cell r="A18453" t="str">
            <v>LATIN</v>
          </cell>
          <cell r="J18453">
            <v>0</v>
          </cell>
        </row>
        <row r="18454">
          <cell r="A18454" t="str">
            <v>LATIN</v>
          </cell>
          <cell r="J18454">
            <v>0</v>
          </cell>
        </row>
        <row r="18455">
          <cell r="A18455" t="str">
            <v>LATIN</v>
          </cell>
          <cell r="J18455">
            <v>0</v>
          </cell>
        </row>
        <row r="18456">
          <cell r="A18456" t="str">
            <v>LATIN</v>
          </cell>
          <cell r="J18456">
            <v>0</v>
          </cell>
        </row>
        <row r="18457">
          <cell r="A18457" t="str">
            <v>LATIN</v>
          </cell>
          <cell r="J18457">
            <v>0</v>
          </cell>
        </row>
        <row r="18458">
          <cell r="A18458" t="str">
            <v>LATIN</v>
          </cell>
          <cell r="J18458">
            <v>0</v>
          </cell>
        </row>
        <row r="18459">
          <cell r="A18459" t="str">
            <v>LATIN</v>
          </cell>
          <cell r="J18459">
            <v>0</v>
          </cell>
        </row>
        <row r="18460">
          <cell r="A18460" t="str">
            <v>LATIN</v>
          </cell>
          <cell r="J18460">
            <v>0</v>
          </cell>
        </row>
        <row r="18461">
          <cell r="A18461" t="str">
            <v>LATIN</v>
          </cell>
          <cell r="J18461">
            <v>0</v>
          </cell>
        </row>
        <row r="18462">
          <cell r="A18462" t="str">
            <v>LATIN</v>
          </cell>
          <cell r="J18462">
            <v>0</v>
          </cell>
        </row>
        <row r="18463">
          <cell r="A18463" t="str">
            <v>LATIN</v>
          </cell>
          <cell r="J18463">
            <v>0</v>
          </cell>
        </row>
        <row r="18464">
          <cell r="A18464" t="str">
            <v>LATIN</v>
          </cell>
          <cell r="J18464">
            <v>0</v>
          </cell>
        </row>
        <row r="18465">
          <cell r="A18465" t="str">
            <v>LATIN</v>
          </cell>
          <cell r="J18465">
            <v>0</v>
          </cell>
        </row>
        <row r="18466">
          <cell r="A18466" t="str">
            <v>LATIN</v>
          </cell>
          <cell r="J18466">
            <v>0</v>
          </cell>
        </row>
        <row r="18467">
          <cell r="A18467" t="str">
            <v>LATIN</v>
          </cell>
          <cell r="J18467">
            <v>0</v>
          </cell>
        </row>
        <row r="18468">
          <cell r="A18468" t="str">
            <v>LATIN</v>
          </cell>
          <cell r="J18468">
            <v>0</v>
          </cell>
        </row>
        <row r="18469">
          <cell r="A18469" t="str">
            <v>LATIN</v>
          </cell>
          <cell r="J18469">
            <v>0</v>
          </cell>
        </row>
        <row r="18470">
          <cell r="A18470" t="str">
            <v>LATIN</v>
          </cell>
          <cell r="J18470">
            <v>0</v>
          </cell>
        </row>
        <row r="18471">
          <cell r="A18471" t="str">
            <v>LATIN</v>
          </cell>
          <cell r="J18471">
            <v>0</v>
          </cell>
        </row>
        <row r="18472">
          <cell r="A18472" t="str">
            <v>LATIN</v>
          </cell>
          <cell r="J18472">
            <v>0</v>
          </cell>
        </row>
        <row r="18473">
          <cell r="A18473" t="str">
            <v>LATIN</v>
          </cell>
          <cell r="J18473">
            <v>0</v>
          </cell>
        </row>
        <row r="18474">
          <cell r="A18474" t="str">
            <v>LATIN</v>
          </cell>
          <cell r="J18474">
            <v>0</v>
          </cell>
        </row>
        <row r="18475">
          <cell r="A18475" t="str">
            <v>LATIN</v>
          </cell>
          <cell r="J18475">
            <v>0</v>
          </cell>
        </row>
        <row r="18476">
          <cell r="A18476" t="str">
            <v>LATIN</v>
          </cell>
          <cell r="J18476">
            <v>0</v>
          </cell>
        </row>
        <row r="18477">
          <cell r="A18477" t="str">
            <v>LATIN</v>
          </cell>
          <cell r="J18477">
            <v>0</v>
          </cell>
        </row>
        <row r="18478">
          <cell r="A18478" t="str">
            <v>LATIN</v>
          </cell>
          <cell r="J18478">
            <v>0</v>
          </cell>
        </row>
        <row r="18479">
          <cell r="A18479" t="str">
            <v>LATIN</v>
          </cell>
          <cell r="J18479">
            <v>0</v>
          </cell>
        </row>
        <row r="18480">
          <cell r="A18480" t="str">
            <v>LATIN</v>
          </cell>
          <cell r="J18480">
            <v>0</v>
          </cell>
        </row>
        <row r="18481">
          <cell r="A18481" t="str">
            <v>LATIN</v>
          </cell>
          <cell r="J18481">
            <v>0</v>
          </cell>
        </row>
        <row r="18482">
          <cell r="A18482" t="str">
            <v>LATIN</v>
          </cell>
          <cell r="J18482">
            <v>0</v>
          </cell>
        </row>
        <row r="18483">
          <cell r="A18483" t="str">
            <v>LATIN</v>
          </cell>
          <cell r="J18483">
            <v>0</v>
          </cell>
        </row>
        <row r="18484">
          <cell r="A18484" t="str">
            <v>LATIN</v>
          </cell>
          <cell r="J18484">
            <v>0</v>
          </cell>
        </row>
        <row r="18485">
          <cell r="A18485" t="str">
            <v>LATIN</v>
          </cell>
          <cell r="J18485">
            <v>0</v>
          </cell>
        </row>
        <row r="18486">
          <cell r="A18486" t="str">
            <v>LATIN</v>
          </cell>
          <cell r="J18486">
            <v>0</v>
          </cell>
        </row>
        <row r="18487">
          <cell r="A18487" t="str">
            <v>LATIN</v>
          </cell>
          <cell r="J18487">
            <v>0</v>
          </cell>
        </row>
        <row r="18488">
          <cell r="A18488" t="str">
            <v>LATIN</v>
          </cell>
          <cell r="J18488">
            <v>0</v>
          </cell>
        </row>
        <row r="18489">
          <cell r="A18489" t="str">
            <v>LATIN</v>
          </cell>
          <cell r="J18489">
            <v>0</v>
          </cell>
        </row>
        <row r="18490">
          <cell r="A18490" t="str">
            <v>LATIN</v>
          </cell>
          <cell r="J18490">
            <v>0</v>
          </cell>
        </row>
        <row r="18491">
          <cell r="A18491" t="str">
            <v>LATIN</v>
          </cell>
          <cell r="J18491">
            <v>0</v>
          </cell>
        </row>
        <row r="18492">
          <cell r="A18492" t="str">
            <v>LATIN</v>
          </cell>
          <cell r="J18492">
            <v>0</v>
          </cell>
        </row>
        <row r="18493">
          <cell r="A18493" t="str">
            <v>LATIN</v>
          </cell>
          <cell r="J18493">
            <v>0</v>
          </cell>
        </row>
        <row r="18494">
          <cell r="A18494" t="str">
            <v>LATIN</v>
          </cell>
          <cell r="J18494">
            <v>0</v>
          </cell>
        </row>
        <row r="18495">
          <cell r="A18495" t="str">
            <v>LATIN</v>
          </cell>
          <cell r="J18495">
            <v>0</v>
          </cell>
        </row>
        <row r="18496">
          <cell r="A18496" t="str">
            <v>LATIN</v>
          </cell>
          <cell r="J18496">
            <v>0</v>
          </cell>
        </row>
        <row r="18497">
          <cell r="A18497" t="str">
            <v>LATIN</v>
          </cell>
          <cell r="J18497">
            <v>0</v>
          </cell>
        </row>
        <row r="18498">
          <cell r="A18498" t="str">
            <v>LATIN</v>
          </cell>
          <cell r="J18498">
            <v>0</v>
          </cell>
        </row>
        <row r="18499">
          <cell r="A18499" t="str">
            <v>LATIN</v>
          </cell>
          <cell r="J18499">
            <v>0</v>
          </cell>
        </row>
        <row r="18500">
          <cell r="A18500" t="str">
            <v>LATIN</v>
          </cell>
          <cell r="J18500">
            <v>0</v>
          </cell>
        </row>
        <row r="18501">
          <cell r="A18501" t="str">
            <v>LATIN</v>
          </cell>
          <cell r="J18501">
            <v>0</v>
          </cell>
        </row>
        <row r="18502">
          <cell r="A18502" t="str">
            <v>LATIN</v>
          </cell>
          <cell r="J18502">
            <v>0</v>
          </cell>
        </row>
        <row r="18503">
          <cell r="A18503" t="str">
            <v>LATIN</v>
          </cell>
          <cell r="J18503">
            <v>0</v>
          </cell>
        </row>
        <row r="18504">
          <cell r="A18504" t="str">
            <v>LATIN</v>
          </cell>
          <cell r="J18504">
            <v>0</v>
          </cell>
        </row>
        <row r="18505">
          <cell r="A18505" t="str">
            <v>LATIN</v>
          </cell>
          <cell r="J18505">
            <v>0</v>
          </cell>
        </row>
        <row r="18506">
          <cell r="A18506" t="str">
            <v>LATIN</v>
          </cell>
          <cell r="J18506">
            <v>0</v>
          </cell>
        </row>
        <row r="18507">
          <cell r="A18507" t="str">
            <v>LATIN</v>
          </cell>
          <cell r="J18507">
            <v>0</v>
          </cell>
        </row>
        <row r="18508">
          <cell r="A18508" t="str">
            <v>LATIN</v>
          </cell>
          <cell r="J18508">
            <v>0</v>
          </cell>
        </row>
        <row r="18509">
          <cell r="A18509" t="str">
            <v>LATIN</v>
          </cell>
          <cell r="J18509">
            <v>0</v>
          </cell>
        </row>
        <row r="18510">
          <cell r="A18510" t="str">
            <v>LATIN</v>
          </cell>
          <cell r="J18510">
            <v>0</v>
          </cell>
        </row>
        <row r="18511">
          <cell r="A18511" t="str">
            <v>LATIN</v>
          </cell>
          <cell r="J18511">
            <v>0</v>
          </cell>
        </row>
        <row r="18512">
          <cell r="A18512" t="str">
            <v>LATIN</v>
          </cell>
          <cell r="J18512">
            <v>0</v>
          </cell>
        </row>
        <row r="18513">
          <cell r="A18513" t="str">
            <v>LATIN</v>
          </cell>
          <cell r="J18513">
            <v>0</v>
          </cell>
        </row>
        <row r="18514">
          <cell r="A18514" t="str">
            <v>LATIN</v>
          </cell>
          <cell r="J18514">
            <v>0</v>
          </cell>
        </row>
        <row r="18515">
          <cell r="A18515" t="str">
            <v>LATIN</v>
          </cell>
          <cell r="J18515">
            <v>0</v>
          </cell>
        </row>
        <row r="18516">
          <cell r="A18516" t="str">
            <v>LATIN</v>
          </cell>
          <cell r="J18516">
            <v>0</v>
          </cell>
        </row>
        <row r="18517">
          <cell r="A18517" t="str">
            <v>LATIN</v>
          </cell>
          <cell r="J18517">
            <v>0</v>
          </cell>
        </row>
        <row r="18518">
          <cell r="A18518" t="str">
            <v>LATIN</v>
          </cell>
          <cell r="J18518">
            <v>0</v>
          </cell>
        </row>
        <row r="18519">
          <cell r="A18519" t="str">
            <v>LATIN</v>
          </cell>
          <cell r="J18519">
            <v>0</v>
          </cell>
        </row>
        <row r="18520">
          <cell r="A18520" t="str">
            <v>LATIN</v>
          </cell>
          <cell r="J18520">
            <v>0</v>
          </cell>
        </row>
        <row r="18521">
          <cell r="A18521" t="str">
            <v>LATIN</v>
          </cell>
          <cell r="J18521">
            <v>0</v>
          </cell>
        </row>
        <row r="18522">
          <cell r="A18522" t="str">
            <v>LATIN</v>
          </cell>
          <cell r="J18522">
            <v>0</v>
          </cell>
        </row>
        <row r="18523">
          <cell r="A18523" t="str">
            <v>LATIN</v>
          </cell>
          <cell r="J18523">
            <v>0</v>
          </cell>
        </row>
        <row r="18524">
          <cell r="A18524" t="str">
            <v>LATIN</v>
          </cell>
          <cell r="J18524">
            <v>0</v>
          </cell>
        </row>
        <row r="18525">
          <cell r="A18525" t="str">
            <v>LATIN</v>
          </cell>
          <cell r="J18525">
            <v>0</v>
          </cell>
        </row>
        <row r="18526">
          <cell r="A18526" t="str">
            <v>LATIN</v>
          </cell>
          <cell r="J18526">
            <v>0</v>
          </cell>
        </row>
        <row r="18527">
          <cell r="A18527" t="str">
            <v>LATIN</v>
          </cell>
          <cell r="J18527">
            <v>0</v>
          </cell>
        </row>
        <row r="18528">
          <cell r="A18528" t="str">
            <v>LATIN</v>
          </cell>
          <cell r="J18528">
            <v>0</v>
          </cell>
        </row>
        <row r="18529">
          <cell r="A18529" t="str">
            <v>LATIN</v>
          </cell>
          <cell r="J18529">
            <v>0</v>
          </cell>
        </row>
        <row r="18530">
          <cell r="A18530" t="str">
            <v>LATIN</v>
          </cell>
          <cell r="J18530">
            <v>0</v>
          </cell>
        </row>
        <row r="18531">
          <cell r="A18531" t="str">
            <v>LATIN</v>
          </cell>
          <cell r="J18531">
            <v>0</v>
          </cell>
        </row>
        <row r="18532">
          <cell r="A18532" t="str">
            <v>LATIN</v>
          </cell>
          <cell r="J18532">
            <v>0</v>
          </cell>
        </row>
        <row r="18533">
          <cell r="A18533" t="str">
            <v>LATIN</v>
          </cell>
          <cell r="J18533">
            <v>0</v>
          </cell>
        </row>
        <row r="18534">
          <cell r="A18534" t="str">
            <v>LATIN</v>
          </cell>
          <cell r="J18534">
            <v>0</v>
          </cell>
        </row>
        <row r="18535">
          <cell r="A18535" t="str">
            <v>LATIN</v>
          </cell>
          <cell r="J18535">
            <v>0</v>
          </cell>
        </row>
        <row r="18536">
          <cell r="A18536" t="str">
            <v>LATIN</v>
          </cell>
          <cell r="J18536">
            <v>0</v>
          </cell>
        </row>
        <row r="18537">
          <cell r="A18537" t="str">
            <v>LATIN</v>
          </cell>
          <cell r="J18537">
            <v>0</v>
          </cell>
        </row>
        <row r="18538">
          <cell r="A18538" t="str">
            <v>LATIN</v>
          </cell>
          <cell r="J18538">
            <v>0</v>
          </cell>
        </row>
        <row r="18539">
          <cell r="A18539" t="str">
            <v>LATIN</v>
          </cell>
          <cell r="J18539">
            <v>0</v>
          </cell>
        </row>
        <row r="18540">
          <cell r="A18540" t="str">
            <v>LATIN</v>
          </cell>
          <cell r="J18540">
            <v>0</v>
          </cell>
        </row>
        <row r="18541">
          <cell r="A18541" t="str">
            <v>LATIN</v>
          </cell>
          <cell r="J18541">
            <v>0</v>
          </cell>
        </row>
        <row r="18542">
          <cell r="A18542" t="str">
            <v>LATIN</v>
          </cell>
          <cell r="J18542">
            <v>0</v>
          </cell>
        </row>
        <row r="18543">
          <cell r="A18543" t="str">
            <v>LATIN</v>
          </cell>
          <cell r="J18543">
            <v>0</v>
          </cell>
        </row>
        <row r="18544">
          <cell r="A18544" t="str">
            <v>LATIN</v>
          </cell>
          <cell r="J18544">
            <v>0</v>
          </cell>
        </row>
        <row r="18545">
          <cell r="A18545" t="str">
            <v>LATIN</v>
          </cell>
          <cell r="J18545">
            <v>0</v>
          </cell>
        </row>
        <row r="18546">
          <cell r="A18546" t="str">
            <v>LATIN</v>
          </cell>
          <cell r="J18546">
            <v>0</v>
          </cell>
        </row>
        <row r="18547">
          <cell r="A18547" t="str">
            <v>LATIN</v>
          </cell>
          <cell r="J18547">
            <v>0</v>
          </cell>
        </row>
        <row r="18548">
          <cell r="A18548" t="str">
            <v>LATIN</v>
          </cell>
          <cell r="J18548">
            <v>0</v>
          </cell>
        </row>
        <row r="18549">
          <cell r="A18549" t="str">
            <v>LATIN</v>
          </cell>
          <cell r="J18549">
            <v>0</v>
          </cell>
        </row>
        <row r="18550">
          <cell r="A18550" t="str">
            <v>LATIN</v>
          </cell>
          <cell r="J18550">
            <v>0</v>
          </cell>
        </row>
        <row r="18551">
          <cell r="A18551" t="str">
            <v>LATIN</v>
          </cell>
          <cell r="J18551">
            <v>0</v>
          </cell>
        </row>
        <row r="18552">
          <cell r="A18552" t="str">
            <v>LATIN</v>
          </cell>
          <cell r="J18552">
            <v>0</v>
          </cell>
        </row>
        <row r="18553">
          <cell r="A18553" t="str">
            <v>LATIN</v>
          </cell>
          <cell r="J18553">
            <v>0</v>
          </cell>
        </row>
        <row r="18554">
          <cell r="A18554" t="str">
            <v>LATIN</v>
          </cell>
          <cell r="J18554">
            <v>0</v>
          </cell>
        </row>
        <row r="18555">
          <cell r="A18555" t="str">
            <v>LATIN</v>
          </cell>
          <cell r="J18555">
            <v>0</v>
          </cell>
        </row>
        <row r="18556">
          <cell r="A18556" t="str">
            <v>LATIN</v>
          </cell>
          <cell r="J18556">
            <v>0</v>
          </cell>
        </row>
        <row r="18557">
          <cell r="A18557" t="str">
            <v>LATIN</v>
          </cell>
          <cell r="J18557">
            <v>0</v>
          </cell>
        </row>
        <row r="18558">
          <cell r="A18558" t="str">
            <v>LATIN</v>
          </cell>
          <cell r="J18558">
            <v>0</v>
          </cell>
        </row>
        <row r="18559">
          <cell r="A18559" t="str">
            <v>LATIN</v>
          </cell>
          <cell r="J18559">
            <v>0</v>
          </cell>
        </row>
        <row r="18560">
          <cell r="A18560" t="str">
            <v>LATIN</v>
          </cell>
          <cell r="J18560">
            <v>0</v>
          </cell>
        </row>
        <row r="18561">
          <cell r="A18561" t="str">
            <v>LATIN</v>
          </cell>
          <cell r="J18561">
            <v>0</v>
          </cell>
        </row>
        <row r="18562">
          <cell r="A18562" t="str">
            <v>LATIN</v>
          </cell>
          <cell r="J18562">
            <v>0</v>
          </cell>
        </row>
        <row r="18563">
          <cell r="A18563" t="str">
            <v>LATIN</v>
          </cell>
          <cell r="J18563">
            <v>0</v>
          </cell>
        </row>
        <row r="18564">
          <cell r="A18564" t="str">
            <v>LATIN</v>
          </cell>
          <cell r="J18564">
            <v>0</v>
          </cell>
        </row>
        <row r="18565">
          <cell r="A18565" t="str">
            <v>LATIN</v>
          </cell>
          <cell r="J18565">
            <v>0</v>
          </cell>
        </row>
        <row r="18566">
          <cell r="A18566" t="str">
            <v>LATIN</v>
          </cell>
          <cell r="J18566">
            <v>0</v>
          </cell>
        </row>
        <row r="18567">
          <cell r="A18567" t="str">
            <v>LATIN</v>
          </cell>
          <cell r="J18567">
            <v>0</v>
          </cell>
        </row>
        <row r="18568">
          <cell r="A18568" t="str">
            <v>LATIN</v>
          </cell>
          <cell r="J18568">
            <v>0</v>
          </cell>
        </row>
        <row r="18569">
          <cell r="A18569" t="str">
            <v>LATIN</v>
          </cell>
          <cell r="J18569">
            <v>0</v>
          </cell>
        </row>
        <row r="18570">
          <cell r="A18570" t="str">
            <v>LATIN</v>
          </cell>
          <cell r="J18570">
            <v>0</v>
          </cell>
        </row>
        <row r="18571">
          <cell r="A18571" t="str">
            <v>LATIN</v>
          </cell>
          <cell r="J18571">
            <v>0</v>
          </cell>
        </row>
        <row r="18572">
          <cell r="A18572" t="str">
            <v>LATIN</v>
          </cell>
          <cell r="J18572">
            <v>0</v>
          </cell>
        </row>
        <row r="18573">
          <cell r="A18573" t="str">
            <v>LATIN</v>
          </cell>
          <cell r="J18573">
            <v>0</v>
          </cell>
        </row>
        <row r="18574">
          <cell r="A18574" t="str">
            <v>LATIN</v>
          </cell>
          <cell r="J18574">
            <v>0</v>
          </cell>
        </row>
        <row r="18575">
          <cell r="A18575" t="str">
            <v>LATIN</v>
          </cell>
          <cell r="J18575">
            <v>0</v>
          </cell>
        </row>
        <row r="18576">
          <cell r="A18576" t="str">
            <v>LATIN</v>
          </cell>
          <cell r="J18576">
            <v>0</v>
          </cell>
        </row>
        <row r="18577">
          <cell r="A18577" t="str">
            <v>LATIN</v>
          </cell>
          <cell r="J18577">
            <v>0</v>
          </cell>
        </row>
        <row r="18578">
          <cell r="A18578" t="str">
            <v>LATIN</v>
          </cell>
          <cell r="J18578">
            <v>0</v>
          </cell>
        </row>
        <row r="18579">
          <cell r="A18579" t="str">
            <v>LATIN</v>
          </cell>
          <cell r="J18579">
            <v>0</v>
          </cell>
        </row>
        <row r="18580">
          <cell r="A18580" t="str">
            <v>LATIN</v>
          </cell>
          <cell r="J18580">
            <v>0</v>
          </cell>
        </row>
        <row r="18581">
          <cell r="A18581" t="str">
            <v>LATIN</v>
          </cell>
          <cell r="J18581">
            <v>0</v>
          </cell>
        </row>
        <row r="18582">
          <cell r="A18582" t="str">
            <v>LATIN</v>
          </cell>
          <cell r="J18582">
            <v>0</v>
          </cell>
        </row>
        <row r="18583">
          <cell r="A18583" t="str">
            <v>LATIN</v>
          </cell>
          <cell r="J18583">
            <v>0</v>
          </cell>
        </row>
        <row r="18584">
          <cell r="A18584" t="str">
            <v>LATIN</v>
          </cell>
          <cell r="J18584">
            <v>0</v>
          </cell>
        </row>
        <row r="18585">
          <cell r="A18585" t="str">
            <v>LATIN</v>
          </cell>
          <cell r="J18585">
            <v>0</v>
          </cell>
        </row>
        <row r="18586">
          <cell r="A18586" t="str">
            <v>LATIN</v>
          </cell>
          <cell r="J18586">
            <v>0</v>
          </cell>
        </row>
        <row r="18587">
          <cell r="A18587" t="str">
            <v>LATIN</v>
          </cell>
          <cell r="J18587">
            <v>0</v>
          </cell>
        </row>
        <row r="18588">
          <cell r="A18588" t="str">
            <v>LATIN</v>
          </cell>
          <cell r="J18588">
            <v>0</v>
          </cell>
        </row>
        <row r="18589">
          <cell r="A18589" t="str">
            <v>LATIN</v>
          </cell>
          <cell r="J18589">
            <v>0</v>
          </cell>
        </row>
        <row r="18590">
          <cell r="A18590" t="str">
            <v>LATIN</v>
          </cell>
          <cell r="J18590">
            <v>0</v>
          </cell>
        </row>
        <row r="18591">
          <cell r="A18591" t="str">
            <v>LATIN</v>
          </cell>
          <cell r="J18591">
            <v>0</v>
          </cell>
        </row>
        <row r="18592">
          <cell r="A18592" t="str">
            <v>LATIN</v>
          </cell>
          <cell r="J18592">
            <v>0</v>
          </cell>
        </row>
        <row r="18593">
          <cell r="A18593" t="str">
            <v>LATIN</v>
          </cell>
          <cell r="J18593">
            <v>0</v>
          </cell>
        </row>
        <row r="18594">
          <cell r="A18594" t="str">
            <v>LATIN</v>
          </cell>
          <cell r="J18594">
            <v>0</v>
          </cell>
        </row>
        <row r="18595">
          <cell r="A18595" t="str">
            <v>LATIN</v>
          </cell>
          <cell r="J18595">
            <v>0</v>
          </cell>
        </row>
        <row r="18596">
          <cell r="A18596" t="str">
            <v>LATIN</v>
          </cell>
          <cell r="J18596">
            <v>0</v>
          </cell>
        </row>
        <row r="18597">
          <cell r="A18597" t="str">
            <v>LATIN</v>
          </cell>
          <cell r="J18597">
            <v>0</v>
          </cell>
        </row>
        <row r="18598">
          <cell r="J18598">
            <v>0</v>
          </cell>
        </row>
        <row r="18599">
          <cell r="J18599">
            <v>0</v>
          </cell>
        </row>
        <row r="18600">
          <cell r="J18600">
            <v>0</v>
          </cell>
        </row>
        <row r="18601">
          <cell r="A18601" t="str">
            <v>EFCO</v>
          </cell>
          <cell r="B18601" t="str">
            <v>101-00000-000-0000</v>
          </cell>
          <cell r="J18601">
            <v>23384357.109999999</v>
          </cell>
        </row>
        <row r="18602">
          <cell r="A18602" t="str">
            <v>EFCO</v>
          </cell>
          <cell r="B18602" t="str">
            <v>101-00002-000-0000</v>
          </cell>
          <cell r="J18602">
            <v>318182.44</v>
          </cell>
        </row>
        <row r="18603">
          <cell r="A18603" t="str">
            <v>EFCO</v>
          </cell>
          <cell r="B18603" t="str">
            <v>101-00002-003-0000</v>
          </cell>
          <cell r="J18603">
            <v>286991.08</v>
          </cell>
        </row>
        <row r="18604">
          <cell r="A18604" t="str">
            <v>EFCO</v>
          </cell>
          <cell r="B18604" t="str">
            <v>101-00002-003-0009</v>
          </cell>
          <cell r="J18604">
            <v>286991.08</v>
          </cell>
        </row>
        <row r="18605">
          <cell r="A18605" t="str">
            <v>EFCO</v>
          </cell>
          <cell r="B18605" t="str">
            <v>101-00002-004-0000</v>
          </cell>
          <cell r="J18605">
            <v>31191.360000000001</v>
          </cell>
        </row>
        <row r="18606">
          <cell r="A18606" t="str">
            <v>EFCO</v>
          </cell>
          <cell r="B18606" t="str">
            <v>101-00002-004-0007</v>
          </cell>
          <cell r="J18606">
            <v>31191.360000000001</v>
          </cell>
        </row>
        <row r="18607">
          <cell r="A18607" t="str">
            <v>EFCO</v>
          </cell>
          <cell r="B18607" t="str">
            <v>101-00004-000-0000</v>
          </cell>
          <cell r="J18607">
            <v>11590025.449999999</v>
          </cell>
        </row>
        <row r="18608">
          <cell r="A18608" t="str">
            <v>EFCO</v>
          </cell>
          <cell r="B18608" t="str">
            <v>101-00004-002-0000</v>
          </cell>
          <cell r="J18608">
            <v>4472832.38</v>
          </cell>
        </row>
        <row r="18609">
          <cell r="A18609" t="str">
            <v>EFCO</v>
          </cell>
          <cell r="B18609" t="str">
            <v>101-00004-002-0086</v>
          </cell>
          <cell r="J18609">
            <v>326157.40000000002</v>
          </cell>
        </row>
        <row r="18610">
          <cell r="A18610" t="str">
            <v>EFCO</v>
          </cell>
          <cell r="B18610" t="str">
            <v>101-00004-002-0522</v>
          </cell>
          <cell r="J18610">
            <v>227.36</v>
          </cell>
        </row>
        <row r="18611">
          <cell r="A18611" t="str">
            <v>EFCO</v>
          </cell>
          <cell r="B18611" t="str">
            <v>101-00004-002-0545</v>
          </cell>
          <cell r="J18611">
            <v>654967.66</v>
          </cell>
        </row>
        <row r="18612">
          <cell r="A18612" t="str">
            <v>EFCO</v>
          </cell>
          <cell r="B18612" t="str">
            <v>101-00004-002-0692</v>
          </cell>
          <cell r="J18612">
            <v>914141.11</v>
          </cell>
        </row>
        <row r="18613">
          <cell r="A18613" t="str">
            <v>EFCO</v>
          </cell>
          <cell r="B18613" t="str">
            <v>101-00004-002-0699</v>
          </cell>
          <cell r="J18613">
            <v>220725.89</v>
          </cell>
        </row>
        <row r="18614">
          <cell r="A18614" t="str">
            <v>EFCO</v>
          </cell>
          <cell r="B18614" t="str">
            <v>101-00004-002-0814</v>
          </cell>
          <cell r="J18614">
            <v>57537.74</v>
          </cell>
        </row>
        <row r="18615">
          <cell r="A18615" t="str">
            <v>EFCO</v>
          </cell>
          <cell r="B18615" t="str">
            <v>101-00004-002-0956</v>
          </cell>
          <cell r="J18615">
            <v>0</v>
          </cell>
        </row>
        <row r="18616">
          <cell r="A18616" t="str">
            <v>EFCO</v>
          </cell>
          <cell r="B18616" t="str">
            <v>101-00004-002-1084</v>
          </cell>
          <cell r="J18616">
            <v>378574.76</v>
          </cell>
        </row>
        <row r="18617">
          <cell r="A18617" t="str">
            <v>EFCO</v>
          </cell>
          <cell r="B18617" t="str">
            <v>101-00004-002-1150</v>
          </cell>
          <cell r="J18617">
            <v>2641.6</v>
          </cell>
        </row>
        <row r="18618">
          <cell r="A18618" t="str">
            <v>EFCO</v>
          </cell>
          <cell r="B18618" t="str">
            <v>101-00004-002-1897</v>
          </cell>
          <cell r="J18618">
            <v>556.79999999999995</v>
          </cell>
        </row>
        <row r="18619">
          <cell r="A18619" t="str">
            <v>EFCO</v>
          </cell>
          <cell r="B18619" t="str">
            <v>101-00004-002-2846</v>
          </cell>
          <cell r="J18619">
            <v>351.8</v>
          </cell>
        </row>
        <row r="18620">
          <cell r="A18620" t="str">
            <v>EFCO</v>
          </cell>
          <cell r="B18620" t="str">
            <v>101-00004-002-2856</v>
          </cell>
          <cell r="J18620">
            <v>1267145.9099999999</v>
          </cell>
        </row>
        <row r="18621">
          <cell r="A18621" t="str">
            <v>EFCO</v>
          </cell>
          <cell r="B18621" t="str">
            <v>101-00004-002-3101</v>
          </cell>
          <cell r="J18621">
            <v>11105.35</v>
          </cell>
        </row>
        <row r="18622">
          <cell r="A18622" t="str">
            <v>EFCO</v>
          </cell>
          <cell r="B18622" t="str">
            <v>101-00004-002-3111</v>
          </cell>
          <cell r="J18622">
            <v>40000</v>
          </cell>
        </row>
        <row r="18623">
          <cell r="A18623" t="str">
            <v>EFCO</v>
          </cell>
          <cell r="B18623" t="str">
            <v>101-00004-002-3150</v>
          </cell>
          <cell r="J18623">
            <v>78699</v>
          </cell>
        </row>
        <row r="18624">
          <cell r="A18624" t="str">
            <v>EFCO</v>
          </cell>
          <cell r="B18624" t="str">
            <v>101-00004-002-3152</v>
          </cell>
          <cell r="J18624">
            <v>500000</v>
          </cell>
        </row>
        <row r="18625">
          <cell r="A18625" t="str">
            <v>EFCO</v>
          </cell>
          <cell r="B18625" t="str">
            <v>101-00004-002-3153</v>
          </cell>
          <cell r="J18625">
            <v>20000</v>
          </cell>
        </row>
        <row r="18626">
          <cell r="A18626" t="str">
            <v>EFCO</v>
          </cell>
          <cell r="B18626" t="str">
            <v>101-00004-002-3156</v>
          </cell>
          <cell r="J18626">
            <v>0</v>
          </cell>
        </row>
        <row r="18627">
          <cell r="A18627" t="str">
            <v>EFCO</v>
          </cell>
          <cell r="B18627" t="str">
            <v>101-00004-004-0000</v>
          </cell>
          <cell r="J18627">
            <v>7117193.0700000003</v>
          </cell>
        </row>
        <row r="18628">
          <cell r="A18628" t="str">
            <v>EFCO</v>
          </cell>
          <cell r="B18628" t="str">
            <v>101-00004-004-0468</v>
          </cell>
          <cell r="J18628">
            <v>3057193.07</v>
          </cell>
        </row>
        <row r="18629">
          <cell r="A18629" t="str">
            <v>EFCO</v>
          </cell>
          <cell r="B18629" t="str">
            <v>101-00004-004-1144</v>
          </cell>
          <cell r="J18629">
            <v>3799000</v>
          </cell>
        </row>
        <row r="18630">
          <cell r="A18630" t="str">
            <v>EFCO</v>
          </cell>
          <cell r="B18630" t="str">
            <v>101-00004-004-1149</v>
          </cell>
          <cell r="J18630">
            <v>261000</v>
          </cell>
        </row>
        <row r="18631">
          <cell r="A18631" t="str">
            <v>EFCO</v>
          </cell>
          <cell r="B18631" t="str">
            <v>101-00005-000-0000</v>
          </cell>
          <cell r="J18631">
            <v>60000</v>
          </cell>
        </row>
        <row r="18632">
          <cell r="A18632" t="str">
            <v>EFCO</v>
          </cell>
          <cell r="B18632" t="str">
            <v>101-00005-010-0000</v>
          </cell>
          <cell r="J18632">
            <v>60000</v>
          </cell>
        </row>
        <row r="18633">
          <cell r="A18633" t="str">
            <v>EFCO</v>
          </cell>
          <cell r="B18633" t="str">
            <v>101-00005-010-2863</v>
          </cell>
          <cell r="J18633">
            <v>60000</v>
          </cell>
        </row>
        <row r="18634">
          <cell r="A18634" t="str">
            <v>EFCO</v>
          </cell>
          <cell r="B18634" t="str">
            <v>101-00006-000-0000</v>
          </cell>
          <cell r="J18634">
            <v>47850</v>
          </cell>
        </row>
        <row r="18635">
          <cell r="A18635" t="str">
            <v>EFCO</v>
          </cell>
          <cell r="B18635" t="str">
            <v>101-00006-001-0000</v>
          </cell>
          <cell r="J18635">
            <v>47850</v>
          </cell>
        </row>
        <row r="18636">
          <cell r="A18636" t="str">
            <v>EFCO</v>
          </cell>
          <cell r="B18636" t="str">
            <v>101-00006-001-0319</v>
          </cell>
          <cell r="J18636">
            <v>47850</v>
          </cell>
        </row>
        <row r="18637">
          <cell r="A18637" t="str">
            <v>EFCO</v>
          </cell>
          <cell r="B18637" t="str">
            <v>101-00008-000-0000</v>
          </cell>
          <cell r="J18637">
            <v>1057523.75</v>
          </cell>
        </row>
        <row r="18638">
          <cell r="A18638" t="str">
            <v>EFCO</v>
          </cell>
          <cell r="B18638" t="str">
            <v>101-00008-001-0000</v>
          </cell>
          <cell r="J18638">
            <v>5206.1499999999996</v>
          </cell>
        </row>
        <row r="18639">
          <cell r="A18639" t="str">
            <v>EFCO</v>
          </cell>
          <cell r="B18639" t="str">
            <v>101-00008-002-0000</v>
          </cell>
          <cell r="J18639">
            <v>693729</v>
          </cell>
        </row>
        <row r="18640">
          <cell r="A18640" t="str">
            <v>EFCO</v>
          </cell>
          <cell r="B18640" t="str">
            <v>101-00008-011-0000</v>
          </cell>
          <cell r="J18640">
            <v>1616.4</v>
          </cell>
        </row>
        <row r="18641">
          <cell r="A18641" t="str">
            <v>EFCO</v>
          </cell>
          <cell r="B18641" t="str">
            <v>101-00008-012-0000</v>
          </cell>
          <cell r="J18641">
            <v>356972.2</v>
          </cell>
        </row>
        <row r="18642">
          <cell r="A18642" t="str">
            <v>EFCO</v>
          </cell>
          <cell r="B18642" t="str">
            <v>101-00008-012-0001</v>
          </cell>
          <cell r="J18642">
            <v>101083</v>
          </cell>
        </row>
        <row r="18643">
          <cell r="A18643" t="str">
            <v>EFCO</v>
          </cell>
          <cell r="B18643" t="str">
            <v>101-00008-012-0002</v>
          </cell>
          <cell r="J18643">
            <v>29129.200000000001</v>
          </cell>
        </row>
        <row r="18644">
          <cell r="A18644" t="str">
            <v>EFCO</v>
          </cell>
          <cell r="B18644" t="str">
            <v>101-00008-012-0003</v>
          </cell>
          <cell r="J18644">
            <v>3520</v>
          </cell>
        </row>
        <row r="18645">
          <cell r="A18645" t="str">
            <v>EFCO</v>
          </cell>
          <cell r="B18645" t="str">
            <v>101-00008-012-0004</v>
          </cell>
          <cell r="J18645">
            <v>12765</v>
          </cell>
        </row>
        <row r="18646">
          <cell r="A18646" t="str">
            <v>EFCO</v>
          </cell>
          <cell r="B18646" t="str">
            <v>101-00008-012-0005</v>
          </cell>
          <cell r="J18646">
            <v>136666</v>
          </cell>
        </row>
        <row r="18647">
          <cell r="A18647" t="str">
            <v>EFCO</v>
          </cell>
          <cell r="B18647" t="str">
            <v>101-00008-012-0006</v>
          </cell>
          <cell r="J18647">
            <v>14686</v>
          </cell>
        </row>
        <row r="18648">
          <cell r="A18648" t="str">
            <v>EFCO</v>
          </cell>
          <cell r="B18648" t="str">
            <v>101-00008-012-0007</v>
          </cell>
          <cell r="J18648">
            <v>59123</v>
          </cell>
        </row>
        <row r="18649">
          <cell r="A18649" t="str">
            <v>EFCO</v>
          </cell>
          <cell r="B18649" t="str">
            <v>101-00010-000-0000</v>
          </cell>
          <cell r="J18649">
            <v>1778708.59</v>
          </cell>
        </row>
        <row r="18650">
          <cell r="A18650" t="str">
            <v>EFCO</v>
          </cell>
          <cell r="B18650" t="str">
            <v>101-00010-001-0000</v>
          </cell>
          <cell r="J18650">
            <v>1778708.59</v>
          </cell>
        </row>
        <row r="18651">
          <cell r="A18651" t="str">
            <v>EFCO</v>
          </cell>
          <cell r="B18651" t="str">
            <v>101-00011-000-0000</v>
          </cell>
          <cell r="J18651">
            <v>817337.59</v>
          </cell>
        </row>
        <row r="18652">
          <cell r="A18652" t="str">
            <v>EFCO</v>
          </cell>
          <cell r="B18652" t="str">
            <v>101-00011-001-0000</v>
          </cell>
          <cell r="J18652">
            <v>817337.59</v>
          </cell>
        </row>
        <row r="18653">
          <cell r="A18653" t="str">
            <v>EFCO</v>
          </cell>
          <cell r="B18653" t="str">
            <v>101-00013-000-0000</v>
          </cell>
          <cell r="J18653">
            <v>5729729.29</v>
          </cell>
        </row>
        <row r="18654">
          <cell r="A18654" t="str">
            <v>EFCO</v>
          </cell>
          <cell r="B18654" t="str">
            <v>101-00013-080-0000</v>
          </cell>
          <cell r="J18654">
            <v>5729729.29</v>
          </cell>
        </row>
        <row r="18655">
          <cell r="A18655" t="str">
            <v>EFCO</v>
          </cell>
          <cell r="B18655" t="str">
            <v>101-00015-000-0000</v>
          </cell>
          <cell r="J18655">
            <v>1985000</v>
          </cell>
        </row>
        <row r="18656">
          <cell r="A18656" t="str">
            <v>EFCO</v>
          </cell>
          <cell r="B18656" t="str">
            <v>101-00015-001-0000</v>
          </cell>
          <cell r="J18656">
            <v>1985000</v>
          </cell>
        </row>
        <row r="18657">
          <cell r="A18657" t="str">
            <v>EFCO</v>
          </cell>
          <cell r="B18657" t="str">
            <v>101-00015-001-1149</v>
          </cell>
          <cell r="J18657">
            <v>200000</v>
          </cell>
        </row>
        <row r="18658">
          <cell r="A18658" t="str">
            <v>EFCO</v>
          </cell>
          <cell r="B18658" t="str">
            <v>101-00015-001-2305</v>
          </cell>
          <cell r="J18658">
            <v>150000</v>
          </cell>
        </row>
        <row r="18659">
          <cell r="A18659" t="str">
            <v>EFCO</v>
          </cell>
          <cell r="B18659" t="str">
            <v>101-00015-001-2872</v>
          </cell>
          <cell r="J18659">
            <v>1635000</v>
          </cell>
        </row>
        <row r="18660">
          <cell r="A18660" t="str">
            <v>EFCO</v>
          </cell>
          <cell r="B18660" t="str">
            <v>102-00000-000-0000</v>
          </cell>
          <cell r="J18660">
            <v>296547.55</v>
          </cell>
        </row>
        <row r="18661">
          <cell r="A18661" t="str">
            <v>EFCO</v>
          </cell>
          <cell r="B18661" t="str">
            <v>102-00001-001-0000</v>
          </cell>
          <cell r="J18661">
            <v>19800</v>
          </cell>
        </row>
        <row r="18662">
          <cell r="A18662" t="str">
            <v>EFCO</v>
          </cell>
          <cell r="B18662" t="str">
            <v>102-00001-002-0000</v>
          </cell>
          <cell r="J18662">
            <v>-19800</v>
          </cell>
        </row>
        <row r="18663">
          <cell r="A18663" t="str">
            <v>EFCO</v>
          </cell>
          <cell r="B18663" t="str">
            <v>102-00002-000-0000</v>
          </cell>
          <cell r="J18663">
            <v>160221.81</v>
          </cell>
        </row>
        <row r="18664">
          <cell r="A18664" t="str">
            <v>EFCO</v>
          </cell>
          <cell r="B18664" t="str">
            <v>102-00002-001-0000</v>
          </cell>
          <cell r="J18664">
            <v>1091338.79</v>
          </cell>
        </row>
        <row r="18665">
          <cell r="A18665" t="str">
            <v>EFCO</v>
          </cell>
          <cell r="B18665" t="str">
            <v>102-00002-002-0000</v>
          </cell>
          <cell r="J18665">
            <v>-931116.98</v>
          </cell>
        </row>
        <row r="18666">
          <cell r="A18666" t="str">
            <v>EFCO</v>
          </cell>
          <cell r="B18666" t="str">
            <v>102-00003-001-0000</v>
          </cell>
          <cell r="J18666">
            <v>5180177.72</v>
          </cell>
        </row>
        <row r="18667">
          <cell r="A18667" t="str">
            <v>EFCO</v>
          </cell>
          <cell r="B18667" t="str">
            <v>102-00003-002-0000</v>
          </cell>
          <cell r="J18667">
            <v>-5180177.72</v>
          </cell>
        </row>
        <row r="18668">
          <cell r="A18668" t="str">
            <v>EFCO</v>
          </cell>
          <cell r="B18668" t="str">
            <v>102-00015-000-0000</v>
          </cell>
          <cell r="J18668">
            <v>136325.74</v>
          </cell>
        </row>
        <row r="18669">
          <cell r="A18669" t="str">
            <v>EFCO</v>
          </cell>
          <cell r="B18669" t="str">
            <v>102-00015-001-0000</v>
          </cell>
          <cell r="J18669">
            <v>136325.74</v>
          </cell>
        </row>
        <row r="18670">
          <cell r="A18670" t="str">
            <v>EFCO</v>
          </cell>
          <cell r="B18670" t="str">
            <v>102-00015-001-0319</v>
          </cell>
          <cell r="J18670">
            <v>41250</v>
          </cell>
        </row>
        <row r="18671">
          <cell r="A18671" t="str">
            <v>EFCO</v>
          </cell>
          <cell r="B18671" t="str">
            <v>102-00015-001-1392</v>
          </cell>
          <cell r="J18671">
            <v>3600</v>
          </cell>
        </row>
        <row r="18672">
          <cell r="A18672" t="str">
            <v>EFCO</v>
          </cell>
          <cell r="B18672" t="str">
            <v>102-00015-001-3339</v>
          </cell>
          <cell r="J18672">
            <v>91475.74</v>
          </cell>
        </row>
        <row r="18673">
          <cell r="A18673" t="str">
            <v>EFCO</v>
          </cell>
          <cell r="B18673" t="str">
            <v>103-00000-000-0000</v>
          </cell>
          <cell r="J18673">
            <v>4492683.9800000004</v>
          </cell>
        </row>
        <row r="18674">
          <cell r="A18674" t="str">
            <v>EFCO</v>
          </cell>
          <cell r="B18674" t="str">
            <v>103-00001-000-0000</v>
          </cell>
          <cell r="J18674">
            <v>4492683.9800000004</v>
          </cell>
        </row>
        <row r="18675">
          <cell r="A18675" t="str">
            <v>EFCO</v>
          </cell>
          <cell r="B18675" t="str">
            <v>103-00001-001-0000</v>
          </cell>
          <cell r="J18675">
            <v>4492683.9800000004</v>
          </cell>
        </row>
        <row r="18676">
          <cell r="A18676" t="str">
            <v>EFCO</v>
          </cell>
          <cell r="B18676" t="str">
            <v>201-00000-000-0000</v>
          </cell>
          <cell r="J18676">
            <v>-15679055.32</v>
          </cell>
        </row>
        <row r="18677">
          <cell r="A18677" t="str">
            <v>EFCO</v>
          </cell>
          <cell r="B18677" t="str">
            <v>201-00002-000-0000</v>
          </cell>
          <cell r="J18677">
            <v>-135827.45000000001</v>
          </cell>
        </row>
        <row r="18678">
          <cell r="A18678" t="str">
            <v>EFCO</v>
          </cell>
          <cell r="B18678" t="str">
            <v>201-00002-001-0000</v>
          </cell>
          <cell r="J18678">
            <v>-23103.29</v>
          </cell>
        </row>
        <row r="18679">
          <cell r="A18679" t="str">
            <v>EFCO</v>
          </cell>
          <cell r="B18679" t="str">
            <v>201-00002-001-1396</v>
          </cell>
          <cell r="J18679">
            <v>-5</v>
          </cell>
        </row>
        <row r="18680">
          <cell r="A18680" t="str">
            <v>EFCO</v>
          </cell>
          <cell r="B18680" t="str">
            <v>201-00002-001-2353</v>
          </cell>
          <cell r="J18680">
            <v>-18687.62</v>
          </cell>
        </row>
        <row r="18681">
          <cell r="A18681" t="str">
            <v>EFCO</v>
          </cell>
          <cell r="B18681" t="str">
            <v>201-00002-001-2354</v>
          </cell>
          <cell r="J18681">
            <v>-3737.52</v>
          </cell>
        </row>
        <row r="18682">
          <cell r="A18682" t="str">
            <v>EFCO</v>
          </cell>
          <cell r="B18682" t="str">
            <v>201-00002-001-2367</v>
          </cell>
          <cell r="J18682">
            <v>-672.75</v>
          </cell>
        </row>
        <row r="18683">
          <cell r="A18683" t="str">
            <v>EFCO</v>
          </cell>
          <cell r="B18683" t="str">
            <v>201-00002-001-2918</v>
          </cell>
          <cell r="J18683">
            <v>-0.4</v>
          </cell>
        </row>
        <row r="18684">
          <cell r="A18684" t="str">
            <v>EFCO</v>
          </cell>
          <cell r="B18684" t="str">
            <v>201-00002-002-0000</v>
          </cell>
          <cell r="J18684">
            <v>-112724.16</v>
          </cell>
        </row>
        <row r="18685">
          <cell r="A18685" t="str">
            <v>EFCO</v>
          </cell>
          <cell r="B18685" t="str">
            <v>201-00002-002-0064</v>
          </cell>
          <cell r="J18685">
            <v>-47444.91</v>
          </cell>
        </row>
        <row r="18686">
          <cell r="A18686" t="str">
            <v>EFCO</v>
          </cell>
          <cell r="B18686" t="str">
            <v>201-00002-002-0092</v>
          </cell>
          <cell r="J18686">
            <v>-5162.04</v>
          </cell>
        </row>
        <row r="18687">
          <cell r="A18687" t="str">
            <v>EFCO</v>
          </cell>
          <cell r="B18687" t="str">
            <v>201-00002-002-0095</v>
          </cell>
          <cell r="J18687">
            <v>-4361.6000000000004</v>
          </cell>
        </row>
        <row r="18688">
          <cell r="A18688" t="str">
            <v>EFCO</v>
          </cell>
          <cell r="B18688" t="str">
            <v>201-00002-002-0123</v>
          </cell>
          <cell r="J18688">
            <v>-7919.01</v>
          </cell>
        </row>
        <row r="18689">
          <cell r="A18689" t="str">
            <v>EFCO</v>
          </cell>
          <cell r="B18689" t="str">
            <v>201-00002-002-0305</v>
          </cell>
          <cell r="J18689">
            <v>0</v>
          </cell>
        </row>
        <row r="18690">
          <cell r="A18690" t="str">
            <v>EFCO</v>
          </cell>
          <cell r="B18690" t="str">
            <v>201-00002-002-0306</v>
          </cell>
          <cell r="J18690">
            <v>0</v>
          </cell>
        </row>
        <row r="18691">
          <cell r="A18691" t="str">
            <v>EFCO</v>
          </cell>
          <cell r="B18691" t="str">
            <v>201-00002-002-0317</v>
          </cell>
          <cell r="J18691">
            <v>290</v>
          </cell>
        </row>
        <row r="18692">
          <cell r="A18692" t="str">
            <v>EFCO</v>
          </cell>
          <cell r="B18692" t="str">
            <v>201-00002-002-0319</v>
          </cell>
          <cell r="J18692">
            <v>-405</v>
          </cell>
        </row>
        <row r="18693">
          <cell r="A18693" t="str">
            <v>EFCO</v>
          </cell>
          <cell r="B18693" t="str">
            <v>201-00002-002-0321</v>
          </cell>
          <cell r="J18693">
            <v>-17400</v>
          </cell>
        </row>
        <row r="18694">
          <cell r="A18694" t="str">
            <v>EFCO</v>
          </cell>
          <cell r="B18694" t="str">
            <v>201-00002-002-0443</v>
          </cell>
          <cell r="J18694">
            <v>0</v>
          </cell>
        </row>
        <row r="18695">
          <cell r="A18695" t="str">
            <v>EFCO</v>
          </cell>
          <cell r="B18695" t="str">
            <v>201-00002-002-0494</v>
          </cell>
          <cell r="J18695">
            <v>-30317.77</v>
          </cell>
        </row>
        <row r="18696">
          <cell r="A18696" t="str">
            <v>EFCO</v>
          </cell>
          <cell r="B18696" t="str">
            <v>201-00002-002-0495</v>
          </cell>
          <cell r="J18696">
            <v>0</v>
          </cell>
        </row>
        <row r="18697">
          <cell r="A18697" t="str">
            <v>EFCO</v>
          </cell>
          <cell r="B18697" t="str">
            <v>201-00002-002-0835</v>
          </cell>
          <cell r="J18697">
            <v>0</v>
          </cell>
        </row>
        <row r="18698">
          <cell r="A18698" t="str">
            <v>EFCO</v>
          </cell>
          <cell r="B18698" t="str">
            <v>201-00002-002-1081</v>
          </cell>
          <cell r="J18698">
            <v>0</v>
          </cell>
        </row>
        <row r="18699">
          <cell r="A18699" t="str">
            <v>EFCO</v>
          </cell>
          <cell r="B18699" t="str">
            <v>201-00002-002-1138</v>
          </cell>
          <cell r="J18699">
            <v>0</v>
          </cell>
        </row>
        <row r="18700">
          <cell r="A18700" t="str">
            <v>EFCO</v>
          </cell>
          <cell r="B18700" t="str">
            <v>201-00002-002-2585</v>
          </cell>
          <cell r="J18700">
            <v>0</v>
          </cell>
        </row>
        <row r="18701">
          <cell r="A18701" t="str">
            <v>EFCO</v>
          </cell>
          <cell r="B18701" t="str">
            <v>201-00002-002-2730</v>
          </cell>
          <cell r="J18701">
            <v>-4</v>
          </cell>
        </row>
        <row r="18702">
          <cell r="A18702" t="str">
            <v>EFCO</v>
          </cell>
          <cell r="B18702" t="str">
            <v>201-00002-002-2895</v>
          </cell>
          <cell r="J18702">
            <v>0</v>
          </cell>
        </row>
        <row r="18703">
          <cell r="A18703" t="str">
            <v>EFCO</v>
          </cell>
          <cell r="B18703" t="str">
            <v>201-00002-002-2918</v>
          </cell>
          <cell r="J18703">
            <v>0.17</v>
          </cell>
        </row>
        <row r="18704">
          <cell r="A18704" t="str">
            <v>EFCO</v>
          </cell>
          <cell r="B18704" t="str">
            <v>201-00002-002-3122</v>
          </cell>
          <cell r="J18704">
            <v>0</v>
          </cell>
        </row>
        <row r="18705">
          <cell r="A18705" t="str">
            <v>EFCO</v>
          </cell>
          <cell r="B18705" t="str">
            <v>201-00004-000-0000</v>
          </cell>
          <cell r="J18705">
            <v>-12795285.91</v>
          </cell>
        </row>
        <row r="18706">
          <cell r="A18706" t="str">
            <v>EFCO</v>
          </cell>
          <cell r="B18706" t="str">
            <v>201-00004-001-0000</v>
          </cell>
          <cell r="J18706">
            <v>-12795285.91</v>
          </cell>
        </row>
        <row r="18707">
          <cell r="A18707" t="str">
            <v>EFCO</v>
          </cell>
          <cell r="B18707" t="str">
            <v>201-00004-001-0468</v>
          </cell>
          <cell r="J18707">
            <v>-12795285.91</v>
          </cell>
        </row>
        <row r="18708">
          <cell r="A18708" t="str">
            <v>EFCO</v>
          </cell>
          <cell r="B18708" t="str">
            <v>201-00005-000-0000</v>
          </cell>
          <cell r="J18708">
            <v>-6905.72</v>
          </cell>
        </row>
        <row r="18709">
          <cell r="A18709" t="str">
            <v>EFCO</v>
          </cell>
          <cell r="B18709" t="str">
            <v>201-00005-001-0000</v>
          </cell>
          <cell r="J18709">
            <v>5</v>
          </cell>
        </row>
        <row r="18710">
          <cell r="A18710" t="str">
            <v>EFCO</v>
          </cell>
          <cell r="B18710" t="str">
            <v>201-00005-002-0000</v>
          </cell>
          <cell r="J18710">
            <v>-4955</v>
          </cell>
        </row>
        <row r="18711">
          <cell r="A18711" t="str">
            <v>EFCO</v>
          </cell>
          <cell r="B18711" t="str">
            <v>201-00005-003-0000</v>
          </cell>
          <cell r="J18711">
            <v>-1955.72</v>
          </cell>
        </row>
        <row r="18712">
          <cell r="A18712" t="str">
            <v>EFCO</v>
          </cell>
          <cell r="B18712" t="str">
            <v>201-00006-000-0000</v>
          </cell>
          <cell r="J18712">
            <v>-40716.19</v>
          </cell>
        </row>
        <row r="18713">
          <cell r="A18713" t="str">
            <v>EFCO</v>
          </cell>
          <cell r="B18713" t="str">
            <v>201-00006-001-0000</v>
          </cell>
          <cell r="J18713">
            <v>-6404.26</v>
          </cell>
        </row>
        <row r="18714">
          <cell r="A18714" t="str">
            <v>EFCO</v>
          </cell>
          <cell r="B18714" t="str">
            <v>201-00006-001-0002</v>
          </cell>
          <cell r="J18714">
            <v>-6404.26</v>
          </cell>
        </row>
        <row r="18715">
          <cell r="A18715" t="str">
            <v>EFCO</v>
          </cell>
          <cell r="B18715" t="str">
            <v>201-00006-002-0000</v>
          </cell>
          <cell r="J18715">
            <v>-7053.53</v>
          </cell>
        </row>
        <row r="18716">
          <cell r="A18716" t="str">
            <v>EFCO</v>
          </cell>
          <cell r="B18716" t="str">
            <v>201-00006-003-0000</v>
          </cell>
          <cell r="J18716">
            <v>-13507.48</v>
          </cell>
        </row>
        <row r="18717">
          <cell r="A18717" t="str">
            <v>EFCO</v>
          </cell>
          <cell r="B18717" t="str">
            <v>201-00006-004-0000</v>
          </cell>
          <cell r="J18717">
            <v>-6641.31</v>
          </cell>
        </row>
        <row r="18718">
          <cell r="A18718" t="str">
            <v>EFCO</v>
          </cell>
          <cell r="B18718" t="str">
            <v>201-00006-005-0000</v>
          </cell>
          <cell r="J18718">
            <v>-3202.57</v>
          </cell>
        </row>
        <row r="18719">
          <cell r="A18719" t="str">
            <v>EFCO</v>
          </cell>
          <cell r="B18719" t="str">
            <v>201-00006-008-0000</v>
          </cell>
          <cell r="J18719">
            <v>-3669.54</v>
          </cell>
        </row>
        <row r="18720">
          <cell r="A18720" t="str">
            <v>EFCO</v>
          </cell>
          <cell r="B18720" t="str">
            <v>201-00006-011-0000</v>
          </cell>
          <cell r="J18720">
            <v>-237.5</v>
          </cell>
        </row>
        <row r="18721">
          <cell r="A18721" t="str">
            <v>EFCO</v>
          </cell>
          <cell r="B18721" t="str">
            <v>201-00008-000-0000</v>
          </cell>
          <cell r="J18721">
            <v>-9092.36</v>
          </cell>
        </row>
        <row r="18722">
          <cell r="A18722" t="str">
            <v>EFCO</v>
          </cell>
          <cell r="B18722" t="str">
            <v>201-00009-000-0000</v>
          </cell>
          <cell r="J18722">
            <v>-1579229.05</v>
          </cell>
        </row>
        <row r="18723">
          <cell r="A18723" t="str">
            <v>EFCO</v>
          </cell>
          <cell r="B18723" t="str">
            <v>201-00009-001-0000</v>
          </cell>
          <cell r="J18723">
            <v>-1579229.05</v>
          </cell>
        </row>
        <row r="18724">
          <cell r="A18724" t="str">
            <v>EFCO</v>
          </cell>
          <cell r="B18724" t="str">
            <v>201-00010-000-0000</v>
          </cell>
          <cell r="J18724">
            <v>-1111998.6399999999</v>
          </cell>
        </row>
        <row r="18725">
          <cell r="A18725" t="str">
            <v>EFCO</v>
          </cell>
          <cell r="B18725" t="str">
            <v>201-00010-001-0000</v>
          </cell>
          <cell r="J18725">
            <v>-1111998.6399999999</v>
          </cell>
        </row>
        <row r="18726">
          <cell r="A18726" t="str">
            <v>EFCO</v>
          </cell>
          <cell r="B18726" t="str">
            <v>202-00000-000-0000</v>
          </cell>
          <cell r="J18726">
            <v>-798000</v>
          </cell>
        </row>
        <row r="18727">
          <cell r="A18727" t="str">
            <v>EFCO</v>
          </cell>
          <cell r="B18727" t="str">
            <v>202-00001-000-0000</v>
          </cell>
          <cell r="J18727">
            <v>-798000</v>
          </cell>
        </row>
        <row r="18728">
          <cell r="A18728" t="str">
            <v>EFCO</v>
          </cell>
          <cell r="B18728" t="str">
            <v>202-00001-009-0000</v>
          </cell>
          <cell r="J18728">
            <v>-798000</v>
          </cell>
        </row>
        <row r="18729">
          <cell r="A18729" t="str">
            <v>EFCO</v>
          </cell>
          <cell r="B18729" t="str">
            <v>202-00001-009-1613</v>
          </cell>
          <cell r="J18729">
            <v>-198000</v>
          </cell>
        </row>
        <row r="18730">
          <cell r="A18730" t="str">
            <v>EFCO</v>
          </cell>
          <cell r="B18730" t="str">
            <v>202-00001-009-2872</v>
          </cell>
          <cell r="J18730">
            <v>-100000</v>
          </cell>
        </row>
        <row r="18731">
          <cell r="A18731" t="str">
            <v>EFCO</v>
          </cell>
          <cell r="B18731" t="str">
            <v>202-00001-009-2873</v>
          </cell>
          <cell r="J18731">
            <v>-500000</v>
          </cell>
        </row>
        <row r="18732">
          <cell r="A18732" t="str">
            <v>EFCO</v>
          </cell>
          <cell r="B18732" t="str">
            <v>301-00000-000-0000</v>
          </cell>
          <cell r="J18732">
            <v>-10042992.92</v>
          </cell>
        </row>
        <row r="18733">
          <cell r="A18733" t="str">
            <v>EFCO</v>
          </cell>
          <cell r="B18733" t="str">
            <v>301-00001-000-0000</v>
          </cell>
          <cell r="J18733">
            <v>-9226529</v>
          </cell>
        </row>
        <row r="18734">
          <cell r="A18734" t="str">
            <v>EFCO</v>
          </cell>
          <cell r="B18734" t="str">
            <v>301-00001-001-0000</v>
          </cell>
          <cell r="J18734">
            <v>-1690000</v>
          </cell>
        </row>
        <row r="18735">
          <cell r="A18735" t="str">
            <v>EFCO</v>
          </cell>
          <cell r="B18735" t="str">
            <v>301-00001-002-0000</v>
          </cell>
          <cell r="J18735">
            <v>-5060000</v>
          </cell>
        </row>
        <row r="18736">
          <cell r="A18736" t="str">
            <v>EFCO</v>
          </cell>
          <cell r="B18736" t="str">
            <v>301-00001-003-0000</v>
          </cell>
          <cell r="J18736">
            <v>-2476529</v>
          </cell>
        </row>
        <row r="18737">
          <cell r="A18737" t="str">
            <v>EFCO</v>
          </cell>
          <cell r="B18737" t="str">
            <v>301-00002-000-0000</v>
          </cell>
          <cell r="J18737">
            <v>-1386008.33</v>
          </cell>
        </row>
        <row r="18738">
          <cell r="A18738" t="str">
            <v>EFCO</v>
          </cell>
          <cell r="B18738" t="str">
            <v>301-00004-000-0000</v>
          </cell>
          <cell r="J18738">
            <v>569544.41</v>
          </cell>
        </row>
        <row r="18739">
          <cell r="A18739" t="str">
            <v>EFCO</v>
          </cell>
          <cell r="B18739" t="str">
            <v>301-00004-005-0000</v>
          </cell>
          <cell r="J18739">
            <v>4899736.7300000004</v>
          </cell>
        </row>
        <row r="18740">
          <cell r="A18740" t="str">
            <v>EFCO</v>
          </cell>
          <cell r="B18740" t="str">
            <v>301-00004-006-0000</v>
          </cell>
          <cell r="J18740">
            <v>558732.56999999995</v>
          </cell>
        </row>
        <row r="18741">
          <cell r="A18741" t="str">
            <v>EFCO</v>
          </cell>
          <cell r="B18741" t="str">
            <v>301-00004-007-0000</v>
          </cell>
          <cell r="J18741">
            <v>-539042.96</v>
          </cell>
        </row>
        <row r="18742">
          <cell r="A18742" t="str">
            <v>EFCO</v>
          </cell>
          <cell r="B18742" t="str">
            <v>301-00004-008-0000</v>
          </cell>
          <cell r="J18742">
            <v>-1177123.54</v>
          </cell>
        </row>
        <row r="18743">
          <cell r="A18743" t="str">
            <v>EFCO</v>
          </cell>
          <cell r="B18743" t="str">
            <v>301-00004-009-0000</v>
          </cell>
          <cell r="J18743">
            <v>-248326.68</v>
          </cell>
        </row>
        <row r="18744">
          <cell r="A18744" t="str">
            <v>EFCO</v>
          </cell>
          <cell r="B18744" t="str">
            <v>301-00004-010-0000</v>
          </cell>
          <cell r="J18744">
            <v>-244664.95999999999</v>
          </cell>
        </row>
        <row r="18745">
          <cell r="A18745" t="str">
            <v>EFCO</v>
          </cell>
          <cell r="B18745" t="str">
            <v>301-00004-011-0000</v>
          </cell>
          <cell r="J18745">
            <v>-866261.68</v>
          </cell>
        </row>
        <row r="18746">
          <cell r="A18746" t="str">
            <v>EFCO</v>
          </cell>
          <cell r="B18746" t="str">
            <v>301-00004-012-0000</v>
          </cell>
          <cell r="J18746">
            <v>-466030.14</v>
          </cell>
        </row>
        <row r="18747">
          <cell r="A18747" t="str">
            <v>EFCO</v>
          </cell>
          <cell r="B18747" t="str">
            <v>301-00004-013-0000</v>
          </cell>
          <cell r="J18747">
            <v>-612949.54</v>
          </cell>
        </row>
        <row r="18748">
          <cell r="A18748" t="str">
            <v>EFCO</v>
          </cell>
          <cell r="B18748" t="str">
            <v>301-00004-014-0000</v>
          </cell>
          <cell r="J18748">
            <v>-15852.97</v>
          </cell>
        </row>
        <row r="18749">
          <cell r="A18749" t="str">
            <v>EFCO</v>
          </cell>
          <cell r="B18749" t="str">
            <v>301-00004-015-0000</v>
          </cell>
          <cell r="J18749">
            <v>-453485.62</v>
          </cell>
        </row>
        <row r="18750">
          <cell r="A18750" t="str">
            <v>EFCO</v>
          </cell>
          <cell r="B18750" t="str">
            <v>301-00004-016-0000</v>
          </cell>
          <cell r="J18750">
            <v>-157042.35</v>
          </cell>
        </row>
        <row r="18751">
          <cell r="A18751" t="str">
            <v>EFCO</v>
          </cell>
          <cell r="B18751" t="str">
            <v>301-00004-017-0000</v>
          </cell>
          <cell r="J18751">
            <v>-108144.45</v>
          </cell>
        </row>
        <row r="18752">
          <cell r="A18752" t="str">
            <v>EFCO</v>
          </cell>
          <cell r="B18752" t="str">
            <v>410-00000-000-0000</v>
          </cell>
          <cell r="J18752">
            <v>-12088308.24</v>
          </cell>
        </row>
        <row r="18753">
          <cell r="A18753" t="str">
            <v>EFCO</v>
          </cell>
          <cell r="B18753" t="str">
            <v>410-26001-000-0000</v>
          </cell>
          <cell r="J18753">
            <v>-5474523.6100000003</v>
          </cell>
        </row>
        <row r="18754">
          <cell r="A18754" t="str">
            <v>EFCO</v>
          </cell>
          <cell r="B18754" t="str">
            <v>410-26001-002-0000</v>
          </cell>
          <cell r="J18754">
            <v>-5474523.6100000003</v>
          </cell>
        </row>
        <row r="18755">
          <cell r="A18755" t="str">
            <v>EFCO</v>
          </cell>
          <cell r="B18755" t="str">
            <v>410-26001-002-3312</v>
          </cell>
          <cell r="J18755">
            <v>-5474523.6100000003</v>
          </cell>
        </row>
        <row r="18756">
          <cell r="A18756" t="str">
            <v>EFCO</v>
          </cell>
          <cell r="B18756" t="str">
            <v>410-26018-000-0000</v>
          </cell>
          <cell r="J18756">
            <v>-2406189.65</v>
          </cell>
        </row>
        <row r="18757">
          <cell r="A18757" t="str">
            <v>EFCO</v>
          </cell>
          <cell r="B18757" t="str">
            <v>410-26018-002-0000</v>
          </cell>
          <cell r="J18757">
            <v>-2406189.65</v>
          </cell>
        </row>
        <row r="18758">
          <cell r="A18758" t="str">
            <v>EFCO</v>
          </cell>
          <cell r="B18758" t="str">
            <v>410-26018-002-3156</v>
          </cell>
          <cell r="J18758">
            <v>-2406189.65</v>
          </cell>
        </row>
        <row r="18759">
          <cell r="A18759" t="str">
            <v>EFCO</v>
          </cell>
          <cell r="B18759" t="str">
            <v>410-26026-000-0000</v>
          </cell>
          <cell r="J18759">
            <v>-4207594.9800000004</v>
          </cell>
        </row>
        <row r="18760">
          <cell r="A18760" t="str">
            <v>EFCO</v>
          </cell>
          <cell r="B18760" t="str">
            <v>410-26026-002-0000</v>
          </cell>
          <cell r="J18760">
            <v>-4207594.9800000004</v>
          </cell>
        </row>
        <row r="18761">
          <cell r="A18761" t="str">
            <v>EFCO</v>
          </cell>
          <cell r="B18761" t="str">
            <v>410-26026-002-0956</v>
          </cell>
          <cell r="J18761">
            <v>-4207594.9800000004</v>
          </cell>
        </row>
        <row r="18762">
          <cell r="A18762" t="str">
            <v>EFCO</v>
          </cell>
          <cell r="B18762" t="str">
            <v>411-00000-000-0000</v>
          </cell>
          <cell r="J18762">
            <v>-344827.59</v>
          </cell>
        </row>
        <row r="18763">
          <cell r="A18763" t="str">
            <v>EFCO</v>
          </cell>
          <cell r="B18763" t="str">
            <v>411-25777-000-0000</v>
          </cell>
          <cell r="J18763">
            <v>-344827.59</v>
          </cell>
        </row>
        <row r="18764">
          <cell r="A18764" t="str">
            <v>EFCO</v>
          </cell>
          <cell r="B18764" t="str">
            <v>411-25777-004-0000</v>
          </cell>
          <cell r="J18764">
            <v>-344827.59</v>
          </cell>
        </row>
        <row r="18765">
          <cell r="A18765" t="str">
            <v>EFCO</v>
          </cell>
          <cell r="B18765" t="str">
            <v>411-25777-004-0468</v>
          </cell>
          <cell r="J18765">
            <v>-344827.59</v>
          </cell>
        </row>
        <row r="18766">
          <cell r="A18766" t="str">
            <v>EFCO</v>
          </cell>
          <cell r="B18766" t="str">
            <v>430-00000-000-0000</v>
          </cell>
          <cell r="J18766">
            <v>-6200.02</v>
          </cell>
        </row>
        <row r="18767">
          <cell r="A18767" t="str">
            <v>EFCO</v>
          </cell>
          <cell r="B18767" t="str">
            <v>430-00001-000-0000</v>
          </cell>
          <cell r="J18767">
            <v>-6200.02</v>
          </cell>
        </row>
        <row r="18768">
          <cell r="A18768" t="str">
            <v>EFCO</v>
          </cell>
          <cell r="B18768" t="str">
            <v>720-00000-000-0000</v>
          </cell>
          <cell r="J18768">
            <v>-20112.240000000002</v>
          </cell>
        </row>
        <row r="18769">
          <cell r="A18769" t="str">
            <v>EFCO</v>
          </cell>
          <cell r="B18769" t="str">
            <v>720-99999-000-0000</v>
          </cell>
          <cell r="J18769">
            <v>-20112.240000000002</v>
          </cell>
        </row>
        <row r="18770">
          <cell r="A18770" t="str">
            <v>EFCO</v>
          </cell>
          <cell r="B18770" t="str">
            <v>720-99999-001-0000</v>
          </cell>
          <cell r="J18770">
            <v>-20112.240000000002</v>
          </cell>
        </row>
        <row r="18771">
          <cell r="A18771" t="str">
            <v>EFCO</v>
          </cell>
          <cell r="B18771" t="str">
            <v>720-99999-001-0001</v>
          </cell>
          <cell r="J18771">
            <v>-20112.240000000002</v>
          </cell>
        </row>
        <row r="18772">
          <cell r="A18772" t="str">
            <v>EFCO</v>
          </cell>
          <cell r="B18772" t="str">
            <v>530-00000-000-0000</v>
          </cell>
          <cell r="J18772">
            <v>650917.6</v>
          </cell>
        </row>
        <row r="18773">
          <cell r="A18773" t="str">
            <v>EFCO</v>
          </cell>
          <cell r="B18773" t="str">
            <v>530-25032-000-0000</v>
          </cell>
          <cell r="J18773">
            <v>14745.74</v>
          </cell>
        </row>
        <row r="18774">
          <cell r="A18774" t="str">
            <v>EFCO</v>
          </cell>
          <cell r="B18774" t="str">
            <v>530-25032-016-0000</v>
          </cell>
          <cell r="J18774">
            <v>14745.74</v>
          </cell>
        </row>
        <row r="18775">
          <cell r="A18775" t="str">
            <v>EFCO</v>
          </cell>
          <cell r="B18775" t="str">
            <v>530-26018-000-0000</v>
          </cell>
          <cell r="J18775">
            <v>55632.44</v>
          </cell>
        </row>
        <row r="18776">
          <cell r="A18776" t="str">
            <v>EFCO</v>
          </cell>
          <cell r="B18776" t="str">
            <v>530-26018-017-0000</v>
          </cell>
          <cell r="J18776">
            <v>70384.639999999999</v>
          </cell>
        </row>
        <row r="18777">
          <cell r="A18777" t="str">
            <v>EFCO</v>
          </cell>
          <cell r="B18777" t="str">
            <v>530-26018-018-0000</v>
          </cell>
          <cell r="J18777">
            <v>12529</v>
          </cell>
        </row>
        <row r="18778">
          <cell r="A18778" t="str">
            <v>EFCO</v>
          </cell>
          <cell r="B18778" t="str">
            <v>530-26018-018-0001</v>
          </cell>
          <cell r="J18778">
            <v>12529</v>
          </cell>
        </row>
        <row r="18779">
          <cell r="A18779" t="str">
            <v>EFCO</v>
          </cell>
          <cell r="B18779" t="str">
            <v>530-26018-041-0000</v>
          </cell>
          <cell r="J18779">
            <v>64655.16</v>
          </cell>
        </row>
        <row r="18780">
          <cell r="A18780" t="str">
            <v>EFCO</v>
          </cell>
          <cell r="B18780" t="str">
            <v>530-26018-054-0000</v>
          </cell>
          <cell r="J18780">
            <v>-91936.36</v>
          </cell>
        </row>
        <row r="18781">
          <cell r="A18781" t="str">
            <v>EFCO</v>
          </cell>
          <cell r="B18781" t="str">
            <v>530-26018-054-0006</v>
          </cell>
          <cell r="J18781">
            <v>-91936.36</v>
          </cell>
        </row>
        <row r="18782">
          <cell r="A18782" t="str">
            <v>EFCO</v>
          </cell>
          <cell r="B18782" t="str">
            <v>530-26026-000-0000</v>
          </cell>
          <cell r="J18782">
            <v>496212.17</v>
          </cell>
        </row>
        <row r="18783">
          <cell r="A18783" t="str">
            <v>EFCO</v>
          </cell>
          <cell r="B18783" t="str">
            <v>530-26026-017-0000</v>
          </cell>
          <cell r="J18783">
            <v>539734.01</v>
          </cell>
        </row>
        <row r="18784">
          <cell r="A18784" t="str">
            <v>EFCO</v>
          </cell>
          <cell r="B18784" t="str">
            <v>530-26026-018-0000</v>
          </cell>
          <cell r="J18784">
            <v>29453.16</v>
          </cell>
        </row>
        <row r="18785">
          <cell r="A18785" t="str">
            <v>EFCO</v>
          </cell>
          <cell r="B18785" t="str">
            <v>530-26026-018-0002</v>
          </cell>
          <cell r="J18785">
            <v>21037.97</v>
          </cell>
        </row>
        <row r="18786">
          <cell r="A18786" t="str">
            <v>EFCO</v>
          </cell>
          <cell r="B18786" t="str">
            <v>530-26026-018-0007</v>
          </cell>
          <cell r="J18786">
            <v>8415.19</v>
          </cell>
        </row>
        <row r="18787">
          <cell r="A18787" t="str">
            <v>EFCO</v>
          </cell>
          <cell r="B18787" t="str">
            <v>530-26026-054-0000</v>
          </cell>
          <cell r="J18787">
            <v>-72975</v>
          </cell>
        </row>
        <row r="18788">
          <cell r="A18788" t="str">
            <v>EFCO</v>
          </cell>
          <cell r="B18788" t="str">
            <v>530-26026-054-0006</v>
          </cell>
          <cell r="J18788">
            <v>-72975</v>
          </cell>
        </row>
        <row r="18789">
          <cell r="A18789" t="str">
            <v>EFCO</v>
          </cell>
          <cell r="B18789" t="str">
            <v>530-26030-000-0000</v>
          </cell>
          <cell r="J18789">
            <v>84327.25</v>
          </cell>
        </row>
        <row r="18790">
          <cell r="A18790" t="str">
            <v>EFCO</v>
          </cell>
          <cell r="B18790" t="str">
            <v>530-26030-016-0000</v>
          </cell>
          <cell r="J18790">
            <v>6318.5</v>
          </cell>
        </row>
        <row r="18791">
          <cell r="A18791" t="str">
            <v>EFCO</v>
          </cell>
          <cell r="B18791" t="str">
            <v>530-26030-017-0000</v>
          </cell>
          <cell r="J18791">
            <v>78008.75</v>
          </cell>
        </row>
        <row r="18792">
          <cell r="A18792" t="str">
            <v>EFCO</v>
          </cell>
          <cell r="B18792" t="str">
            <v>531-00000-000-0000</v>
          </cell>
          <cell r="J18792">
            <v>4490931.03</v>
          </cell>
        </row>
        <row r="18793">
          <cell r="A18793" t="str">
            <v>EFCO</v>
          </cell>
          <cell r="B18793" t="str">
            <v>531-25032-000-0000</v>
          </cell>
          <cell r="J18793">
            <v>1419.8</v>
          </cell>
        </row>
        <row r="18794">
          <cell r="A18794" t="str">
            <v>EFCO</v>
          </cell>
          <cell r="B18794" t="str">
            <v>531-25032-004-0000</v>
          </cell>
          <cell r="J18794">
            <v>1419.8</v>
          </cell>
        </row>
        <row r="18795">
          <cell r="A18795" t="str">
            <v>EFCO</v>
          </cell>
          <cell r="B18795" t="str">
            <v>531-25032-004-0001</v>
          </cell>
          <cell r="J18795">
            <v>468.08</v>
          </cell>
        </row>
        <row r="18796">
          <cell r="A18796" t="str">
            <v>EFCO</v>
          </cell>
          <cell r="B18796" t="str">
            <v>531-25032-004-0005</v>
          </cell>
          <cell r="J18796">
            <v>951.72</v>
          </cell>
        </row>
        <row r="18797">
          <cell r="A18797" t="str">
            <v>EFCO</v>
          </cell>
          <cell r="B18797" t="str">
            <v>531-26018-000-0000</v>
          </cell>
          <cell r="J18797">
            <v>1809164.54</v>
          </cell>
        </row>
        <row r="18798">
          <cell r="A18798" t="str">
            <v>EFCO</v>
          </cell>
          <cell r="B18798" t="str">
            <v>531-26018-004-0000</v>
          </cell>
          <cell r="J18798">
            <v>406601.51</v>
          </cell>
        </row>
        <row r="18799">
          <cell r="A18799" t="str">
            <v>EFCO</v>
          </cell>
          <cell r="B18799" t="str">
            <v>531-26018-004-0001</v>
          </cell>
          <cell r="J18799">
            <v>96236.55</v>
          </cell>
        </row>
        <row r="18800">
          <cell r="A18800" t="str">
            <v>EFCO</v>
          </cell>
          <cell r="B18800" t="str">
            <v>531-26018-004-0002</v>
          </cell>
          <cell r="J18800">
            <v>110931.34</v>
          </cell>
        </row>
        <row r="18801">
          <cell r="A18801" t="str">
            <v>EFCO</v>
          </cell>
          <cell r="B18801" t="str">
            <v>531-26018-004-0003</v>
          </cell>
          <cell r="J18801">
            <v>146182.43</v>
          </cell>
        </row>
        <row r="18802">
          <cell r="A18802" t="str">
            <v>EFCO</v>
          </cell>
          <cell r="B18802" t="str">
            <v>531-26018-004-0004</v>
          </cell>
          <cell r="J18802">
            <v>8592.52</v>
          </cell>
        </row>
        <row r="18803">
          <cell r="A18803" t="str">
            <v>EFCO</v>
          </cell>
          <cell r="B18803" t="str">
            <v>531-26018-004-0005</v>
          </cell>
          <cell r="J18803">
            <v>18135.86</v>
          </cell>
        </row>
        <row r="18804">
          <cell r="A18804" t="str">
            <v>EFCO</v>
          </cell>
          <cell r="B18804" t="str">
            <v>531-26018-004-0009</v>
          </cell>
          <cell r="J18804">
            <v>1381.9</v>
          </cell>
        </row>
        <row r="18805">
          <cell r="A18805" t="str">
            <v>EFCO</v>
          </cell>
          <cell r="B18805" t="str">
            <v>531-26018-004-0011</v>
          </cell>
          <cell r="J18805">
            <v>8214.07</v>
          </cell>
        </row>
        <row r="18806">
          <cell r="A18806" t="str">
            <v>EFCO</v>
          </cell>
          <cell r="B18806" t="str">
            <v>531-26018-004-0013</v>
          </cell>
          <cell r="J18806">
            <v>16725.490000000002</v>
          </cell>
        </row>
        <row r="18807">
          <cell r="A18807" t="str">
            <v>EFCO</v>
          </cell>
          <cell r="B18807" t="str">
            <v>531-26018-004-0014</v>
          </cell>
          <cell r="J18807">
            <v>201.35</v>
          </cell>
        </row>
        <row r="18808">
          <cell r="A18808" t="str">
            <v>EFCO</v>
          </cell>
          <cell r="B18808" t="str">
            <v>531-26018-007-0000</v>
          </cell>
          <cell r="J18808">
            <v>1964243.09</v>
          </cell>
        </row>
        <row r="18809">
          <cell r="A18809" t="str">
            <v>EFCO</v>
          </cell>
          <cell r="B18809" t="str">
            <v>531-26018-007-0010</v>
          </cell>
          <cell r="J18809">
            <v>11550.94</v>
          </cell>
        </row>
        <row r="18810">
          <cell r="A18810" t="str">
            <v>EFCO</v>
          </cell>
          <cell r="B18810" t="str">
            <v>531-26018-007-0020</v>
          </cell>
          <cell r="J18810">
            <v>1278623.8999999999</v>
          </cell>
        </row>
        <row r="18811">
          <cell r="A18811" t="str">
            <v>EFCO</v>
          </cell>
          <cell r="B18811" t="str">
            <v>531-26018-007-0030</v>
          </cell>
          <cell r="J18811">
            <v>7834.44</v>
          </cell>
        </row>
        <row r="18812">
          <cell r="A18812" t="str">
            <v>EFCO</v>
          </cell>
          <cell r="B18812" t="str">
            <v>531-26018-007-0050</v>
          </cell>
          <cell r="J18812">
            <v>40094.699999999997</v>
          </cell>
        </row>
        <row r="18813">
          <cell r="A18813" t="str">
            <v>EFCO</v>
          </cell>
          <cell r="B18813" t="str">
            <v>531-26018-007-0060</v>
          </cell>
          <cell r="J18813">
            <v>626139.11</v>
          </cell>
        </row>
        <row r="18814">
          <cell r="A18814" t="str">
            <v>EFCO</v>
          </cell>
          <cell r="B18814" t="str">
            <v>531-26018-009-0000</v>
          </cell>
          <cell r="J18814">
            <v>480090.24</v>
          </cell>
        </row>
        <row r="18815">
          <cell r="A18815" t="str">
            <v>EFCO</v>
          </cell>
          <cell r="B18815" t="str">
            <v>531-26018-054-0000</v>
          </cell>
          <cell r="J18815">
            <v>-1041770.3</v>
          </cell>
        </row>
        <row r="18816">
          <cell r="A18816" t="str">
            <v>EFCO</v>
          </cell>
          <cell r="B18816" t="str">
            <v>531-26018-054-0006</v>
          </cell>
          <cell r="J18816">
            <v>-1041770.3</v>
          </cell>
        </row>
        <row r="18817">
          <cell r="A18817" t="str">
            <v>EFCO</v>
          </cell>
          <cell r="B18817" t="str">
            <v>531-26026-000-0000</v>
          </cell>
          <cell r="J18817">
            <v>2764673.94</v>
          </cell>
        </row>
        <row r="18818">
          <cell r="A18818" t="str">
            <v>EFCO</v>
          </cell>
          <cell r="B18818" t="str">
            <v>531-26026-004-0000</v>
          </cell>
          <cell r="J18818">
            <v>96770.82</v>
          </cell>
        </row>
        <row r="18819">
          <cell r="A18819" t="str">
            <v>EFCO</v>
          </cell>
          <cell r="B18819" t="str">
            <v>531-26026-004-0001</v>
          </cell>
          <cell r="J18819">
            <v>7006.07</v>
          </cell>
        </row>
        <row r="18820">
          <cell r="A18820" t="str">
            <v>EFCO</v>
          </cell>
          <cell r="B18820" t="str">
            <v>531-26026-004-0002</v>
          </cell>
          <cell r="J18820">
            <v>37902.01</v>
          </cell>
        </row>
        <row r="18821">
          <cell r="A18821" t="str">
            <v>EFCO</v>
          </cell>
          <cell r="B18821" t="str">
            <v>531-26026-004-0003</v>
          </cell>
          <cell r="J18821">
            <v>27862.07</v>
          </cell>
        </row>
        <row r="18822">
          <cell r="A18822" t="str">
            <v>EFCO</v>
          </cell>
          <cell r="B18822" t="str">
            <v>531-26026-004-0005</v>
          </cell>
          <cell r="J18822">
            <v>17369.25</v>
          </cell>
        </row>
        <row r="18823">
          <cell r="A18823" t="str">
            <v>EFCO</v>
          </cell>
          <cell r="B18823" t="str">
            <v>531-26026-004-0009</v>
          </cell>
          <cell r="J18823">
            <v>374.14</v>
          </cell>
        </row>
        <row r="18824">
          <cell r="A18824" t="str">
            <v>EFCO</v>
          </cell>
          <cell r="B18824" t="str">
            <v>531-26026-004-0011</v>
          </cell>
          <cell r="J18824">
            <v>400</v>
          </cell>
        </row>
        <row r="18825">
          <cell r="A18825" t="str">
            <v>EFCO</v>
          </cell>
          <cell r="B18825" t="str">
            <v>531-26026-004-0013</v>
          </cell>
          <cell r="J18825">
            <v>5857.28</v>
          </cell>
        </row>
        <row r="18826">
          <cell r="A18826" t="str">
            <v>EFCO</v>
          </cell>
          <cell r="B18826" t="str">
            <v>531-26026-007-0000</v>
          </cell>
          <cell r="J18826">
            <v>3107613.64</v>
          </cell>
        </row>
        <row r="18827">
          <cell r="A18827" t="str">
            <v>EFCO</v>
          </cell>
          <cell r="B18827" t="str">
            <v>531-26026-007-0010</v>
          </cell>
          <cell r="J18827">
            <v>1755558.04</v>
          </cell>
        </row>
        <row r="18828">
          <cell r="A18828" t="str">
            <v>EFCO</v>
          </cell>
          <cell r="B18828" t="str">
            <v>531-26026-007-0020</v>
          </cell>
          <cell r="J18828">
            <v>16.670000000000002</v>
          </cell>
        </row>
        <row r="18829">
          <cell r="A18829" t="str">
            <v>EFCO</v>
          </cell>
          <cell r="B18829" t="str">
            <v>531-26026-007-0030</v>
          </cell>
          <cell r="J18829">
            <v>11923.5</v>
          </cell>
        </row>
        <row r="18830">
          <cell r="A18830" t="str">
            <v>EFCO</v>
          </cell>
          <cell r="B18830" t="str">
            <v>531-26026-007-0050</v>
          </cell>
          <cell r="J18830">
            <v>559467.31999999995</v>
          </cell>
        </row>
        <row r="18831">
          <cell r="A18831" t="str">
            <v>EFCO</v>
          </cell>
          <cell r="B18831" t="str">
            <v>531-26026-007-0060</v>
          </cell>
          <cell r="J18831">
            <v>780648.11</v>
          </cell>
        </row>
        <row r="18832">
          <cell r="A18832" t="str">
            <v>EFCO</v>
          </cell>
          <cell r="B18832" t="str">
            <v>531-26026-009-0000</v>
          </cell>
          <cell r="J18832">
            <v>117581.64</v>
          </cell>
        </row>
        <row r="18833">
          <cell r="A18833" t="str">
            <v>EFCO</v>
          </cell>
          <cell r="B18833" t="str">
            <v>531-26026-031-0000</v>
          </cell>
          <cell r="J18833">
            <v>21844.69</v>
          </cell>
        </row>
        <row r="18834">
          <cell r="A18834" t="str">
            <v>EFCO</v>
          </cell>
          <cell r="B18834" t="str">
            <v>531-26026-031-0002</v>
          </cell>
          <cell r="J18834">
            <v>16601.96</v>
          </cell>
        </row>
        <row r="18835">
          <cell r="A18835" t="str">
            <v>EFCO</v>
          </cell>
          <cell r="B18835" t="str">
            <v>531-26026-031-0005</v>
          </cell>
          <cell r="J18835">
            <v>5242.7299999999996</v>
          </cell>
        </row>
        <row r="18836">
          <cell r="A18836" t="str">
            <v>EFCO</v>
          </cell>
          <cell r="B18836" t="str">
            <v>531-26026-054-0000</v>
          </cell>
          <cell r="J18836">
            <v>-579136.85</v>
          </cell>
        </row>
        <row r="18837">
          <cell r="A18837" t="str">
            <v>EFCO</v>
          </cell>
          <cell r="B18837" t="str">
            <v>531-26026-054-0006</v>
          </cell>
          <cell r="J18837">
            <v>-579136.85</v>
          </cell>
        </row>
        <row r="18838">
          <cell r="A18838" t="str">
            <v>EFCO</v>
          </cell>
          <cell r="B18838" t="str">
            <v>531-26030-000-0000</v>
          </cell>
          <cell r="J18838">
            <v>-84327.25</v>
          </cell>
        </row>
        <row r="18839">
          <cell r="A18839" t="str">
            <v>EFCO</v>
          </cell>
          <cell r="B18839" t="str">
            <v>531-26030-004-0000</v>
          </cell>
          <cell r="J18839">
            <v>2314.81</v>
          </cell>
        </row>
        <row r="18840">
          <cell r="A18840" t="str">
            <v>EFCO</v>
          </cell>
          <cell r="B18840" t="str">
            <v>531-26030-004-0013</v>
          </cell>
          <cell r="J18840">
            <v>2314.81</v>
          </cell>
        </row>
        <row r="18841">
          <cell r="A18841" t="str">
            <v>EFCO</v>
          </cell>
          <cell r="B18841" t="str">
            <v>531-26030-007-0000</v>
          </cell>
          <cell r="J18841">
            <v>3418883.44</v>
          </cell>
        </row>
        <row r="18842">
          <cell r="A18842" t="str">
            <v>EFCO</v>
          </cell>
          <cell r="B18842" t="str">
            <v>531-26030-007-0010</v>
          </cell>
          <cell r="J18842">
            <v>1506978.72</v>
          </cell>
        </row>
        <row r="18843">
          <cell r="A18843" t="str">
            <v>EFCO</v>
          </cell>
          <cell r="B18843" t="str">
            <v>531-26030-007-0020</v>
          </cell>
          <cell r="J18843">
            <v>10.56</v>
          </cell>
        </row>
        <row r="18844">
          <cell r="A18844" t="str">
            <v>EFCO</v>
          </cell>
          <cell r="B18844" t="str">
            <v>531-26030-007-0030</v>
          </cell>
          <cell r="J18844">
            <v>168684.3</v>
          </cell>
        </row>
        <row r="18845">
          <cell r="A18845" t="str">
            <v>EFCO</v>
          </cell>
          <cell r="B18845" t="str">
            <v>531-26030-007-0050</v>
          </cell>
          <cell r="J18845">
            <v>1160937.94</v>
          </cell>
        </row>
        <row r="18846">
          <cell r="A18846" t="str">
            <v>EFCO</v>
          </cell>
          <cell r="B18846" t="str">
            <v>531-26030-007-0060</v>
          </cell>
          <cell r="J18846">
            <v>582271.92000000004</v>
          </cell>
        </row>
        <row r="18847">
          <cell r="A18847" t="str">
            <v>EFCO</v>
          </cell>
          <cell r="B18847" t="str">
            <v>531-26030-009-0000</v>
          </cell>
          <cell r="J18847">
            <v>423234.8</v>
          </cell>
        </row>
        <row r="18848">
          <cell r="A18848" t="str">
            <v>EFCO</v>
          </cell>
          <cell r="B18848" t="str">
            <v>531-26030-031-0000</v>
          </cell>
          <cell r="J18848">
            <v>15150.48</v>
          </cell>
        </row>
        <row r="18849">
          <cell r="A18849" t="str">
            <v>EFCO</v>
          </cell>
          <cell r="B18849" t="str">
            <v>531-26030-031-0002</v>
          </cell>
          <cell r="J18849">
            <v>11514.36</v>
          </cell>
        </row>
        <row r="18850">
          <cell r="A18850" t="str">
            <v>EFCO</v>
          </cell>
          <cell r="B18850" t="str">
            <v>531-26030-031-0005</v>
          </cell>
          <cell r="J18850">
            <v>3636.12</v>
          </cell>
        </row>
        <row r="18851">
          <cell r="A18851" t="str">
            <v>EFCO</v>
          </cell>
          <cell r="B18851" t="str">
            <v>531-26030-054-0000</v>
          </cell>
          <cell r="J18851">
            <v>-3943910.78</v>
          </cell>
        </row>
        <row r="18852">
          <cell r="A18852" t="str">
            <v>EFCO</v>
          </cell>
          <cell r="B18852" t="str">
            <v>531-26030-054-0006</v>
          </cell>
          <cell r="J18852">
            <v>-3943910.78</v>
          </cell>
        </row>
        <row r="18853">
          <cell r="A18853" t="str">
            <v>EFCO</v>
          </cell>
          <cell r="B18853" t="str">
            <v>560-00000-000-0000</v>
          </cell>
          <cell r="J18853">
            <v>492396.16</v>
          </cell>
        </row>
        <row r="18854">
          <cell r="A18854" t="str">
            <v>EFCO</v>
          </cell>
          <cell r="B18854" t="str">
            <v>560-99999-000-0000</v>
          </cell>
          <cell r="J18854">
            <v>492396.16</v>
          </cell>
        </row>
        <row r="18855">
          <cell r="A18855" t="str">
            <v>EFCO</v>
          </cell>
          <cell r="B18855" t="str">
            <v>560-99999-001-0000</v>
          </cell>
          <cell r="J18855">
            <v>-35043.870000000003</v>
          </cell>
        </row>
        <row r="18856">
          <cell r="A18856" t="str">
            <v>EFCO</v>
          </cell>
          <cell r="B18856" t="str">
            <v>560-99999-001-0001</v>
          </cell>
          <cell r="J18856">
            <v>1.44</v>
          </cell>
        </row>
        <row r="18857">
          <cell r="A18857" t="str">
            <v>EFCO</v>
          </cell>
          <cell r="B18857" t="str">
            <v>560-99999-001-0002</v>
          </cell>
          <cell r="J18857">
            <v>0.09</v>
          </cell>
        </row>
        <row r="18858">
          <cell r="A18858" t="str">
            <v>EFCO</v>
          </cell>
          <cell r="B18858" t="str">
            <v>560-99999-001-0005</v>
          </cell>
          <cell r="J18858">
            <v>0.1</v>
          </cell>
        </row>
        <row r="18859">
          <cell r="A18859" t="str">
            <v>EFCO</v>
          </cell>
          <cell r="B18859" t="str">
            <v>560-99999-001-0006</v>
          </cell>
          <cell r="J18859">
            <v>0.1</v>
          </cell>
        </row>
        <row r="18860">
          <cell r="A18860" t="str">
            <v>EFCO</v>
          </cell>
          <cell r="B18860" t="str">
            <v>560-99999-001-0009</v>
          </cell>
          <cell r="J18860">
            <v>0.17</v>
          </cell>
        </row>
        <row r="18861">
          <cell r="A18861" t="str">
            <v>EFCO</v>
          </cell>
          <cell r="B18861" t="str">
            <v>560-99999-001-0010</v>
          </cell>
          <cell r="J18861">
            <v>-5840.97</v>
          </cell>
        </row>
        <row r="18862">
          <cell r="A18862" t="str">
            <v>EFCO</v>
          </cell>
          <cell r="B18862" t="str">
            <v>560-99999-001-0011</v>
          </cell>
          <cell r="J18862">
            <v>-29204.799999999999</v>
          </cell>
        </row>
        <row r="18863">
          <cell r="A18863" t="str">
            <v>EFCO</v>
          </cell>
          <cell r="B18863" t="str">
            <v>560-99999-002-0000</v>
          </cell>
          <cell r="J18863">
            <v>-150.44</v>
          </cell>
        </row>
        <row r="18864">
          <cell r="A18864" t="str">
            <v>EFCO</v>
          </cell>
          <cell r="B18864" t="str">
            <v>560-99999-002-0001</v>
          </cell>
          <cell r="J18864">
            <v>41.68</v>
          </cell>
        </row>
        <row r="18865">
          <cell r="A18865" t="str">
            <v>EFCO</v>
          </cell>
          <cell r="B18865" t="str">
            <v>560-99999-002-0002</v>
          </cell>
          <cell r="J18865">
            <v>52.31</v>
          </cell>
        </row>
        <row r="18866">
          <cell r="A18866" t="str">
            <v>EFCO</v>
          </cell>
          <cell r="B18866" t="str">
            <v>560-99999-002-0003</v>
          </cell>
          <cell r="J18866">
            <v>806.93</v>
          </cell>
        </row>
        <row r="18867">
          <cell r="A18867" t="str">
            <v>EFCO</v>
          </cell>
          <cell r="B18867" t="str">
            <v>560-99999-002-0004</v>
          </cell>
          <cell r="J18867">
            <v>-1051.3599999999999</v>
          </cell>
        </row>
        <row r="18868">
          <cell r="A18868" t="str">
            <v>EFCO</v>
          </cell>
          <cell r="B18868" t="str">
            <v>560-99999-006-0000</v>
          </cell>
          <cell r="J18868">
            <v>530000</v>
          </cell>
        </row>
        <row r="18869">
          <cell r="A18869" t="str">
            <v>EFCO</v>
          </cell>
          <cell r="B18869" t="str">
            <v>560-99999-061-0000</v>
          </cell>
          <cell r="J18869">
            <v>-2409.5300000000002</v>
          </cell>
        </row>
        <row r="18870">
          <cell r="A18870" t="str">
            <v>EFCO</v>
          </cell>
          <cell r="B18870" t="str">
            <v>561-00000-000-0000</v>
          </cell>
          <cell r="J18870">
            <v>3385681.25</v>
          </cell>
        </row>
        <row r="18871">
          <cell r="A18871" t="str">
            <v>EFCO</v>
          </cell>
          <cell r="B18871" t="str">
            <v>561-99999-000-0000</v>
          </cell>
          <cell r="J18871">
            <v>3385681.25</v>
          </cell>
        </row>
        <row r="18872">
          <cell r="A18872" t="str">
            <v>EFCO</v>
          </cell>
          <cell r="B18872" t="str">
            <v>561-99999-021-0000</v>
          </cell>
          <cell r="J18872">
            <v>3385681.25</v>
          </cell>
        </row>
        <row r="18873">
          <cell r="A18873" t="str">
            <v>EFCO</v>
          </cell>
          <cell r="B18873" t="str">
            <v>620-00000-000-0000</v>
          </cell>
          <cell r="J18873">
            <v>364892.2</v>
          </cell>
        </row>
        <row r="18874">
          <cell r="A18874" t="str">
            <v>EFCO</v>
          </cell>
          <cell r="B18874" t="str">
            <v>620-99999-000-0000</v>
          </cell>
          <cell r="J18874">
            <v>364892.2</v>
          </cell>
        </row>
        <row r="18875">
          <cell r="A18875" t="str">
            <v>EFCO</v>
          </cell>
          <cell r="B18875" t="str">
            <v>620-99999-001-0000</v>
          </cell>
          <cell r="J18875">
            <v>303783.57</v>
          </cell>
        </row>
        <row r="18876">
          <cell r="A18876" t="str">
            <v>EFCO</v>
          </cell>
          <cell r="B18876" t="str">
            <v>620-99999-001-0001</v>
          </cell>
          <cell r="J18876">
            <v>191576.44</v>
          </cell>
        </row>
        <row r="18877">
          <cell r="A18877" t="str">
            <v>EFCO</v>
          </cell>
          <cell r="B18877" t="str">
            <v>620-99999-001-0002</v>
          </cell>
          <cell r="J18877">
            <v>19530</v>
          </cell>
        </row>
        <row r="18878">
          <cell r="A18878" t="str">
            <v>EFCO</v>
          </cell>
          <cell r="B18878" t="str">
            <v>620-99999-001-0005</v>
          </cell>
          <cell r="J18878">
            <v>22514.91</v>
          </cell>
        </row>
        <row r="18879">
          <cell r="A18879" t="str">
            <v>EFCO</v>
          </cell>
          <cell r="B18879" t="str">
            <v>620-99999-001-0006</v>
          </cell>
          <cell r="J18879">
            <v>22514.91</v>
          </cell>
        </row>
        <row r="18880">
          <cell r="A18880" t="str">
            <v>EFCO</v>
          </cell>
          <cell r="B18880" t="str">
            <v>620-99999-001-0009</v>
          </cell>
          <cell r="J18880">
            <v>22186.81</v>
          </cell>
        </row>
        <row r="18881">
          <cell r="A18881" t="str">
            <v>EFCO</v>
          </cell>
          <cell r="B18881" t="str">
            <v>620-99999-001-0010</v>
          </cell>
          <cell r="J18881">
            <v>7923.89</v>
          </cell>
        </row>
        <row r="18882">
          <cell r="A18882" t="str">
            <v>EFCO</v>
          </cell>
          <cell r="B18882" t="str">
            <v>620-99999-001-0011</v>
          </cell>
          <cell r="J18882">
            <v>17536.61</v>
          </cell>
        </row>
        <row r="18883">
          <cell r="A18883" t="str">
            <v>EFCO</v>
          </cell>
          <cell r="B18883" t="str">
            <v>620-99999-002-0000</v>
          </cell>
          <cell r="J18883">
            <v>70636.460000000006</v>
          </cell>
        </row>
        <row r="18884">
          <cell r="A18884" t="str">
            <v>EFCO</v>
          </cell>
          <cell r="B18884" t="str">
            <v>620-99999-002-0001</v>
          </cell>
          <cell r="J18884">
            <v>23382.06</v>
          </cell>
        </row>
        <row r="18885">
          <cell r="A18885" t="str">
            <v>EFCO</v>
          </cell>
          <cell r="B18885" t="str">
            <v>620-99999-002-0002</v>
          </cell>
          <cell r="J18885">
            <v>25000.639999999999</v>
          </cell>
        </row>
        <row r="18886">
          <cell r="A18886" t="str">
            <v>EFCO</v>
          </cell>
          <cell r="B18886" t="str">
            <v>620-99999-002-0003</v>
          </cell>
          <cell r="J18886">
            <v>13140.25</v>
          </cell>
        </row>
        <row r="18887">
          <cell r="A18887" t="str">
            <v>EFCO</v>
          </cell>
          <cell r="B18887" t="str">
            <v>620-99999-002-0004</v>
          </cell>
          <cell r="J18887">
            <v>9113.51</v>
          </cell>
        </row>
        <row r="18888">
          <cell r="A18888" t="str">
            <v>EFCO</v>
          </cell>
          <cell r="B18888" t="str">
            <v>620-99999-061-0000</v>
          </cell>
          <cell r="J18888">
            <v>-9527.83</v>
          </cell>
        </row>
        <row r="18889">
          <cell r="A18889" t="str">
            <v>EFCO</v>
          </cell>
          <cell r="B18889" t="str">
            <v>630-00000-000-0000</v>
          </cell>
          <cell r="J18889">
            <v>82924.81</v>
          </cell>
        </row>
        <row r="18890">
          <cell r="A18890" t="str">
            <v>EFCO</v>
          </cell>
          <cell r="B18890" t="str">
            <v>630-99999-000-0000</v>
          </cell>
          <cell r="J18890">
            <v>82924.81</v>
          </cell>
        </row>
        <row r="18891">
          <cell r="A18891" t="str">
            <v>EFCO</v>
          </cell>
          <cell r="B18891" t="str">
            <v>630-99999-001-0000</v>
          </cell>
          <cell r="J18891">
            <v>67911.179999999993</v>
          </cell>
        </row>
        <row r="18892">
          <cell r="A18892" t="str">
            <v>EFCO</v>
          </cell>
          <cell r="B18892" t="str">
            <v>630-99999-001-0001</v>
          </cell>
          <cell r="J18892">
            <v>53909.599999999999</v>
          </cell>
        </row>
        <row r="18893">
          <cell r="A18893" t="str">
            <v>EFCO</v>
          </cell>
          <cell r="B18893" t="str">
            <v>630-99999-001-0002</v>
          </cell>
          <cell r="J18893">
            <v>2309.58</v>
          </cell>
        </row>
        <row r="18894">
          <cell r="A18894" t="str">
            <v>EFCO</v>
          </cell>
          <cell r="B18894" t="str">
            <v>630-99999-001-0009</v>
          </cell>
          <cell r="J18894">
            <v>3160</v>
          </cell>
        </row>
        <row r="18895">
          <cell r="A18895" t="str">
            <v>EFCO</v>
          </cell>
          <cell r="B18895" t="str">
            <v>630-99999-001-0010</v>
          </cell>
          <cell r="J18895">
            <v>1422</v>
          </cell>
        </row>
        <row r="18896">
          <cell r="A18896" t="str">
            <v>EFCO</v>
          </cell>
          <cell r="B18896" t="str">
            <v>630-99999-001-0011</v>
          </cell>
          <cell r="J18896">
            <v>7110</v>
          </cell>
        </row>
        <row r="18897">
          <cell r="A18897" t="str">
            <v>EFCO</v>
          </cell>
          <cell r="B18897" t="str">
            <v>630-99999-002-0000</v>
          </cell>
          <cell r="J18897">
            <v>18204.79</v>
          </cell>
        </row>
        <row r="18898">
          <cell r="A18898" t="str">
            <v>EFCO</v>
          </cell>
          <cell r="B18898" t="str">
            <v>630-99999-002-0001</v>
          </cell>
          <cell r="J18898">
            <v>7831.47</v>
          </cell>
        </row>
        <row r="18899">
          <cell r="A18899" t="str">
            <v>EFCO</v>
          </cell>
          <cell r="B18899" t="str">
            <v>630-99999-002-0002</v>
          </cell>
          <cell r="J18899">
            <v>5136.2299999999996</v>
          </cell>
        </row>
        <row r="18900">
          <cell r="A18900" t="str">
            <v>EFCO</v>
          </cell>
          <cell r="B18900" t="str">
            <v>630-99999-002-0003</v>
          </cell>
          <cell r="J18900">
            <v>3199.75</v>
          </cell>
        </row>
        <row r="18901">
          <cell r="A18901" t="str">
            <v>EFCO</v>
          </cell>
          <cell r="B18901" t="str">
            <v>630-99999-002-0004</v>
          </cell>
          <cell r="J18901">
            <v>2037.34</v>
          </cell>
        </row>
        <row r="18902">
          <cell r="A18902" t="str">
            <v>EFCO</v>
          </cell>
          <cell r="B18902" t="str">
            <v>630-99999-061-0000</v>
          </cell>
          <cell r="J18902">
            <v>-3191.16</v>
          </cell>
        </row>
        <row r="18903">
          <cell r="A18903" t="str">
            <v>EFCO</v>
          </cell>
          <cell r="B18903" t="str">
            <v>640-00000-000-0000</v>
          </cell>
          <cell r="J18903">
            <v>138128.57999999999</v>
          </cell>
        </row>
        <row r="18904">
          <cell r="A18904" t="str">
            <v>EFCO</v>
          </cell>
          <cell r="B18904" t="str">
            <v>640-99999-000-0000</v>
          </cell>
          <cell r="J18904">
            <v>138128.57999999999</v>
          </cell>
        </row>
        <row r="18905">
          <cell r="A18905" t="str">
            <v>EFCO</v>
          </cell>
          <cell r="B18905" t="str">
            <v>640-99999-001-0000</v>
          </cell>
          <cell r="J18905">
            <v>113747.66</v>
          </cell>
        </row>
        <row r="18906">
          <cell r="A18906" t="str">
            <v>EFCO</v>
          </cell>
          <cell r="B18906" t="str">
            <v>640-99999-001-0001</v>
          </cell>
          <cell r="J18906">
            <v>75230.78</v>
          </cell>
        </row>
        <row r="18907">
          <cell r="A18907" t="str">
            <v>EFCO</v>
          </cell>
          <cell r="B18907" t="str">
            <v>640-99999-001-0002</v>
          </cell>
          <cell r="J18907">
            <v>10710</v>
          </cell>
        </row>
        <row r="18908">
          <cell r="A18908" t="str">
            <v>EFCO</v>
          </cell>
          <cell r="B18908" t="str">
            <v>640-99999-001-0005</v>
          </cell>
          <cell r="J18908">
            <v>8179.37</v>
          </cell>
        </row>
        <row r="18909">
          <cell r="A18909" t="str">
            <v>EFCO</v>
          </cell>
          <cell r="B18909" t="str">
            <v>640-99999-001-0006</v>
          </cell>
          <cell r="J18909">
            <v>8179.37</v>
          </cell>
        </row>
        <row r="18910">
          <cell r="A18910" t="str">
            <v>EFCO</v>
          </cell>
          <cell r="B18910" t="str">
            <v>640-99999-001-0009</v>
          </cell>
          <cell r="J18910">
            <v>2616.7199999999998</v>
          </cell>
        </row>
        <row r="18911">
          <cell r="A18911" t="str">
            <v>EFCO</v>
          </cell>
          <cell r="B18911" t="str">
            <v>640-99999-001-0010</v>
          </cell>
          <cell r="J18911">
            <v>1471.9</v>
          </cell>
        </row>
        <row r="18912">
          <cell r="A18912" t="str">
            <v>EFCO</v>
          </cell>
          <cell r="B18912" t="str">
            <v>640-99999-001-0011</v>
          </cell>
          <cell r="J18912">
            <v>7359.52</v>
          </cell>
        </row>
        <row r="18913">
          <cell r="A18913" t="str">
            <v>EFCO</v>
          </cell>
          <cell r="B18913" t="str">
            <v>640-99999-002-0000</v>
          </cell>
          <cell r="J18913">
            <v>24380.92</v>
          </cell>
        </row>
        <row r="18914">
          <cell r="A18914" t="str">
            <v>EFCO</v>
          </cell>
          <cell r="B18914" t="str">
            <v>640-99999-002-0001</v>
          </cell>
          <cell r="J18914">
            <v>10054.549999999999</v>
          </cell>
        </row>
        <row r="18915">
          <cell r="A18915" t="str">
            <v>EFCO</v>
          </cell>
          <cell r="B18915" t="str">
            <v>640-99999-002-0002</v>
          </cell>
          <cell r="J18915">
            <v>6738.36</v>
          </cell>
        </row>
        <row r="18916">
          <cell r="A18916" t="str">
            <v>EFCO</v>
          </cell>
          <cell r="B18916" t="str">
            <v>640-99999-002-0003</v>
          </cell>
          <cell r="J18916">
            <v>4175.59</v>
          </cell>
        </row>
        <row r="18917">
          <cell r="A18917" t="str">
            <v>EFCO</v>
          </cell>
          <cell r="B18917" t="str">
            <v>640-99999-002-0004</v>
          </cell>
          <cell r="J18917">
            <v>3412.42</v>
          </cell>
        </row>
        <row r="18918">
          <cell r="A18918" t="str">
            <v>EFCO</v>
          </cell>
          <cell r="B18918" t="str">
            <v>650-00000-000-0000</v>
          </cell>
          <cell r="J18918">
            <v>1114384.17</v>
          </cell>
        </row>
        <row r="18919">
          <cell r="A18919" t="str">
            <v>EFCO</v>
          </cell>
          <cell r="B18919" t="str">
            <v>650-99999-000-0000</v>
          </cell>
          <cell r="J18919">
            <v>1114384.17</v>
          </cell>
        </row>
        <row r="18920">
          <cell r="A18920" t="str">
            <v>EFCO</v>
          </cell>
          <cell r="B18920" t="str">
            <v>650-99999-001-0000</v>
          </cell>
          <cell r="J18920">
            <v>236803.8</v>
          </cell>
        </row>
        <row r="18921">
          <cell r="A18921" t="str">
            <v>EFCO</v>
          </cell>
          <cell r="B18921" t="str">
            <v>650-99999-001-0001</v>
          </cell>
          <cell r="J18921">
            <v>150390.15</v>
          </cell>
        </row>
        <row r="18922">
          <cell r="A18922" t="str">
            <v>EFCO</v>
          </cell>
          <cell r="B18922" t="str">
            <v>650-99999-001-0002</v>
          </cell>
          <cell r="J18922">
            <v>10710</v>
          </cell>
        </row>
        <row r="18923">
          <cell r="A18923" t="str">
            <v>EFCO</v>
          </cell>
          <cell r="B18923" t="str">
            <v>650-99999-001-0005</v>
          </cell>
          <cell r="J18923">
            <v>17729.21</v>
          </cell>
        </row>
        <row r="18924">
          <cell r="A18924" t="str">
            <v>EFCO</v>
          </cell>
          <cell r="B18924" t="str">
            <v>650-99999-001-0006</v>
          </cell>
          <cell r="J18924">
            <v>17729.21</v>
          </cell>
        </row>
        <row r="18925">
          <cell r="A18925" t="str">
            <v>EFCO</v>
          </cell>
          <cell r="B18925" t="str">
            <v>650-99999-001-0009</v>
          </cell>
          <cell r="J18925">
            <v>17651.41</v>
          </cell>
        </row>
        <row r="18926">
          <cell r="A18926" t="str">
            <v>EFCO</v>
          </cell>
          <cell r="B18926" t="str">
            <v>650-99999-001-0010</v>
          </cell>
          <cell r="J18926">
            <v>6707.53</v>
          </cell>
        </row>
        <row r="18927">
          <cell r="A18927" t="str">
            <v>EFCO</v>
          </cell>
          <cell r="B18927" t="str">
            <v>650-99999-001-0011</v>
          </cell>
          <cell r="J18927">
            <v>15886.29</v>
          </cell>
        </row>
        <row r="18928">
          <cell r="A18928" t="str">
            <v>EFCO</v>
          </cell>
          <cell r="B18928" t="str">
            <v>650-99999-002-0000</v>
          </cell>
          <cell r="J18928">
            <v>45131.8</v>
          </cell>
        </row>
        <row r="18929">
          <cell r="A18929" t="str">
            <v>EFCO</v>
          </cell>
          <cell r="B18929" t="str">
            <v>650-99999-002-0001</v>
          </cell>
          <cell r="J18929">
            <v>16086.28</v>
          </cell>
        </row>
        <row r="18930">
          <cell r="A18930" t="str">
            <v>EFCO</v>
          </cell>
          <cell r="B18930" t="str">
            <v>650-99999-002-0002</v>
          </cell>
          <cell r="J18930">
            <v>14382.18</v>
          </cell>
        </row>
        <row r="18931">
          <cell r="A18931" t="str">
            <v>EFCO</v>
          </cell>
          <cell r="B18931" t="str">
            <v>650-99999-002-0003</v>
          </cell>
          <cell r="J18931">
            <v>7559.22</v>
          </cell>
        </row>
        <row r="18932">
          <cell r="A18932" t="str">
            <v>EFCO</v>
          </cell>
          <cell r="B18932" t="str">
            <v>650-99999-002-0004</v>
          </cell>
          <cell r="J18932">
            <v>7104.12</v>
          </cell>
        </row>
        <row r="18933">
          <cell r="A18933" t="str">
            <v>EFCO</v>
          </cell>
          <cell r="B18933" t="str">
            <v>650-99999-010-0000</v>
          </cell>
          <cell r="J18933">
            <v>412500</v>
          </cell>
        </row>
        <row r="18934">
          <cell r="A18934" t="str">
            <v>EFCO</v>
          </cell>
          <cell r="B18934" t="str">
            <v>650-99999-010-0001</v>
          </cell>
          <cell r="J18934">
            <v>412500</v>
          </cell>
        </row>
        <row r="18935">
          <cell r="A18935" t="str">
            <v>EFCO</v>
          </cell>
          <cell r="B18935" t="str">
            <v>650-99999-012-0000</v>
          </cell>
          <cell r="J18935">
            <v>32004.32</v>
          </cell>
        </row>
        <row r="18936">
          <cell r="A18936" t="str">
            <v>EFCO</v>
          </cell>
          <cell r="B18936" t="str">
            <v>650-99999-012-0001</v>
          </cell>
          <cell r="J18936">
            <v>11802.6</v>
          </cell>
        </row>
        <row r="18937">
          <cell r="A18937" t="str">
            <v>EFCO</v>
          </cell>
          <cell r="B18937" t="str">
            <v>650-99999-012-0002</v>
          </cell>
          <cell r="J18937">
            <v>7551.72</v>
          </cell>
        </row>
        <row r="18938">
          <cell r="A18938" t="str">
            <v>EFCO</v>
          </cell>
          <cell r="B18938" t="str">
            <v>650-99999-012-0005</v>
          </cell>
          <cell r="J18938">
            <v>12650</v>
          </cell>
        </row>
        <row r="18939">
          <cell r="A18939" t="str">
            <v>EFCO</v>
          </cell>
          <cell r="B18939" t="str">
            <v>650-99999-013-0000</v>
          </cell>
          <cell r="J18939">
            <v>299895.89</v>
          </cell>
        </row>
        <row r="18940">
          <cell r="A18940" t="str">
            <v>EFCO</v>
          </cell>
          <cell r="B18940" t="str">
            <v>650-99999-013-0001</v>
          </cell>
          <cell r="J18940">
            <v>276342.01</v>
          </cell>
        </row>
        <row r="18941">
          <cell r="A18941" t="str">
            <v>EFCO</v>
          </cell>
          <cell r="B18941" t="str">
            <v>650-99999-013-0002</v>
          </cell>
          <cell r="J18941">
            <v>23553.88</v>
          </cell>
        </row>
        <row r="18942">
          <cell r="A18942" t="str">
            <v>EFCO</v>
          </cell>
          <cell r="B18942" t="str">
            <v>650-99999-022-0000</v>
          </cell>
          <cell r="J18942">
            <v>559</v>
          </cell>
        </row>
        <row r="18943">
          <cell r="A18943" t="str">
            <v>EFCO</v>
          </cell>
          <cell r="B18943" t="str">
            <v>650-99999-022-0002</v>
          </cell>
          <cell r="J18943">
            <v>555</v>
          </cell>
        </row>
        <row r="18944">
          <cell r="A18944" t="str">
            <v>EFCO</v>
          </cell>
          <cell r="B18944" t="str">
            <v>650-99999-022-0003</v>
          </cell>
          <cell r="J18944">
            <v>4</v>
          </cell>
        </row>
        <row r="18945">
          <cell r="A18945" t="str">
            <v>EFCO</v>
          </cell>
          <cell r="B18945" t="str">
            <v>650-99999-023-0000</v>
          </cell>
          <cell r="J18945">
            <v>74163</v>
          </cell>
        </row>
        <row r="18946">
          <cell r="A18946" t="str">
            <v>EFCO</v>
          </cell>
          <cell r="B18946" t="str">
            <v>650-99999-025-0000</v>
          </cell>
          <cell r="J18946">
            <v>12461.2</v>
          </cell>
        </row>
        <row r="18947">
          <cell r="A18947" t="str">
            <v>EFCO</v>
          </cell>
          <cell r="B18947" t="str">
            <v>650-99999-025-0001</v>
          </cell>
          <cell r="J18947">
            <v>12461.2</v>
          </cell>
        </row>
        <row r="18948">
          <cell r="A18948" t="str">
            <v>EFCO</v>
          </cell>
          <cell r="B18948" t="str">
            <v>650-99999-046-0000</v>
          </cell>
          <cell r="J18948">
            <v>865.16</v>
          </cell>
        </row>
        <row r="18949">
          <cell r="A18949" t="str">
            <v>EFCO</v>
          </cell>
          <cell r="B18949" t="str">
            <v>660-00000-000-0000</v>
          </cell>
          <cell r="J18949">
            <v>80110.960000000006</v>
          </cell>
        </row>
        <row r="18950">
          <cell r="A18950" t="str">
            <v>EFCO</v>
          </cell>
          <cell r="B18950" t="str">
            <v>660-99999-000-0000</v>
          </cell>
          <cell r="J18950">
            <v>80110.960000000006</v>
          </cell>
        </row>
        <row r="18951">
          <cell r="A18951" t="str">
            <v>EFCO</v>
          </cell>
          <cell r="B18951" t="str">
            <v>660-99999-034-0000</v>
          </cell>
          <cell r="J18951">
            <v>80110.960000000006</v>
          </cell>
        </row>
        <row r="18952">
          <cell r="A18952" t="str">
            <v>EFCO</v>
          </cell>
          <cell r="B18952" t="str">
            <v>660-99999-034-0002</v>
          </cell>
          <cell r="J18952">
            <v>80110.960000000006</v>
          </cell>
        </row>
        <row r="18953">
          <cell r="A18953" t="str">
            <v>EFCO</v>
          </cell>
          <cell r="B18953" t="str">
            <v>710-00000-000-0000</v>
          </cell>
          <cell r="J18953">
            <v>5540.93</v>
          </cell>
        </row>
        <row r="18954">
          <cell r="A18954" t="str">
            <v>EFCO</v>
          </cell>
          <cell r="B18954" t="str">
            <v>710-99999-000-0000</v>
          </cell>
          <cell r="J18954">
            <v>5540.93</v>
          </cell>
        </row>
        <row r="18955">
          <cell r="A18955" t="str">
            <v>EFCO</v>
          </cell>
          <cell r="B18955" t="str">
            <v>710-99999-002-0000</v>
          </cell>
          <cell r="J18955">
            <v>5540.93</v>
          </cell>
        </row>
        <row r="18956">
          <cell r="A18956" t="str">
            <v>EFCO</v>
          </cell>
          <cell r="B18956" t="str">
            <v>710-99999-002-0001</v>
          </cell>
          <cell r="J18956">
            <v>5540.93</v>
          </cell>
        </row>
        <row r="18957">
          <cell r="A18957" t="str">
            <v>EFCO</v>
          </cell>
          <cell r="J18957">
            <v>0</v>
          </cell>
        </row>
        <row r="18958">
          <cell r="A18958" t="str">
            <v>EFCO</v>
          </cell>
          <cell r="J18958">
            <v>0</v>
          </cell>
        </row>
        <row r="18959">
          <cell r="A18959" t="str">
            <v>EFCO</v>
          </cell>
          <cell r="J18959">
            <v>0</v>
          </cell>
        </row>
        <row r="18960">
          <cell r="A18960" t="str">
            <v>EFCO</v>
          </cell>
          <cell r="J18960">
            <v>0</v>
          </cell>
        </row>
        <row r="18961">
          <cell r="A18961" t="str">
            <v>EFCO</v>
          </cell>
          <cell r="J18961">
            <v>0</v>
          </cell>
        </row>
        <row r="18962">
          <cell r="A18962" t="str">
            <v>EFCO</v>
          </cell>
          <cell r="J18962">
            <v>0</v>
          </cell>
        </row>
        <row r="18963">
          <cell r="A18963" t="str">
            <v>EFCO</v>
          </cell>
          <cell r="J18963">
            <v>0</v>
          </cell>
        </row>
        <row r="18964">
          <cell r="A18964" t="str">
            <v>EFCO</v>
          </cell>
          <cell r="J18964">
            <v>0</v>
          </cell>
        </row>
        <row r="18965">
          <cell r="A18965" t="str">
            <v>EFCO</v>
          </cell>
          <cell r="J18965">
            <v>0</v>
          </cell>
        </row>
        <row r="18966">
          <cell r="A18966" t="str">
            <v>EFCO</v>
          </cell>
          <cell r="J18966">
            <v>0</v>
          </cell>
        </row>
        <row r="18967">
          <cell r="A18967" t="str">
            <v>EFCO</v>
          </cell>
          <cell r="J18967">
            <v>0</v>
          </cell>
        </row>
        <row r="18968">
          <cell r="A18968" t="str">
            <v>EFCO</v>
          </cell>
          <cell r="J18968">
            <v>0</v>
          </cell>
        </row>
        <row r="18969">
          <cell r="A18969" t="str">
            <v>EFCO</v>
          </cell>
          <cell r="J18969">
            <v>0</v>
          </cell>
        </row>
        <row r="18970">
          <cell r="A18970" t="str">
            <v>EFCO</v>
          </cell>
          <cell r="J18970">
            <v>0</v>
          </cell>
        </row>
        <row r="18971">
          <cell r="A18971" t="str">
            <v>EFCO</v>
          </cell>
          <cell r="J18971">
            <v>0</v>
          </cell>
        </row>
        <row r="18972">
          <cell r="A18972" t="str">
            <v>EFCO</v>
          </cell>
          <cell r="J18972">
            <v>0</v>
          </cell>
        </row>
        <row r="18973">
          <cell r="A18973" t="str">
            <v>EFCO</v>
          </cell>
          <cell r="J18973">
            <v>0</v>
          </cell>
        </row>
        <row r="18974">
          <cell r="A18974" t="str">
            <v>EFCO</v>
          </cell>
          <cell r="J18974">
            <v>0</v>
          </cell>
        </row>
        <row r="18975">
          <cell r="A18975" t="str">
            <v>EFCO</v>
          </cell>
          <cell r="J18975">
            <v>0</v>
          </cell>
        </row>
        <row r="18976">
          <cell r="A18976" t="str">
            <v>EFCO</v>
          </cell>
          <cell r="J18976">
            <v>0</v>
          </cell>
        </row>
        <row r="18977">
          <cell r="A18977" t="str">
            <v>EFCO</v>
          </cell>
          <cell r="J18977">
            <v>0</v>
          </cell>
        </row>
        <row r="18978">
          <cell r="A18978" t="str">
            <v>EFCO</v>
          </cell>
          <cell r="J18978">
            <v>0</v>
          </cell>
        </row>
        <row r="18979">
          <cell r="A18979" t="str">
            <v>EFCO</v>
          </cell>
          <cell r="J18979">
            <v>0</v>
          </cell>
        </row>
        <row r="18980">
          <cell r="A18980" t="str">
            <v>EFCO</v>
          </cell>
          <cell r="J18980">
            <v>0</v>
          </cell>
        </row>
        <row r="18981">
          <cell r="A18981" t="str">
            <v>EFCO</v>
          </cell>
          <cell r="J18981">
            <v>0</v>
          </cell>
        </row>
        <row r="18982">
          <cell r="A18982" t="str">
            <v>EFCO</v>
          </cell>
          <cell r="J18982">
            <v>0</v>
          </cell>
        </row>
        <row r="18983">
          <cell r="A18983" t="str">
            <v>EFCO</v>
          </cell>
          <cell r="J18983">
            <v>0</v>
          </cell>
        </row>
        <row r="18984">
          <cell r="A18984" t="str">
            <v>EFCO</v>
          </cell>
          <cell r="J18984">
            <v>0</v>
          </cell>
        </row>
        <row r="18985">
          <cell r="A18985" t="str">
            <v>EFCO</v>
          </cell>
          <cell r="J18985">
            <v>0</v>
          </cell>
        </row>
        <row r="18986">
          <cell r="A18986" t="str">
            <v>EFCO</v>
          </cell>
          <cell r="J18986">
            <v>0</v>
          </cell>
        </row>
        <row r="18987">
          <cell r="A18987" t="str">
            <v>EFCO</v>
          </cell>
          <cell r="J18987">
            <v>0</v>
          </cell>
        </row>
        <row r="18988">
          <cell r="A18988" t="str">
            <v>EFCO</v>
          </cell>
          <cell r="J18988">
            <v>0</v>
          </cell>
        </row>
        <row r="18989">
          <cell r="A18989" t="str">
            <v>EFCO</v>
          </cell>
          <cell r="J18989">
            <v>0</v>
          </cell>
        </row>
        <row r="18990">
          <cell r="A18990" t="str">
            <v>EFCO</v>
          </cell>
          <cell r="J18990">
            <v>0</v>
          </cell>
        </row>
        <row r="18991">
          <cell r="A18991" t="str">
            <v>EFCO</v>
          </cell>
          <cell r="J18991">
            <v>0</v>
          </cell>
        </row>
        <row r="18992">
          <cell r="A18992" t="str">
            <v>EFCO</v>
          </cell>
          <cell r="J18992">
            <v>0</v>
          </cell>
        </row>
        <row r="18993">
          <cell r="A18993" t="str">
            <v>EFCO</v>
          </cell>
          <cell r="J18993">
            <v>0</v>
          </cell>
        </row>
        <row r="18994">
          <cell r="A18994" t="str">
            <v>EFCO</v>
          </cell>
          <cell r="J18994">
            <v>0</v>
          </cell>
        </row>
        <row r="18995">
          <cell r="A18995" t="str">
            <v>EFCO</v>
          </cell>
          <cell r="J18995">
            <v>0</v>
          </cell>
        </row>
        <row r="18996">
          <cell r="A18996" t="str">
            <v>EFCO</v>
          </cell>
          <cell r="J18996">
            <v>0</v>
          </cell>
        </row>
        <row r="18997">
          <cell r="A18997" t="str">
            <v>EFCO</v>
          </cell>
          <cell r="J18997">
            <v>0</v>
          </cell>
        </row>
        <row r="18998">
          <cell r="A18998" t="str">
            <v>EFCO</v>
          </cell>
          <cell r="J18998">
            <v>0</v>
          </cell>
        </row>
        <row r="18999">
          <cell r="A18999" t="str">
            <v>EFCO</v>
          </cell>
          <cell r="J18999">
            <v>0</v>
          </cell>
        </row>
        <row r="19000">
          <cell r="A19000" t="str">
            <v>EFCO</v>
          </cell>
          <cell r="J19000">
            <v>0</v>
          </cell>
        </row>
        <row r="19001">
          <cell r="A19001" t="str">
            <v>EFCO</v>
          </cell>
          <cell r="J19001">
            <v>0</v>
          </cell>
        </row>
        <row r="19002">
          <cell r="A19002" t="str">
            <v>EFCO</v>
          </cell>
          <cell r="J19002">
            <v>0</v>
          </cell>
        </row>
        <row r="19003">
          <cell r="A19003" t="str">
            <v>EFCO</v>
          </cell>
          <cell r="J19003">
            <v>0</v>
          </cell>
        </row>
        <row r="19004">
          <cell r="A19004" t="str">
            <v>EFCO</v>
          </cell>
          <cell r="J19004">
            <v>0</v>
          </cell>
        </row>
        <row r="19005">
          <cell r="A19005" t="str">
            <v>EFCO</v>
          </cell>
          <cell r="J19005">
            <v>0</v>
          </cell>
        </row>
        <row r="19006">
          <cell r="A19006" t="str">
            <v>EFCO</v>
          </cell>
          <cell r="J19006">
            <v>0</v>
          </cell>
        </row>
        <row r="19007">
          <cell r="A19007" t="str">
            <v>EFCO</v>
          </cell>
          <cell r="J19007">
            <v>0</v>
          </cell>
        </row>
        <row r="19008">
          <cell r="A19008" t="str">
            <v>EFCO</v>
          </cell>
          <cell r="J19008">
            <v>0</v>
          </cell>
        </row>
        <row r="19009">
          <cell r="A19009" t="str">
            <v>EFCO</v>
          </cell>
          <cell r="J19009">
            <v>0</v>
          </cell>
        </row>
        <row r="19010">
          <cell r="A19010" t="str">
            <v>EFCO</v>
          </cell>
          <cell r="J19010">
            <v>0</v>
          </cell>
        </row>
        <row r="19011">
          <cell r="A19011" t="str">
            <v>EFCO</v>
          </cell>
          <cell r="J19011">
            <v>0</v>
          </cell>
        </row>
        <row r="19012">
          <cell r="A19012" t="str">
            <v>EFCO</v>
          </cell>
          <cell r="J19012">
            <v>0</v>
          </cell>
        </row>
        <row r="19013">
          <cell r="A19013" t="str">
            <v>EFCO</v>
          </cell>
          <cell r="J19013">
            <v>0</v>
          </cell>
        </row>
        <row r="19014">
          <cell r="A19014" t="str">
            <v>EFCO</v>
          </cell>
          <cell r="J19014">
            <v>0</v>
          </cell>
        </row>
        <row r="19015">
          <cell r="A19015" t="str">
            <v>EFCO</v>
          </cell>
          <cell r="J19015">
            <v>0</v>
          </cell>
        </row>
        <row r="19016">
          <cell r="A19016" t="str">
            <v>EFCO</v>
          </cell>
          <cell r="J19016">
            <v>0</v>
          </cell>
        </row>
        <row r="19017">
          <cell r="A19017" t="str">
            <v>EFCO</v>
          </cell>
          <cell r="J19017">
            <v>0</v>
          </cell>
        </row>
        <row r="19018">
          <cell r="A19018" t="str">
            <v>EFCO</v>
          </cell>
          <cell r="J19018">
            <v>0</v>
          </cell>
        </row>
        <row r="19019">
          <cell r="A19019" t="str">
            <v>EFCO</v>
          </cell>
          <cell r="J19019">
            <v>0</v>
          </cell>
        </row>
        <row r="19020">
          <cell r="J19020">
            <v>0</v>
          </cell>
        </row>
        <row r="19021">
          <cell r="J19021">
            <v>0</v>
          </cell>
        </row>
        <row r="19022">
          <cell r="J19022">
            <v>0</v>
          </cell>
        </row>
        <row r="19023">
          <cell r="A19023" t="str">
            <v>PESAZA</v>
          </cell>
          <cell r="B19023" t="str">
            <v>101-00000-000-0000</v>
          </cell>
          <cell r="J19023">
            <v>10054373.810000001</v>
          </cell>
        </row>
        <row r="19024">
          <cell r="A19024" t="str">
            <v>PESAZA</v>
          </cell>
          <cell r="B19024" t="str">
            <v>101-00002-000-0000</v>
          </cell>
          <cell r="J19024">
            <v>9092.17</v>
          </cell>
        </row>
        <row r="19025">
          <cell r="A19025" t="str">
            <v>PESAZA</v>
          </cell>
          <cell r="B19025" t="str">
            <v>101-00002-003-0000</v>
          </cell>
          <cell r="J19025">
            <v>9092.17</v>
          </cell>
        </row>
        <row r="19026">
          <cell r="A19026" t="str">
            <v>PESAZA</v>
          </cell>
          <cell r="B19026" t="str">
            <v>101-00002-003-0014</v>
          </cell>
          <cell r="J19026">
            <v>9092.17</v>
          </cell>
        </row>
        <row r="19027">
          <cell r="A19027" t="str">
            <v>PESAZA</v>
          </cell>
          <cell r="B19027" t="str">
            <v>101-00004-000-0000</v>
          </cell>
          <cell r="J19027">
            <v>9417579.4000000004</v>
          </cell>
        </row>
        <row r="19028">
          <cell r="A19028" t="str">
            <v>PESAZA</v>
          </cell>
          <cell r="B19028" t="str">
            <v>101-00004-004-0000</v>
          </cell>
          <cell r="J19028">
            <v>9417579.4000000004</v>
          </cell>
        </row>
        <row r="19029">
          <cell r="A19029" t="str">
            <v>PESAZA</v>
          </cell>
          <cell r="B19029" t="str">
            <v>101-00004-004-0468</v>
          </cell>
          <cell r="J19029">
            <v>8904000</v>
          </cell>
        </row>
        <row r="19030">
          <cell r="A19030" t="str">
            <v>PESAZA</v>
          </cell>
          <cell r="B19030" t="str">
            <v>101-00004-004-2991</v>
          </cell>
          <cell r="J19030">
            <v>513579.4</v>
          </cell>
        </row>
        <row r="19031">
          <cell r="A19031" t="str">
            <v>PESAZA</v>
          </cell>
          <cell r="B19031" t="str">
            <v>101-00008-000-0000</v>
          </cell>
          <cell r="J19031">
            <v>101722.23</v>
          </cell>
        </row>
        <row r="19032">
          <cell r="A19032" t="str">
            <v>PESAZA</v>
          </cell>
          <cell r="B19032" t="str">
            <v>101-00008-001-0000</v>
          </cell>
          <cell r="J19032">
            <v>122.23</v>
          </cell>
        </row>
        <row r="19033">
          <cell r="A19033" t="str">
            <v>PESAZA</v>
          </cell>
          <cell r="B19033" t="str">
            <v>101-00008-002-0000</v>
          </cell>
          <cell r="J19033">
            <v>5107</v>
          </cell>
        </row>
        <row r="19034">
          <cell r="A19034" t="str">
            <v>PESAZA</v>
          </cell>
          <cell r="B19034" t="str">
            <v>101-00008-007-0000</v>
          </cell>
          <cell r="J19034">
            <v>76422</v>
          </cell>
        </row>
        <row r="19035">
          <cell r="A19035" t="str">
            <v>PESAZA</v>
          </cell>
          <cell r="B19035" t="str">
            <v>101-00008-012-0000</v>
          </cell>
          <cell r="J19035">
            <v>8444</v>
          </cell>
        </row>
        <row r="19036">
          <cell r="A19036" t="str">
            <v>PESAZA</v>
          </cell>
          <cell r="B19036" t="str">
            <v>101-00008-013-0000</v>
          </cell>
          <cell r="J19036">
            <v>11627</v>
          </cell>
        </row>
        <row r="19037">
          <cell r="A19037" t="str">
            <v>PESAZA</v>
          </cell>
          <cell r="B19037" t="str">
            <v>101-00009-000-0000</v>
          </cell>
          <cell r="J19037">
            <v>14</v>
          </cell>
        </row>
        <row r="19038">
          <cell r="A19038" t="str">
            <v>PESAZA</v>
          </cell>
          <cell r="B19038" t="str">
            <v>101-00009-005-0000</v>
          </cell>
          <cell r="J19038">
            <v>14</v>
          </cell>
        </row>
        <row r="19039">
          <cell r="A19039" t="str">
            <v>PESAZA</v>
          </cell>
          <cell r="B19039" t="str">
            <v>101-00010-000-0000</v>
          </cell>
          <cell r="J19039">
            <v>525190.68999999994</v>
          </cell>
        </row>
        <row r="19040">
          <cell r="A19040" t="str">
            <v>PESAZA</v>
          </cell>
          <cell r="B19040" t="str">
            <v>101-00010-001-0000</v>
          </cell>
          <cell r="J19040">
            <v>525190.68999999994</v>
          </cell>
        </row>
        <row r="19041">
          <cell r="A19041" t="str">
            <v>PESAZA</v>
          </cell>
          <cell r="B19041" t="str">
            <v>101-00011-000-0000</v>
          </cell>
          <cell r="J19041">
            <v>775.32</v>
          </cell>
        </row>
        <row r="19042">
          <cell r="A19042" t="str">
            <v>PESAZA</v>
          </cell>
          <cell r="B19042" t="str">
            <v>101-00011-001-0000</v>
          </cell>
          <cell r="J19042">
            <v>775.32</v>
          </cell>
        </row>
        <row r="19043">
          <cell r="A19043" t="str">
            <v>PESAZA</v>
          </cell>
          <cell r="B19043" t="str">
            <v>102-00000-000-0000</v>
          </cell>
          <cell r="J19043">
            <v>6896625</v>
          </cell>
        </row>
        <row r="19044">
          <cell r="A19044" t="str">
            <v>PESAZA</v>
          </cell>
          <cell r="B19044" t="str">
            <v>102-00003-001-0000</v>
          </cell>
          <cell r="J19044">
            <v>1636500</v>
          </cell>
        </row>
        <row r="19045">
          <cell r="A19045" t="str">
            <v>PESAZA</v>
          </cell>
          <cell r="B19045" t="str">
            <v>102-00003-002-0000</v>
          </cell>
          <cell r="J19045">
            <v>-1636500</v>
          </cell>
        </row>
        <row r="19046">
          <cell r="A19046" t="str">
            <v>PESAZA</v>
          </cell>
          <cell r="B19046" t="str">
            <v>102-00008-000-0000</v>
          </cell>
          <cell r="J19046">
            <v>2921625</v>
          </cell>
        </row>
        <row r="19047">
          <cell r="A19047" t="str">
            <v>PESAZA</v>
          </cell>
          <cell r="B19047" t="str">
            <v>102-00008-001-0000</v>
          </cell>
          <cell r="J19047">
            <v>15900000</v>
          </cell>
        </row>
        <row r="19048">
          <cell r="A19048" t="str">
            <v>PESAZA</v>
          </cell>
          <cell r="B19048" t="str">
            <v>102-00008-002-0000</v>
          </cell>
          <cell r="J19048">
            <v>-12978375</v>
          </cell>
        </row>
        <row r="19049">
          <cell r="A19049" t="str">
            <v>PESAZA</v>
          </cell>
          <cell r="B19049" t="str">
            <v>102-00009-000-0000</v>
          </cell>
          <cell r="J19049">
            <v>3975000</v>
          </cell>
        </row>
        <row r="19050">
          <cell r="A19050" t="str">
            <v>PESAZA</v>
          </cell>
          <cell r="B19050" t="str">
            <v>102-00009-001-0000</v>
          </cell>
          <cell r="J19050">
            <v>3975000</v>
          </cell>
        </row>
        <row r="19051">
          <cell r="A19051" t="str">
            <v>PESAZA</v>
          </cell>
          <cell r="B19051" t="str">
            <v>103-00000-000-0000</v>
          </cell>
          <cell r="J19051">
            <v>1010930.66</v>
          </cell>
        </row>
        <row r="19052">
          <cell r="A19052" t="str">
            <v>PESAZA</v>
          </cell>
          <cell r="B19052" t="str">
            <v>103-00001-000-0000</v>
          </cell>
          <cell r="J19052">
            <v>531609.38</v>
          </cell>
        </row>
        <row r="19053">
          <cell r="A19053" t="str">
            <v>PESAZA</v>
          </cell>
          <cell r="B19053" t="str">
            <v>103-00001-001-0000</v>
          </cell>
          <cell r="J19053">
            <v>862068.97</v>
          </cell>
        </row>
        <row r="19054">
          <cell r="A19054" t="str">
            <v>PESAZA</v>
          </cell>
          <cell r="B19054" t="str">
            <v>103-00001-002-0000</v>
          </cell>
          <cell r="J19054">
            <v>-330459.59000000003</v>
          </cell>
        </row>
        <row r="19055">
          <cell r="A19055" t="str">
            <v>PESAZA</v>
          </cell>
          <cell r="B19055" t="str">
            <v>103-00002-000-0000</v>
          </cell>
          <cell r="J19055">
            <v>479321.28</v>
          </cell>
        </row>
        <row r="19056">
          <cell r="A19056" t="str">
            <v>PESAZA</v>
          </cell>
          <cell r="B19056" t="str">
            <v>103-00002-002-0000</v>
          </cell>
          <cell r="J19056">
            <v>479321.28</v>
          </cell>
        </row>
        <row r="19057">
          <cell r="A19057" t="str">
            <v>PESAZA</v>
          </cell>
          <cell r="B19057" t="str">
            <v>201-00000-000-0000</v>
          </cell>
          <cell r="J19057">
            <v>-5122985.04</v>
          </cell>
        </row>
        <row r="19058">
          <cell r="A19058" t="str">
            <v>PESAZA</v>
          </cell>
          <cell r="B19058" t="str">
            <v>201-00002-000-0000</v>
          </cell>
          <cell r="J19058">
            <v>-3820325.53</v>
          </cell>
        </row>
        <row r="19059">
          <cell r="A19059" t="str">
            <v>PESAZA</v>
          </cell>
          <cell r="B19059" t="str">
            <v>201-00002-001-0000</v>
          </cell>
          <cell r="J19059">
            <v>-3809521.29</v>
          </cell>
        </row>
        <row r="19060">
          <cell r="A19060" t="str">
            <v>PESAZA</v>
          </cell>
          <cell r="B19060" t="str">
            <v>201-00002-001-0813</v>
          </cell>
          <cell r="J19060">
            <v>-3799000</v>
          </cell>
        </row>
        <row r="19061">
          <cell r="A19061" t="str">
            <v>PESAZA</v>
          </cell>
          <cell r="B19061" t="str">
            <v>201-00002-001-2918</v>
          </cell>
          <cell r="J19061">
            <v>-10521.29</v>
          </cell>
        </row>
        <row r="19062">
          <cell r="A19062" t="str">
            <v>PESAZA</v>
          </cell>
          <cell r="B19062" t="str">
            <v>201-00002-002-0000</v>
          </cell>
          <cell r="J19062">
            <v>-10804.24</v>
          </cell>
        </row>
        <row r="19063">
          <cell r="A19063" t="str">
            <v>PESAZA</v>
          </cell>
          <cell r="B19063" t="str">
            <v>201-00002-002-0306</v>
          </cell>
          <cell r="J19063">
            <v>0</v>
          </cell>
        </row>
        <row r="19064">
          <cell r="A19064" t="str">
            <v>PESAZA</v>
          </cell>
          <cell r="B19064" t="str">
            <v>201-00002-002-1968</v>
          </cell>
          <cell r="J19064">
            <v>-10804.24</v>
          </cell>
        </row>
        <row r="19065">
          <cell r="A19065" t="str">
            <v>PESAZA</v>
          </cell>
          <cell r="B19065" t="str">
            <v>201-00002-002-2210</v>
          </cell>
          <cell r="J19065">
            <v>0</v>
          </cell>
        </row>
        <row r="19066">
          <cell r="A19066" t="str">
            <v>PESAZA</v>
          </cell>
          <cell r="B19066" t="str">
            <v>201-00002-002-3122</v>
          </cell>
          <cell r="J19066">
            <v>0</v>
          </cell>
        </row>
        <row r="19067">
          <cell r="A19067" t="str">
            <v>PESAZA</v>
          </cell>
          <cell r="B19067" t="str">
            <v>201-00008-000-0000</v>
          </cell>
          <cell r="J19067">
            <v>-3683</v>
          </cell>
        </row>
        <row r="19068">
          <cell r="A19068" t="str">
            <v>PESAZA</v>
          </cell>
          <cell r="B19068" t="str">
            <v>201-00009-000-0000</v>
          </cell>
          <cell r="J19068">
            <v>-1298976.51</v>
          </cell>
        </row>
        <row r="19069">
          <cell r="A19069" t="str">
            <v>PESAZA</v>
          </cell>
          <cell r="B19069" t="str">
            <v>201-00009-001-0000</v>
          </cell>
          <cell r="J19069">
            <v>-1298976.51</v>
          </cell>
        </row>
        <row r="19070">
          <cell r="A19070" t="str">
            <v>PESAZA</v>
          </cell>
          <cell r="B19070" t="str">
            <v>202-00000-000-0000</v>
          </cell>
          <cell r="J19070">
            <v>-1610000</v>
          </cell>
        </row>
        <row r="19071">
          <cell r="A19071" t="str">
            <v>PESAZA</v>
          </cell>
          <cell r="B19071" t="str">
            <v>202-00001-000-0000</v>
          </cell>
          <cell r="J19071">
            <v>-1610000</v>
          </cell>
        </row>
        <row r="19072">
          <cell r="A19072" t="str">
            <v>PESAZA</v>
          </cell>
          <cell r="B19072" t="str">
            <v>202-00001-009-0000</v>
          </cell>
          <cell r="J19072">
            <v>-1610000</v>
          </cell>
        </row>
        <row r="19073">
          <cell r="A19073" t="str">
            <v>PESAZA</v>
          </cell>
          <cell r="B19073" t="str">
            <v>202-00001-009-0468</v>
          </cell>
          <cell r="J19073">
            <v>-10000</v>
          </cell>
        </row>
        <row r="19074">
          <cell r="A19074" t="str">
            <v>PESAZA</v>
          </cell>
          <cell r="B19074" t="str">
            <v>202-00001-009-2303</v>
          </cell>
          <cell r="J19074">
            <v>-533332</v>
          </cell>
        </row>
        <row r="19075">
          <cell r="A19075" t="str">
            <v>PESAZA</v>
          </cell>
          <cell r="B19075" t="str">
            <v>202-00001-009-2304</v>
          </cell>
          <cell r="J19075">
            <v>-533334</v>
          </cell>
        </row>
        <row r="19076">
          <cell r="A19076" t="str">
            <v>PESAZA</v>
          </cell>
          <cell r="B19076" t="str">
            <v>202-00001-009-2305</v>
          </cell>
          <cell r="J19076">
            <v>-533334</v>
          </cell>
        </row>
        <row r="19077">
          <cell r="A19077" t="str">
            <v>PESAZA</v>
          </cell>
          <cell r="B19077" t="str">
            <v>301-00000-000-0000</v>
          </cell>
          <cell r="J19077">
            <v>-11321906.34</v>
          </cell>
        </row>
        <row r="19078">
          <cell r="A19078" t="str">
            <v>PESAZA</v>
          </cell>
          <cell r="B19078" t="str">
            <v>301-00001-000-0000</v>
          </cell>
          <cell r="J19078">
            <v>-10400498.130000001</v>
          </cell>
        </row>
        <row r="19079">
          <cell r="A19079" t="str">
            <v>PESAZA</v>
          </cell>
          <cell r="B19079" t="str">
            <v>301-00001-001-0000</v>
          </cell>
          <cell r="J19079">
            <v>-50000</v>
          </cell>
        </row>
        <row r="19080">
          <cell r="A19080" t="str">
            <v>PESAZA</v>
          </cell>
          <cell r="B19080" t="str">
            <v>301-00001-002-0000</v>
          </cell>
          <cell r="J19080">
            <v>-10350498.130000001</v>
          </cell>
        </row>
        <row r="19081">
          <cell r="A19081" t="str">
            <v>PESAZA</v>
          </cell>
          <cell r="B19081" t="str">
            <v>301-00004-000-0000</v>
          </cell>
          <cell r="J19081">
            <v>-921408.21</v>
          </cell>
        </row>
        <row r="19082">
          <cell r="A19082" t="str">
            <v>PESAZA</v>
          </cell>
          <cell r="B19082" t="str">
            <v>301-00004-003-0000</v>
          </cell>
          <cell r="J19082">
            <v>706253.93</v>
          </cell>
        </row>
        <row r="19083">
          <cell r="A19083" t="str">
            <v>PESAZA</v>
          </cell>
          <cell r="B19083" t="str">
            <v>301-00004-004-0000</v>
          </cell>
          <cell r="J19083">
            <v>9164639.0500000007</v>
          </cell>
        </row>
        <row r="19084">
          <cell r="A19084" t="str">
            <v>PESAZA</v>
          </cell>
          <cell r="B19084" t="str">
            <v>301-00004-005-0000</v>
          </cell>
          <cell r="J19084">
            <v>-10226470.869999999</v>
          </cell>
        </row>
        <row r="19085">
          <cell r="A19085" t="str">
            <v>PESAZA</v>
          </cell>
          <cell r="B19085" t="str">
            <v>301-00004-006-0000</v>
          </cell>
          <cell r="J19085">
            <v>-1334154.1299999999</v>
          </cell>
        </row>
        <row r="19086">
          <cell r="A19086" t="str">
            <v>PESAZA</v>
          </cell>
          <cell r="B19086" t="str">
            <v>301-00004-007-0000</v>
          </cell>
          <cell r="J19086">
            <v>-297033.28000000003</v>
          </cell>
        </row>
        <row r="19087">
          <cell r="A19087" t="str">
            <v>PESAZA</v>
          </cell>
          <cell r="B19087" t="str">
            <v>301-00004-008-0000</v>
          </cell>
          <cell r="J19087">
            <v>-180390.65</v>
          </cell>
        </row>
        <row r="19088">
          <cell r="A19088" t="str">
            <v>PESAZA</v>
          </cell>
          <cell r="B19088" t="str">
            <v>301-00004-009-0000</v>
          </cell>
          <cell r="J19088">
            <v>-417643.47</v>
          </cell>
        </row>
        <row r="19089">
          <cell r="A19089" t="str">
            <v>PESAZA</v>
          </cell>
          <cell r="B19089" t="str">
            <v>301-00004-010-0000</v>
          </cell>
          <cell r="J19089">
            <v>-72821.31</v>
          </cell>
        </row>
        <row r="19090">
          <cell r="A19090" t="str">
            <v>PESAZA</v>
          </cell>
          <cell r="B19090" t="str">
            <v>301-00004-011-0000</v>
          </cell>
          <cell r="J19090">
            <v>1160155.28</v>
          </cell>
        </row>
        <row r="19091">
          <cell r="A19091" t="str">
            <v>PESAZA</v>
          </cell>
          <cell r="B19091" t="str">
            <v>301-00004-012-0000</v>
          </cell>
          <cell r="J19091">
            <v>-30980.06</v>
          </cell>
        </row>
        <row r="19092">
          <cell r="A19092" t="str">
            <v>PESAZA</v>
          </cell>
          <cell r="B19092" t="str">
            <v>301-00004-013-0000</v>
          </cell>
          <cell r="J19092">
            <v>35319.68</v>
          </cell>
        </row>
        <row r="19093">
          <cell r="A19093" t="str">
            <v>PESAZA</v>
          </cell>
          <cell r="B19093" t="str">
            <v>301-00004-014-0000</v>
          </cell>
          <cell r="J19093">
            <v>-48569.75</v>
          </cell>
        </row>
        <row r="19094">
          <cell r="A19094" t="str">
            <v>PESAZA</v>
          </cell>
          <cell r="B19094" t="str">
            <v>301-00004-015-0000</v>
          </cell>
          <cell r="J19094">
            <v>657438.62</v>
          </cell>
        </row>
        <row r="19095">
          <cell r="A19095" t="str">
            <v>PESAZA</v>
          </cell>
          <cell r="B19095" t="str">
            <v>301-00004-016-0000</v>
          </cell>
          <cell r="J19095">
            <v>665899.21</v>
          </cell>
        </row>
        <row r="19096">
          <cell r="A19096" t="str">
            <v>PESAZA</v>
          </cell>
          <cell r="B19096" t="str">
            <v>301-00004-017-0000</v>
          </cell>
          <cell r="J19096">
            <v>-703050.46</v>
          </cell>
        </row>
        <row r="19097">
          <cell r="A19097" t="str">
            <v>PESAZA</v>
          </cell>
          <cell r="B19097" t="str">
            <v>411-00000-000-0000</v>
          </cell>
          <cell r="J19097">
            <v>-600000</v>
          </cell>
        </row>
        <row r="19098">
          <cell r="A19098" t="str">
            <v>PESAZA</v>
          </cell>
          <cell r="B19098" t="str">
            <v>411-25777-000-0000</v>
          </cell>
          <cell r="J19098">
            <v>-150000</v>
          </cell>
        </row>
        <row r="19099">
          <cell r="A19099" t="str">
            <v>PESAZA</v>
          </cell>
          <cell r="B19099" t="str">
            <v>411-25777-004-0000</v>
          </cell>
          <cell r="J19099">
            <v>-150000</v>
          </cell>
        </row>
        <row r="19100">
          <cell r="A19100" t="str">
            <v>PESAZA</v>
          </cell>
          <cell r="B19100" t="str">
            <v>411-25777-004-0468</v>
          </cell>
          <cell r="J19100">
            <v>-150000</v>
          </cell>
        </row>
        <row r="19101">
          <cell r="A19101" t="str">
            <v>PESAZA</v>
          </cell>
          <cell r="B19101" t="str">
            <v>411-26777-000-0000</v>
          </cell>
          <cell r="J19101">
            <v>-450000</v>
          </cell>
        </row>
        <row r="19102">
          <cell r="A19102" t="str">
            <v>PESAZA</v>
          </cell>
          <cell r="B19102" t="str">
            <v>411-26777-004-0000</v>
          </cell>
          <cell r="J19102">
            <v>-450000</v>
          </cell>
        </row>
        <row r="19103">
          <cell r="A19103" t="str">
            <v>PESAZA</v>
          </cell>
          <cell r="B19103" t="str">
            <v>411-26777-004-0468</v>
          </cell>
          <cell r="J19103">
            <v>-450000</v>
          </cell>
        </row>
        <row r="19104">
          <cell r="A19104" t="str">
            <v>PESAZA</v>
          </cell>
          <cell r="B19104" t="str">
            <v>720-00000-000-0000</v>
          </cell>
          <cell r="J19104">
            <v>-748.25</v>
          </cell>
        </row>
        <row r="19105">
          <cell r="A19105" t="str">
            <v>PESAZA</v>
          </cell>
          <cell r="B19105" t="str">
            <v>720-99999-000-0000</v>
          </cell>
          <cell r="J19105">
            <v>-748.25</v>
          </cell>
        </row>
        <row r="19106">
          <cell r="A19106" t="str">
            <v>PESAZA</v>
          </cell>
          <cell r="B19106" t="str">
            <v>720-99999-001-0000</v>
          </cell>
          <cell r="J19106">
            <v>-748.25</v>
          </cell>
        </row>
        <row r="19107">
          <cell r="A19107" t="str">
            <v>PESAZA</v>
          </cell>
          <cell r="B19107" t="str">
            <v>720-99999-001-0001</v>
          </cell>
          <cell r="J19107">
            <v>-748.25</v>
          </cell>
        </row>
        <row r="19108">
          <cell r="A19108" t="str">
            <v>PESAZA</v>
          </cell>
          <cell r="B19108" t="str">
            <v>650-00000-000-0000</v>
          </cell>
          <cell r="J19108">
            <v>127359.56</v>
          </cell>
        </row>
        <row r="19109">
          <cell r="A19109" t="str">
            <v>PESAZA</v>
          </cell>
          <cell r="B19109" t="str">
            <v>650-99999-000-0000</v>
          </cell>
          <cell r="J19109">
            <v>127359.56</v>
          </cell>
        </row>
        <row r="19110">
          <cell r="A19110" t="str">
            <v>PESAZA</v>
          </cell>
          <cell r="B19110" t="str">
            <v>650-99999-012-0000</v>
          </cell>
          <cell r="J19110">
            <v>32542.14</v>
          </cell>
        </row>
        <row r="19111">
          <cell r="A19111" t="str">
            <v>PESAZA</v>
          </cell>
          <cell r="B19111" t="str">
            <v>650-99999-012-0001</v>
          </cell>
          <cell r="J19111">
            <v>1642.24</v>
          </cell>
        </row>
        <row r="19112">
          <cell r="A19112" t="str">
            <v>PESAZA</v>
          </cell>
          <cell r="B19112" t="str">
            <v>650-99999-012-0003</v>
          </cell>
          <cell r="J19112">
            <v>30899.9</v>
          </cell>
        </row>
        <row r="19113">
          <cell r="A19113" t="str">
            <v>PESAZA</v>
          </cell>
          <cell r="B19113" t="str">
            <v>650-99999-023-0000</v>
          </cell>
          <cell r="J19113">
            <v>95230</v>
          </cell>
        </row>
        <row r="19114">
          <cell r="A19114" t="str">
            <v>PESAZA</v>
          </cell>
          <cell r="B19114" t="str">
            <v>650-99999-025-0000</v>
          </cell>
          <cell r="J19114">
            <v>-412.58</v>
          </cell>
        </row>
        <row r="19115">
          <cell r="A19115" t="str">
            <v>PESAZA</v>
          </cell>
          <cell r="B19115" t="str">
            <v>650-99999-025-0001</v>
          </cell>
          <cell r="J19115">
            <v>-412.58</v>
          </cell>
        </row>
        <row r="19116">
          <cell r="A19116" t="str">
            <v>PESAZA</v>
          </cell>
          <cell r="B19116" t="str">
            <v>660-00000-000-0000</v>
          </cell>
          <cell r="J19116">
            <v>558735.6</v>
          </cell>
        </row>
        <row r="19117">
          <cell r="A19117" t="str">
            <v>PESAZA</v>
          </cell>
          <cell r="B19117" t="str">
            <v>660-99999-000-0000</v>
          </cell>
          <cell r="J19117">
            <v>558735.6</v>
          </cell>
        </row>
        <row r="19118">
          <cell r="A19118" t="str">
            <v>PESAZA</v>
          </cell>
          <cell r="B19118" t="str">
            <v>660-99999-034-0000</v>
          </cell>
          <cell r="J19118">
            <v>530000</v>
          </cell>
        </row>
        <row r="19119">
          <cell r="A19119" t="str">
            <v>PESAZA</v>
          </cell>
          <cell r="B19119" t="str">
            <v>660-99999-034-0008</v>
          </cell>
          <cell r="J19119">
            <v>530000</v>
          </cell>
        </row>
        <row r="19120">
          <cell r="A19120" t="str">
            <v>PESAZA</v>
          </cell>
          <cell r="B19120" t="str">
            <v>660-99999-035-0000</v>
          </cell>
          <cell r="J19120">
            <v>28735.599999999999</v>
          </cell>
        </row>
        <row r="19121">
          <cell r="A19121" t="str">
            <v>PESAZA</v>
          </cell>
          <cell r="B19121" t="str">
            <v>660-99999-035-0001</v>
          </cell>
          <cell r="J19121">
            <v>28735.599999999999</v>
          </cell>
        </row>
        <row r="19122">
          <cell r="A19122" t="str">
            <v>PESAZA</v>
          </cell>
          <cell r="B19122" t="str">
            <v>710-00000-000-0000</v>
          </cell>
          <cell r="J19122">
            <v>7615</v>
          </cell>
        </row>
        <row r="19123">
          <cell r="A19123" t="str">
            <v>PESAZA</v>
          </cell>
          <cell r="B19123" t="str">
            <v>710-99999-000-0000</v>
          </cell>
          <cell r="J19123">
            <v>7615</v>
          </cell>
        </row>
        <row r="19124">
          <cell r="A19124" t="str">
            <v>PESAZA</v>
          </cell>
          <cell r="B19124" t="str">
            <v>710-99999-002-0000</v>
          </cell>
          <cell r="J19124">
            <v>7615</v>
          </cell>
        </row>
        <row r="19125">
          <cell r="A19125" t="str">
            <v>PESAZA</v>
          </cell>
          <cell r="B19125" t="str">
            <v>710-99999-002-0001</v>
          </cell>
          <cell r="J19125">
            <v>7615</v>
          </cell>
        </row>
        <row r="19126">
          <cell r="A19126" t="str">
            <v>PESAZA</v>
          </cell>
          <cell r="J19126">
            <v>0</v>
          </cell>
        </row>
        <row r="19127">
          <cell r="A19127" t="str">
            <v>PESAZA</v>
          </cell>
          <cell r="J19127">
            <v>0</v>
          </cell>
        </row>
        <row r="19128">
          <cell r="A19128" t="str">
            <v>PESAZA</v>
          </cell>
          <cell r="J19128">
            <v>0</v>
          </cell>
        </row>
        <row r="19129">
          <cell r="A19129" t="str">
            <v>PESAZA</v>
          </cell>
          <cell r="J19129">
            <v>0</v>
          </cell>
        </row>
        <row r="19130">
          <cell r="A19130" t="str">
            <v>PESAZA</v>
          </cell>
          <cell r="J19130">
            <v>0</v>
          </cell>
        </row>
        <row r="19131">
          <cell r="A19131" t="str">
            <v>PESAZA</v>
          </cell>
          <cell r="J19131">
            <v>0</v>
          </cell>
        </row>
        <row r="19132">
          <cell r="A19132" t="str">
            <v>PESAZA</v>
          </cell>
          <cell r="J19132">
            <v>0</v>
          </cell>
        </row>
        <row r="19133">
          <cell r="A19133" t="str">
            <v>PESAZA</v>
          </cell>
          <cell r="J19133">
            <v>0</v>
          </cell>
        </row>
        <row r="19134">
          <cell r="A19134" t="str">
            <v>PESAZA</v>
          </cell>
          <cell r="J19134">
            <v>0</v>
          </cell>
        </row>
        <row r="19135">
          <cell r="A19135" t="str">
            <v>PESAZA</v>
          </cell>
          <cell r="J19135">
            <v>0</v>
          </cell>
        </row>
        <row r="19136">
          <cell r="A19136" t="str">
            <v>PESAZA</v>
          </cell>
          <cell r="J19136">
            <v>0</v>
          </cell>
        </row>
        <row r="19137">
          <cell r="A19137" t="str">
            <v>PESAZA</v>
          </cell>
          <cell r="J19137">
            <v>0</v>
          </cell>
        </row>
        <row r="19138">
          <cell r="A19138" t="str">
            <v>PESAZA</v>
          </cell>
          <cell r="J19138">
            <v>0</v>
          </cell>
        </row>
        <row r="19139">
          <cell r="A19139" t="str">
            <v>PESAZA</v>
          </cell>
          <cell r="J19139">
            <v>0</v>
          </cell>
        </row>
        <row r="19140">
          <cell r="A19140" t="str">
            <v>PESAZA</v>
          </cell>
          <cell r="J19140">
            <v>0</v>
          </cell>
        </row>
        <row r="19141">
          <cell r="A19141" t="str">
            <v>PESAZA</v>
          </cell>
          <cell r="J19141">
            <v>0</v>
          </cell>
        </row>
        <row r="19142">
          <cell r="A19142" t="str">
            <v>PESAZA</v>
          </cell>
          <cell r="J19142">
            <v>0</v>
          </cell>
        </row>
        <row r="19143">
          <cell r="A19143" t="str">
            <v>PESAZA</v>
          </cell>
          <cell r="J19143">
            <v>0</v>
          </cell>
        </row>
        <row r="19144">
          <cell r="A19144" t="str">
            <v>PESAZA</v>
          </cell>
          <cell r="J19144">
            <v>0</v>
          </cell>
        </row>
        <row r="19145">
          <cell r="A19145" t="str">
            <v>PESAZA</v>
          </cell>
          <cell r="J19145">
            <v>0</v>
          </cell>
        </row>
        <row r="19146">
          <cell r="A19146" t="str">
            <v>PESAZA</v>
          </cell>
          <cell r="J19146">
            <v>0</v>
          </cell>
        </row>
        <row r="19147">
          <cell r="A19147" t="str">
            <v>PESAZA</v>
          </cell>
          <cell r="J19147">
            <v>0</v>
          </cell>
        </row>
        <row r="19148">
          <cell r="A19148" t="str">
            <v>PESAZA</v>
          </cell>
          <cell r="J19148">
            <v>0</v>
          </cell>
        </row>
        <row r="19149">
          <cell r="A19149" t="str">
            <v>PESAZA</v>
          </cell>
          <cell r="J19149">
            <v>0</v>
          </cell>
        </row>
        <row r="19150">
          <cell r="A19150" t="str">
            <v>PESAZA</v>
          </cell>
          <cell r="J19150">
            <v>0</v>
          </cell>
        </row>
        <row r="19151">
          <cell r="A19151" t="str">
            <v>PESAZA</v>
          </cell>
          <cell r="J19151">
            <v>0</v>
          </cell>
        </row>
        <row r="19152">
          <cell r="A19152" t="str">
            <v>PESAZA</v>
          </cell>
          <cell r="J19152">
            <v>0</v>
          </cell>
        </row>
        <row r="19153">
          <cell r="A19153" t="str">
            <v>PESAZA</v>
          </cell>
          <cell r="J19153">
            <v>0</v>
          </cell>
        </row>
        <row r="19154">
          <cell r="A19154" t="str">
            <v>PESAZA</v>
          </cell>
          <cell r="J19154">
            <v>0</v>
          </cell>
        </row>
        <row r="19155">
          <cell r="A19155" t="str">
            <v>PESAZA</v>
          </cell>
          <cell r="J19155">
            <v>0</v>
          </cell>
        </row>
        <row r="19156">
          <cell r="A19156" t="str">
            <v>PESAZA</v>
          </cell>
          <cell r="J19156">
            <v>0</v>
          </cell>
        </row>
        <row r="19157">
          <cell r="A19157" t="str">
            <v>PESAZA</v>
          </cell>
          <cell r="J19157">
            <v>0</v>
          </cell>
        </row>
        <row r="19158">
          <cell r="A19158" t="str">
            <v>PESAZA</v>
          </cell>
          <cell r="J19158">
            <v>0</v>
          </cell>
        </row>
        <row r="19159">
          <cell r="A19159" t="str">
            <v>PESAZA</v>
          </cell>
          <cell r="J19159">
            <v>0</v>
          </cell>
        </row>
        <row r="19160">
          <cell r="A19160" t="str">
            <v>PESAZA</v>
          </cell>
          <cell r="J19160">
            <v>0</v>
          </cell>
        </row>
        <row r="19161">
          <cell r="A19161" t="str">
            <v>PESAZA</v>
          </cell>
          <cell r="J19161">
            <v>0</v>
          </cell>
        </row>
        <row r="19162">
          <cell r="A19162" t="str">
            <v>PESAZA</v>
          </cell>
          <cell r="J19162">
            <v>0</v>
          </cell>
        </row>
        <row r="19163">
          <cell r="A19163" t="str">
            <v>PESAZA</v>
          </cell>
          <cell r="J19163">
            <v>0</v>
          </cell>
        </row>
        <row r="19164">
          <cell r="A19164" t="str">
            <v>PESAZA</v>
          </cell>
          <cell r="J19164">
            <v>0</v>
          </cell>
        </row>
        <row r="19165">
          <cell r="A19165" t="str">
            <v>PESAZA</v>
          </cell>
          <cell r="J19165">
            <v>0</v>
          </cell>
        </row>
        <row r="19166">
          <cell r="A19166" t="str">
            <v>PESAZA</v>
          </cell>
          <cell r="J19166">
            <v>0</v>
          </cell>
        </row>
        <row r="19167">
          <cell r="A19167" t="str">
            <v>PESAZA</v>
          </cell>
          <cell r="J19167">
            <v>0</v>
          </cell>
        </row>
        <row r="19168">
          <cell r="A19168" t="str">
            <v>PESAZA</v>
          </cell>
          <cell r="J19168">
            <v>0</v>
          </cell>
        </row>
        <row r="19169">
          <cell r="A19169" t="str">
            <v>PESAZA</v>
          </cell>
          <cell r="J19169">
            <v>0</v>
          </cell>
        </row>
        <row r="19170">
          <cell r="A19170" t="str">
            <v>PESAZA</v>
          </cell>
          <cell r="J19170">
            <v>0</v>
          </cell>
        </row>
        <row r="19171">
          <cell r="A19171" t="str">
            <v>PESAZA</v>
          </cell>
          <cell r="J19171">
            <v>0</v>
          </cell>
        </row>
        <row r="19172">
          <cell r="A19172" t="str">
            <v>PESAZA</v>
          </cell>
          <cell r="J19172">
            <v>0</v>
          </cell>
        </row>
        <row r="19173">
          <cell r="A19173" t="str">
            <v>PESAZA</v>
          </cell>
          <cell r="J19173">
            <v>0</v>
          </cell>
        </row>
        <row r="19174">
          <cell r="A19174" t="str">
            <v>PESAZA</v>
          </cell>
          <cell r="J19174">
            <v>0</v>
          </cell>
        </row>
        <row r="19175">
          <cell r="A19175" t="str">
            <v>PESAZA</v>
          </cell>
          <cell r="J19175">
            <v>0</v>
          </cell>
        </row>
        <row r="19176">
          <cell r="A19176" t="str">
            <v>PESAZA</v>
          </cell>
          <cell r="J19176">
            <v>0</v>
          </cell>
        </row>
        <row r="19177">
          <cell r="A19177" t="str">
            <v>PESAZA</v>
          </cell>
          <cell r="J19177">
            <v>0</v>
          </cell>
        </row>
        <row r="19178">
          <cell r="A19178" t="str">
            <v>PESAZA</v>
          </cell>
          <cell r="J19178">
            <v>0</v>
          </cell>
        </row>
        <row r="19179">
          <cell r="A19179" t="str">
            <v>PESAZA</v>
          </cell>
          <cell r="J19179">
            <v>0</v>
          </cell>
        </row>
        <row r="19180">
          <cell r="A19180" t="str">
            <v>PESAZA</v>
          </cell>
          <cell r="J19180">
            <v>0</v>
          </cell>
        </row>
        <row r="19181">
          <cell r="A19181" t="str">
            <v>PESAZA</v>
          </cell>
          <cell r="J19181">
            <v>0</v>
          </cell>
        </row>
        <row r="19182">
          <cell r="A19182" t="str">
            <v>PESAZA</v>
          </cell>
          <cell r="J19182">
            <v>0</v>
          </cell>
        </row>
        <row r="19183">
          <cell r="A19183" t="str">
            <v>PESAZA</v>
          </cell>
          <cell r="J19183">
            <v>0</v>
          </cell>
        </row>
        <row r="19184">
          <cell r="A19184" t="str">
            <v>PESAZA</v>
          </cell>
          <cell r="J19184">
            <v>0</v>
          </cell>
        </row>
        <row r="19185">
          <cell r="A19185" t="str">
            <v>PESAZA</v>
          </cell>
          <cell r="J19185">
            <v>0</v>
          </cell>
        </row>
        <row r="19186">
          <cell r="A19186" t="str">
            <v>PESAZA</v>
          </cell>
          <cell r="J19186">
            <v>0</v>
          </cell>
        </row>
        <row r="19187">
          <cell r="A19187" t="str">
            <v>PESAZA</v>
          </cell>
          <cell r="J19187">
            <v>0</v>
          </cell>
        </row>
        <row r="19188">
          <cell r="A19188" t="str">
            <v>PESAZA</v>
          </cell>
          <cell r="J19188">
            <v>0</v>
          </cell>
        </row>
        <row r="19189">
          <cell r="A19189" t="str">
            <v>PESAZA</v>
          </cell>
          <cell r="J19189">
            <v>0</v>
          </cell>
        </row>
        <row r="19190">
          <cell r="A19190" t="str">
            <v>PESAZA</v>
          </cell>
          <cell r="J19190">
            <v>0</v>
          </cell>
        </row>
        <row r="19191">
          <cell r="A19191" t="str">
            <v>PESAZA</v>
          </cell>
          <cell r="J19191">
            <v>0</v>
          </cell>
        </row>
        <row r="19192">
          <cell r="A19192" t="str">
            <v>PESAZA</v>
          </cell>
          <cell r="J19192">
            <v>0</v>
          </cell>
        </row>
        <row r="19193">
          <cell r="A19193" t="str">
            <v>PESAZA</v>
          </cell>
          <cell r="J19193">
            <v>0</v>
          </cell>
        </row>
        <row r="19194">
          <cell r="A19194" t="str">
            <v>PESAZA</v>
          </cell>
          <cell r="J19194">
            <v>0</v>
          </cell>
        </row>
        <row r="19195">
          <cell r="A19195" t="str">
            <v>PESAZA</v>
          </cell>
          <cell r="J19195">
            <v>0</v>
          </cell>
        </row>
        <row r="19196">
          <cell r="A19196" t="str">
            <v>PESAZA</v>
          </cell>
          <cell r="J19196">
            <v>0</v>
          </cell>
        </row>
        <row r="19197">
          <cell r="A19197" t="str">
            <v>PESAZA</v>
          </cell>
          <cell r="J19197">
            <v>0</v>
          </cell>
        </row>
        <row r="19198">
          <cell r="A19198" t="str">
            <v>PESAZA</v>
          </cell>
          <cell r="J19198">
            <v>0</v>
          </cell>
        </row>
        <row r="19199">
          <cell r="A19199" t="str">
            <v>PESAZA</v>
          </cell>
          <cell r="J19199">
            <v>0</v>
          </cell>
        </row>
        <row r="19200">
          <cell r="A19200" t="str">
            <v>PESAZA</v>
          </cell>
          <cell r="J19200">
            <v>0</v>
          </cell>
        </row>
        <row r="19201">
          <cell r="A19201" t="str">
            <v>PESAZA</v>
          </cell>
          <cell r="J19201">
            <v>0</v>
          </cell>
        </row>
        <row r="19202">
          <cell r="A19202" t="str">
            <v>PESAZA</v>
          </cell>
          <cell r="J19202">
            <v>0</v>
          </cell>
        </row>
        <row r="19203">
          <cell r="A19203" t="str">
            <v>PESAZA</v>
          </cell>
          <cell r="J19203">
            <v>0</v>
          </cell>
        </row>
        <row r="19204">
          <cell r="A19204" t="str">
            <v>PESAZA</v>
          </cell>
          <cell r="J19204">
            <v>0</v>
          </cell>
        </row>
        <row r="19205">
          <cell r="A19205" t="str">
            <v>PESAZA</v>
          </cell>
          <cell r="J19205">
            <v>0</v>
          </cell>
        </row>
        <row r="19206">
          <cell r="A19206" t="str">
            <v>PESAZA</v>
          </cell>
          <cell r="J19206">
            <v>0</v>
          </cell>
        </row>
        <row r="19207">
          <cell r="A19207" t="str">
            <v>PESAZA</v>
          </cell>
          <cell r="J19207">
            <v>0</v>
          </cell>
        </row>
        <row r="19208">
          <cell r="A19208" t="str">
            <v>PESAZA</v>
          </cell>
          <cell r="J19208">
            <v>0</v>
          </cell>
        </row>
        <row r="19209">
          <cell r="A19209" t="str">
            <v>PESAZA</v>
          </cell>
          <cell r="J19209">
            <v>0</v>
          </cell>
        </row>
        <row r="19210">
          <cell r="A19210" t="str">
            <v>PESAZA</v>
          </cell>
          <cell r="J19210">
            <v>0</v>
          </cell>
        </row>
        <row r="19211">
          <cell r="A19211" t="str">
            <v>PESAZA</v>
          </cell>
          <cell r="J19211">
            <v>0</v>
          </cell>
        </row>
        <row r="19212">
          <cell r="A19212" t="str">
            <v>PESAZA</v>
          </cell>
          <cell r="J19212">
            <v>0</v>
          </cell>
        </row>
        <row r="19213">
          <cell r="A19213" t="str">
            <v>PESAZA</v>
          </cell>
          <cell r="J19213">
            <v>0</v>
          </cell>
        </row>
        <row r="19214">
          <cell r="A19214" t="str">
            <v>PESAZA</v>
          </cell>
          <cell r="J19214">
            <v>0</v>
          </cell>
        </row>
        <row r="19215">
          <cell r="A19215" t="str">
            <v>PESAZA</v>
          </cell>
          <cell r="J19215">
            <v>0</v>
          </cell>
        </row>
        <row r="19216">
          <cell r="A19216" t="str">
            <v>PESAZA</v>
          </cell>
          <cell r="J19216">
            <v>0</v>
          </cell>
        </row>
        <row r="19217">
          <cell r="A19217" t="str">
            <v>PESAZA</v>
          </cell>
          <cell r="J19217">
            <v>0</v>
          </cell>
        </row>
        <row r="19218">
          <cell r="A19218" t="str">
            <v>PESAZA</v>
          </cell>
          <cell r="J19218">
            <v>0</v>
          </cell>
        </row>
        <row r="19219">
          <cell r="A19219" t="str">
            <v>PESAZA</v>
          </cell>
          <cell r="J19219">
            <v>0</v>
          </cell>
        </row>
        <row r="19220">
          <cell r="A19220" t="str">
            <v>PESAZA</v>
          </cell>
          <cell r="J19220">
            <v>0</v>
          </cell>
        </row>
        <row r="19221">
          <cell r="A19221" t="str">
            <v>PESAZA</v>
          </cell>
          <cell r="J19221">
            <v>0</v>
          </cell>
        </row>
        <row r="19222">
          <cell r="A19222" t="str">
            <v>PESAZA</v>
          </cell>
          <cell r="J19222">
            <v>0</v>
          </cell>
        </row>
        <row r="19223">
          <cell r="A19223" t="str">
            <v>PESAZA</v>
          </cell>
          <cell r="J19223">
            <v>0</v>
          </cell>
        </row>
        <row r="19224">
          <cell r="A19224" t="str">
            <v>PESAZA</v>
          </cell>
          <cell r="J19224">
            <v>0</v>
          </cell>
        </row>
        <row r="19225">
          <cell r="A19225" t="str">
            <v>PESAZA</v>
          </cell>
          <cell r="J19225">
            <v>0</v>
          </cell>
        </row>
        <row r="19226">
          <cell r="A19226" t="str">
            <v>PESAZA</v>
          </cell>
          <cell r="J19226">
            <v>0</v>
          </cell>
        </row>
        <row r="19227">
          <cell r="A19227" t="str">
            <v>PESAZA</v>
          </cell>
          <cell r="J19227">
            <v>0</v>
          </cell>
        </row>
        <row r="19228">
          <cell r="A19228" t="str">
            <v>PESAZA</v>
          </cell>
          <cell r="J19228">
            <v>0</v>
          </cell>
        </row>
        <row r="19229">
          <cell r="A19229" t="str">
            <v>PESAZA</v>
          </cell>
          <cell r="J19229">
            <v>0</v>
          </cell>
        </row>
        <row r="19230">
          <cell r="A19230" t="str">
            <v>PESAZA</v>
          </cell>
          <cell r="J19230">
            <v>0</v>
          </cell>
        </row>
        <row r="19231">
          <cell r="A19231" t="str">
            <v>PESAZA</v>
          </cell>
          <cell r="J19231">
            <v>0</v>
          </cell>
        </row>
        <row r="19232">
          <cell r="A19232" t="str">
            <v>PESAZA</v>
          </cell>
          <cell r="J19232">
            <v>0</v>
          </cell>
        </row>
        <row r="19233">
          <cell r="A19233" t="str">
            <v>PESAZA</v>
          </cell>
          <cell r="J19233">
            <v>0</v>
          </cell>
        </row>
        <row r="19234">
          <cell r="A19234" t="str">
            <v>PESAZA</v>
          </cell>
          <cell r="J19234">
            <v>0</v>
          </cell>
        </row>
        <row r="19235">
          <cell r="A19235" t="str">
            <v>PESAZA</v>
          </cell>
          <cell r="J19235">
            <v>0</v>
          </cell>
        </row>
        <row r="19236">
          <cell r="A19236" t="str">
            <v>PESAZA</v>
          </cell>
          <cell r="J19236">
            <v>0</v>
          </cell>
        </row>
        <row r="19237">
          <cell r="A19237" t="str">
            <v>PESAZA</v>
          </cell>
          <cell r="J19237">
            <v>0</v>
          </cell>
        </row>
        <row r="19238">
          <cell r="A19238" t="str">
            <v>PESAZA</v>
          </cell>
          <cell r="J19238">
            <v>0</v>
          </cell>
        </row>
        <row r="19239">
          <cell r="A19239" t="str">
            <v>PESAZA</v>
          </cell>
          <cell r="J19239">
            <v>0</v>
          </cell>
        </row>
        <row r="19240">
          <cell r="A19240" t="str">
            <v>PESAZA</v>
          </cell>
          <cell r="J19240">
            <v>0</v>
          </cell>
        </row>
        <row r="19241">
          <cell r="A19241" t="str">
            <v>PESAZA</v>
          </cell>
          <cell r="J19241">
            <v>0</v>
          </cell>
        </row>
        <row r="19242">
          <cell r="A19242" t="str">
            <v>PESAZA</v>
          </cell>
          <cell r="J19242">
            <v>0</v>
          </cell>
        </row>
        <row r="19243">
          <cell r="A19243" t="str">
            <v>PESAZA</v>
          </cell>
          <cell r="J19243">
            <v>0</v>
          </cell>
        </row>
        <row r="19244">
          <cell r="A19244" t="str">
            <v>PESAZA</v>
          </cell>
          <cell r="J19244">
            <v>0</v>
          </cell>
        </row>
        <row r="19245">
          <cell r="A19245" t="str">
            <v>PESAZA</v>
          </cell>
          <cell r="J19245">
            <v>0</v>
          </cell>
        </row>
        <row r="19246">
          <cell r="A19246" t="str">
            <v>PESAZA</v>
          </cell>
          <cell r="J19246">
            <v>0</v>
          </cell>
        </row>
        <row r="19247">
          <cell r="A19247" t="str">
            <v>PESAZA</v>
          </cell>
          <cell r="J19247">
            <v>0</v>
          </cell>
        </row>
        <row r="19248">
          <cell r="A19248" t="str">
            <v>PESAZA</v>
          </cell>
          <cell r="J19248">
            <v>0</v>
          </cell>
        </row>
        <row r="19249">
          <cell r="J19249">
            <v>0</v>
          </cell>
        </row>
        <row r="19250">
          <cell r="J19250">
            <v>0</v>
          </cell>
        </row>
        <row r="19251">
          <cell r="J19251">
            <v>0</v>
          </cell>
        </row>
        <row r="19252">
          <cell r="A19252" t="str">
            <v>LIMPIESPIN</v>
          </cell>
          <cell r="B19252" t="str">
            <v>101-00000-000-0000</v>
          </cell>
          <cell r="J19252">
            <v>817236.96</v>
          </cell>
        </row>
        <row r="19253">
          <cell r="A19253" t="str">
            <v>LIMPIESPIN</v>
          </cell>
          <cell r="B19253" t="str">
            <v>101-00002-000-0000</v>
          </cell>
          <cell r="J19253">
            <v>58265.11</v>
          </cell>
        </row>
        <row r="19254">
          <cell r="A19254" t="str">
            <v>LIMPIESPIN</v>
          </cell>
          <cell r="B19254" t="str">
            <v>101-00002-002-0000</v>
          </cell>
          <cell r="J19254">
            <v>18366.259999999998</v>
          </cell>
        </row>
        <row r="19255">
          <cell r="A19255" t="str">
            <v>LIMPIESPIN</v>
          </cell>
          <cell r="B19255" t="str">
            <v>101-00002-002-0001</v>
          </cell>
          <cell r="J19255">
            <v>18366.259999999998</v>
          </cell>
        </row>
        <row r="19256">
          <cell r="A19256" t="str">
            <v>LIMPIESPIN</v>
          </cell>
          <cell r="B19256" t="str">
            <v>101-00002-003-0000</v>
          </cell>
          <cell r="J19256">
            <v>11095.38</v>
          </cell>
        </row>
        <row r="19257">
          <cell r="A19257" t="str">
            <v>LIMPIESPIN</v>
          </cell>
          <cell r="B19257" t="str">
            <v>101-00002-003-0012</v>
          </cell>
          <cell r="J19257">
            <v>11095.38</v>
          </cell>
        </row>
        <row r="19258">
          <cell r="A19258" t="str">
            <v>LIMPIESPIN</v>
          </cell>
          <cell r="B19258" t="str">
            <v>101-00002-004-0000</v>
          </cell>
          <cell r="J19258">
            <v>28803.47</v>
          </cell>
        </row>
        <row r="19259">
          <cell r="A19259" t="str">
            <v>LIMPIESPIN</v>
          </cell>
          <cell r="B19259" t="str">
            <v>101-00002-004-0005</v>
          </cell>
          <cell r="J19259">
            <v>28803.47</v>
          </cell>
        </row>
        <row r="19260">
          <cell r="A19260" t="str">
            <v>LIMPIESPIN</v>
          </cell>
          <cell r="B19260" t="str">
            <v>101-00005-000-0000</v>
          </cell>
          <cell r="J19260">
            <v>95000</v>
          </cell>
        </row>
        <row r="19261">
          <cell r="A19261" t="str">
            <v>LIMPIESPIN</v>
          </cell>
          <cell r="B19261" t="str">
            <v>101-00005-003-0000</v>
          </cell>
          <cell r="J19261">
            <v>25000</v>
          </cell>
        </row>
        <row r="19262">
          <cell r="A19262" t="str">
            <v>LIMPIESPIN</v>
          </cell>
          <cell r="B19262" t="str">
            <v>101-00005-003-0840</v>
          </cell>
          <cell r="J19262">
            <v>25000</v>
          </cell>
        </row>
        <row r="19263">
          <cell r="A19263" t="str">
            <v>LIMPIESPIN</v>
          </cell>
          <cell r="B19263" t="str">
            <v>101-00005-010-0000</v>
          </cell>
          <cell r="J19263">
            <v>70000</v>
          </cell>
        </row>
        <row r="19264">
          <cell r="A19264" t="str">
            <v>LIMPIESPIN</v>
          </cell>
          <cell r="B19264" t="str">
            <v>101-00005-010-2863</v>
          </cell>
          <cell r="J19264">
            <v>70000</v>
          </cell>
        </row>
        <row r="19265">
          <cell r="A19265" t="str">
            <v>LIMPIESPIN</v>
          </cell>
          <cell r="B19265" t="str">
            <v>101-00008-000-0000</v>
          </cell>
          <cell r="J19265">
            <v>35796.07</v>
          </cell>
        </row>
        <row r="19266">
          <cell r="A19266" t="str">
            <v>LIMPIESPIN</v>
          </cell>
          <cell r="B19266" t="str">
            <v>101-00008-001-0000</v>
          </cell>
          <cell r="J19266">
            <v>93.07</v>
          </cell>
        </row>
        <row r="19267">
          <cell r="A19267" t="str">
            <v>LIMPIESPIN</v>
          </cell>
          <cell r="B19267" t="str">
            <v>101-00008-002-0000</v>
          </cell>
          <cell r="J19267">
            <v>26287</v>
          </cell>
        </row>
        <row r="19268">
          <cell r="A19268" t="str">
            <v>LIMPIESPIN</v>
          </cell>
          <cell r="B19268" t="str">
            <v>101-00008-012-0000</v>
          </cell>
          <cell r="J19268">
            <v>9416</v>
          </cell>
        </row>
        <row r="19269">
          <cell r="A19269" t="str">
            <v>LIMPIESPIN</v>
          </cell>
          <cell r="B19269" t="str">
            <v>101-00008-012-0005</v>
          </cell>
          <cell r="J19269">
            <v>3245</v>
          </cell>
        </row>
        <row r="19270">
          <cell r="A19270" t="str">
            <v>LIMPIESPIN</v>
          </cell>
          <cell r="B19270" t="str">
            <v>101-00008-012-0006</v>
          </cell>
          <cell r="J19270">
            <v>12</v>
          </cell>
        </row>
        <row r="19271">
          <cell r="A19271" t="str">
            <v>LIMPIESPIN</v>
          </cell>
          <cell r="B19271" t="str">
            <v>101-00008-012-0007</v>
          </cell>
          <cell r="J19271">
            <v>5839</v>
          </cell>
        </row>
        <row r="19272">
          <cell r="A19272" t="str">
            <v>LIMPIESPIN</v>
          </cell>
          <cell r="B19272" t="str">
            <v>101-00008-012-0008</v>
          </cell>
          <cell r="J19272">
            <v>320</v>
          </cell>
        </row>
        <row r="19273">
          <cell r="A19273" t="str">
            <v>LIMPIESPIN</v>
          </cell>
          <cell r="B19273" t="str">
            <v>101-00010-000-0000</v>
          </cell>
          <cell r="J19273">
            <v>271.45999999999998</v>
          </cell>
        </row>
        <row r="19274">
          <cell r="A19274" t="str">
            <v>LIMPIESPIN</v>
          </cell>
          <cell r="B19274" t="str">
            <v>101-00010-001-0000</v>
          </cell>
          <cell r="J19274">
            <v>271.45999999999998</v>
          </cell>
        </row>
        <row r="19275">
          <cell r="A19275" t="str">
            <v>LIMPIESPIN</v>
          </cell>
          <cell r="B19275" t="str">
            <v>101-00011-000-0000</v>
          </cell>
          <cell r="J19275">
            <v>959.32</v>
          </cell>
        </row>
        <row r="19276">
          <cell r="A19276" t="str">
            <v>LIMPIESPIN</v>
          </cell>
          <cell r="B19276" t="str">
            <v>101-00011-001-0000</v>
          </cell>
          <cell r="J19276">
            <v>959.32</v>
          </cell>
        </row>
        <row r="19277">
          <cell r="A19277" t="str">
            <v>LIMPIESPIN</v>
          </cell>
          <cell r="B19277" t="str">
            <v>101-00015-000-0000</v>
          </cell>
          <cell r="J19277">
            <v>626945</v>
          </cell>
        </row>
        <row r="19278">
          <cell r="A19278" t="str">
            <v>LIMPIESPIN</v>
          </cell>
          <cell r="B19278" t="str">
            <v>101-00015-001-0000</v>
          </cell>
          <cell r="J19278">
            <v>626945</v>
          </cell>
        </row>
        <row r="19279">
          <cell r="A19279" t="str">
            <v>LIMPIESPIN</v>
          </cell>
          <cell r="B19279" t="str">
            <v>101-00015-001-2305</v>
          </cell>
          <cell r="J19279">
            <v>575000</v>
          </cell>
        </row>
        <row r="19280">
          <cell r="A19280" t="str">
            <v>LIMPIESPIN</v>
          </cell>
          <cell r="B19280" t="str">
            <v>101-00015-001-2937</v>
          </cell>
          <cell r="J19280">
            <v>1945</v>
          </cell>
        </row>
        <row r="19281">
          <cell r="A19281" t="str">
            <v>LIMPIESPIN</v>
          </cell>
          <cell r="B19281" t="str">
            <v>101-00015-001-3141</v>
          </cell>
          <cell r="J19281">
            <v>50000</v>
          </cell>
        </row>
        <row r="19282">
          <cell r="A19282" t="str">
            <v>LIMPIESPIN</v>
          </cell>
          <cell r="B19282" t="str">
            <v>102-00000-000-0000</v>
          </cell>
          <cell r="J19282">
            <v>2980</v>
          </cell>
        </row>
        <row r="19283">
          <cell r="A19283" t="str">
            <v>LIMPIESPIN</v>
          </cell>
          <cell r="B19283" t="str">
            <v>102-00001-001-0000</v>
          </cell>
          <cell r="J19283">
            <v>2675541</v>
          </cell>
        </row>
        <row r="19284">
          <cell r="A19284" t="str">
            <v>LIMPIESPIN</v>
          </cell>
          <cell r="B19284" t="str">
            <v>102-00001-002-0000</v>
          </cell>
          <cell r="J19284">
            <v>-2675541</v>
          </cell>
        </row>
        <row r="19285">
          <cell r="A19285" t="str">
            <v>LIMPIESPIN</v>
          </cell>
          <cell r="B19285" t="str">
            <v>102-00003-001-0000</v>
          </cell>
          <cell r="J19285">
            <v>5610952</v>
          </cell>
        </row>
        <row r="19286">
          <cell r="A19286" t="str">
            <v>LIMPIESPIN</v>
          </cell>
          <cell r="B19286" t="str">
            <v>102-00003-002-0000</v>
          </cell>
          <cell r="J19286">
            <v>-5610952</v>
          </cell>
        </row>
        <row r="19287">
          <cell r="A19287" t="str">
            <v>LIMPIESPIN</v>
          </cell>
          <cell r="B19287" t="str">
            <v>102-00005-001-0000</v>
          </cell>
          <cell r="J19287">
            <v>862200</v>
          </cell>
        </row>
        <row r="19288">
          <cell r="A19288" t="str">
            <v>LIMPIESPIN</v>
          </cell>
          <cell r="B19288" t="str">
            <v>102-00005-002-0000</v>
          </cell>
          <cell r="J19288">
            <v>-862200</v>
          </cell>
        </row>
        <row r="19289">
          <cell r="A19289" t="str">
            <v>LIMPIESPIN</v>
          </cell>
          <cell r="B19289" t="str">
            <v>102-00015-000-0000</v>
          </cell>
          <cell r="J19289">
            <v>2980</v>
          </cell>
        </row>
        <row r="19290">
          <cell r="A19290" t="str">
            <v>LIMPIESPIN</v>
          </cell>
          <cell r="B19290" t="str">
            <v>102-00015-001-0000</v>
          </cell>
          <cell r="J19290">
            <v>2980</v>
          </cell>
        </row>
        <row r="19291">
          <cell r="A19291" t="str">
            <v>LIMPIESPIN</v>
          </cell>
          <cell r="B19291" t="str">
            <v>102-00015-001-2217</v>
          </cell>
          <cell r="J19291">
            <v>2980</v>
          </cell>
        </row>
        <row r="19292">
          <cell r="A19292" t="str">
            <v>LIMPIESPIN</v>
          </cell>
          <cell r="B19292" t="str">
            <v>103-00000-000-0000</v>
          </cell>
          <cell r="J19292">
            <v>1990245.22</v>
          </cell>
        </row>
        <row r="19293">
          <cell r="A19293" t="str">
            <v>LIMPIESPIN</v>
          </cell>
          <cell r="B19293" t="str">
            <v>103-00001-000-0000</v>
          </cell>
          <cell r="J19293">
            <v>1990245.22</v>
          </cell>
        </row>
        <row r="19294">
          <cell r="A19294" t="str">
            <v>LIMPIESPIN</v>
          </cell>
          <cell r="B19294" t="str">
            <v>103-00001-001-0000</v>
          </cell>
          <cell r="J19294">
            <v>4573822</v>
          </cell>
        </row>
        <row r="19295">
          <cell r="A19295" t="str">
            <v>LIMPIESPIN</v>
          </cell>
          <cell r="B19295" t="str">
            <v>103-00001-002-0000</v>
          </cell>
          <cell r="J19295">
            <v>-2583576.7799999998</v>
          </cell>
        </row>
        <row r="19296">
          <cell r="A19296" t="str">
            <v>LIMPIESPIN</v>
          </cell>
          <cell r="B19296" t="str">
            <v>201-00000-000-0000</v>
          </cell>
          <cell r="J19296">
            <v>-112.91</v>
          </cell>
        </row>
        <row r="19297">
          <cell r="A19297" t="str">
            <v>LIMPIESPIN</v>
          </cell>
          <cell r="B19297" t="str">
            <v>201-00002-000-0000</v>
          </cell>
          <cell r="J19297">
            <v>0.82</v>
          </cell>
        </row>
        <row r="19298">
          <cell r="A19298" t="str">
            <v>LIMPIESPIN</v>
          </cell>
          <cell r="B19298" t="str">
            <v>201-00002-002-0000</v>
          </cell>
          <cell r="J19298">
            <v>0.82</v>
          </cell>
        </row>
        <row r="19299">
          <cell r="A19299" t="str">
            <v>LIMPIESPIN</v>
          </cell>
          <cell r="B19299" t="str">
            <v>201-00002-002-0306</v>
          </cell>
          <cell r="J19299">
            <v>0.82</v>
          </cell>
        </row>
        <row r="19300">
          <cell r="A19300" t="str">
            <v>LIMPIESPIN</v>
          </cell>
          <cell r="B19300" t="str">
            <v>201-00002-002-3396</v>
          </cell>
          <cell r="J19300">
            <v>0</v>
          </cell>
        </row>
        <row r="19301">
          <cell r="A19301" t="str">
            <v>LIMPIESPIN</v>
          </cell>
          <cell r="B19301" t="str">
            <v>201-00005-000-0000</v>
          </cell>
          <cell r="J19301">
            <v>-113.73</v>
          </cell>
        </row>
        <row r="19302">
          <cell r="A19302" t="str">
            <v>LIMPIESPIN</v>
          </cell>
          <cell r="B19302" t="str">
            <v>201-00005-003-0000</v>
          </cell>
          <cell r="J19302">
            <v>-113.73</v>
          </cell>
        </row>
        <row r="19303">
          <cell r="A19303" t="str">
            <v>LIMPIESPIN</v>
          </cell>
          <cell r="B19303" t="str">
            <v>202-00000-000-0000</v>
          </cell>
          <cell r="J19303">
            <v>-2158.7600000000002</v>
          </cell>
        </row>
        <row r="19304">
          <cell r="A19304" t="str">
            <v>LIMPIESPIN</v>
          </cell>
          <cell r="B19304" t="str">
            <v>202-00001-000-0000</v>
          </cell>
          <cell r="J19304">
            <v>-2158.7600000000002</v>
          </cell>
        </row>
        <row r="19305">
          <cell r="A19305" t="str">
            <v>LIMPIESPIN</v>
          </cell>
          <cell r="B19305" t="str">
            <v>202-00001-009-0000</v>
          </cell>
          <cell r="J19305">
            <v>-2158.7600000000002</v>
          </cell>
        </row>
        <row r="19306">
          <cell r="A19306" t="str">
            <v>LIMPIESPIN</v>
          </cell>
          <cell r="B19306" t="str">
            <v>202-00001-009-0468</v>
          </cell>
          <cell r="J19306">
            <v>-2158.7600000000002</v>
          </cell>
        </row>
        <row r="19307">
          <cell r="A19307" t="str">
            <v>LIMPIESPIN</v>
          </cell>
          <cell r="B19307" t="str">
            <v>301-00000-000-0000</v>
          </cell>
          <cell r="J19307">
            <v>-2961515.06</v>
          </cell>
        </row>
        <row r="19308">
          <cell r="A19308" t="str">
            <v>LIMPIESPIN</v>
          </cell>
          <cell r="B19308" t="str">
            <v>301-00001-000-0000</v>
          </cell>
          <cell r="J19308">
            <v>-8319200</v>
          </cell>
        </row>
        <row r="19309">
          <cell r="A19309" t="str">
            <v>LIMPIESPIN</v>
          </cell>
          <cell r="B19309" t="str">
            <v>301-00001-001-0000</v>
          </cell>
          <cell r="J19309">
            <v>-50000</v>
          </cell>
        </row>
        <row r="19310">
          <cell r="A19310" t="str">
            <v>LIMPIESPIN</v>
          </cell>
          <cell r="B19310" t="str">
            <v>301-00001-002-0000</v>
          </cell>
          <cell r="J19310">
            <v>-8269200</v>
          </cell>
        </row>
        <row r="19311">
          <cell r="A19311" t="str">
            <v>LIMPIESPIN</v>
          </cell>
          <cell r="B19311" t="str">
            <v>301-00004-000-0000</v>
          </cell>
          <cell r="J19311">
            <v>5357684.9400000004</v>
          </cell>
        </row>
        <row r="19312">
          <cell r="A19312" t="str">
            <v>LIMPIESPIN</v>
          </cell>
          <cell r="B19312" t="str">
            <v>301-00004-002-0000</v>
          </cell>
          <cell r="J19312">
            <v>356878.45</v>
          </cell>
        </row>
        <row r="19313">
          <cell r="A19313" t="str">
            <v>LIMPIESPIN</v>
          </cell>
          <cell r="B19313" t="str">
            <v>301-00004-003-0000</v>
          </cell>
          <cell r="J19313">
            <v>632099.22</v>
          </cell>
        </row>
        <row r="19314">
          <cell r="A19314" t="str">
            <v>LIMPIESPIN</v>
          </cell>
          <cell r="B19314" t="str">
            <v>301-00004-004-0000</v>
          </cell>
          <cell r="J19314">
            <v>-18234.3</v>
          </cell>
        </row>
        <row r="19315">
          <cell r="A19315" t="str">
            <v>LIMPIESPIN</v>
          </cell>
          <cell r="B19315" t="str">
            <v>301-00004-005-0000</v>
          </cell>
          <cell r="J19315">
            <v>-60333.99</v>
          </cell>
        </row>
        <row r="19316">
          <cell r="A19316" t="str">
            <v>LIMPIESPIN</v>
          </cell>
          <cell r="B19316" t="str">
            <v>301-00004-006-0000</v>
          </cell>
          <cell r="J19316">
            <v>-1177971.5</v>
          </cell>
        </row>
        <row r="19317">
          <cell r="A19317" t="str">
            <v>LIMPIESPIN</v>
          </cell>
          <cell r="B19317" t="str">
            <v>301-00004-007-0000</v>
          </cell>
          <cell r="J19317">
            <v>-230919.09</v>
          </cell>
        </row>
        <row r="19318">
          <cell r="A19318" t="str">
            <v>LIMPIESPIN</v>
          </cell>
          <cell r="B19318" t="str">
            <v>301-00004-008-0000</v>
          </cell>
          <cell r="J19318">
            <v>-522077.32</v>
          </cell>
        </row>
        <row r="19319">
          <cell r="A19319" t="str">
            <v>LIMPIESPIN</v>
          </cell>
          <cell r="B19319" t="str">
            <v>301-00004-009-0000</v>
          </cell>
          <cell r="J19319">
            <v>-240996.5</v>
          </cell>
        </row>
        <row r="19320">
          <cell r="A19320" t="str">
            <v>LIMPIESPIN</v>
          </cell>
          <cell r="B19320" t="str">
            <v>301-00004-010-0000</v>
          </cell>
          <cell r="J19320">
            <v>-44623.68</v>
          </cell>
        </row>
        <row r="19321">
          <cell r="A19321" t="str">
            <v>LIMPIESPIN</v>
          </cell>
          <cell r="B19321" t="str">
            <v>301-00004-011-0000</v>
          </cell>
          <cell r="J19321">
            <v>-69511.850000000006</v>
          </cell>
        </row>
        <row r="19322">
          <cell r="A19322" t="str">
            <v>LIMPIESPIN</v>
          </cell>
          <cell r="B19322" t="str">
            <v>301-00004-012-0000</v>
          </cell>
          <cell r="J19322">
            <v>-11354.13</v>
          </cell>
        </row>
        <row r="19323">
          <cell r="A19323" t="str">
            <v>LIMPIESPIN</v>
          </cell>
          <cell r="B19323" t="str">
            <v>301-00004-013-0000</v>
          </cell>
          <cell r="J19323">
            <v>1217829.7</v>
          </cell>
        </row>
        <row r="19324">
          <cell r="A19324" t="str">
            <v>LIMPIESPIN</v>
          </cell>
          <cell r="B19324" t="str">
            <v>301-00004-014-0000</v>
          </cell>
          <cell r="J19324">
            <v>1765521.29</v>
          </cell>
        </row>
        <row r="19325">
          <cell r="A19325" t="str">
            <v>LIMPIESPIN</v>
          </cell>
          <cell r="B19325" t="str">
            <v>301-00004-015-0000</v>
          </cell>
          <cell r="J19325">
            <v>3212560.91</v>
          </cell>
        </row>
        <row r="19326">
          <cell r="A19326" t="str">
            <v>LIMPIESPIN</v>
          </cell>
          <cell r="B19326" t="str">
            <v>301-00004-016-0000</v>
          </cell>
          <cell r="J19326">
            <v>-1235.83</v>
          </cell>
        </row>
        <row r="19327">
          <cell r="A19327" t="str">
            <v>LIMPIESPIN</v>
          </cell>
          <cell r="B19327" t="str">
            <v>301-00004-017-0000</v>
          </cell>
          <cell r="J19327">
            <v>550053.56000000006</v>
          </cell>
        </row>
        <row r="19328">
          <cell r="A19328" t="str">
            <v>LIMPIESPIN</v>
          </cell>
          <cell r="B19328" t="str">
            <v>411-00000-000-0000</v>
          </cell>
          <cell r="J19328">
            <v>-12931.04</v>
          </cell>
        </row>
        <row r="19329">
          <cell r="A19329" t="str">
            <v>LIMPIESPIN</v>
          </cell>
          <cell r="B19329" t="str">
            <v>411-26777-000-0000</v>
          </cell>
          <cell r="J19329">
            <v>-12931.04</v>
          </cell>
        </row>
        <row r="19330">
          <cell r="A19330" t="str">
            <v>LIMPIESPIN</v>
          </cell>
          <cell r="B19330" t="str">
            <v>411-26777-004-0000</v>
          </cell>
          <cell r="J19330">
            <v>-12931.04</v>
          </cell>
        </row>
        <row r="19331">
          <cell r="A19331" t="str">
            <v>LIMPIESPIN</v>
          </cell>
          <cell r="B19331" t="str">
            <v>411-26777-004-0468</v>
          </cell>
          <cell r="J19331">
            <v>-12931.04</v>
          </cell>
        </row>
        <row r="19332">
          <cell r="A19332" t="str">
            <v>LIMPIESPIN</v>
          </cell>
          <cell r="B19332" t="str">
            <v>720-00000-000-0000</v>
          </cell>
          <cell r="J19332">
            <v>-567.35</v>
          </cell>
        </row>
        <row r="19333">
          <cell r="A19333" t="str">
            <v>LIMPIESPIN</v>
          </cell>
          <cell r="B19333" t="str">
            <v>720-99999-000-0000</v>
          </cell>
          <cell r="J19333">
            <v>-567.35</v>
          </cell>
        </row>
        <row r="19334">
          <cell r="A19334" t="str">
            <v>LIMPIESPIN</v>
          </cell>
          <cell r="B19334" t="str">
            <v>720-99999-001-0000</v>
          </cell>
          <cell r="J19334">
            <v>-567.35</v>
          </cell>
        </row>
        <row r="19335">
          <cell r="A19335" t="str">
            <v>LIMPIESPIN</v>
          </cell>
          <cell r="B19335" t="str">
            <v>720-99999-001-0001</v>
          </cell>
          <cell r="J19335">
            <v>-567.35</v>
          </cell>
        </row>
        <row r="19336">
          <cell r="A19336" t="str">
            <v>LIMPIESPIN</v>
          </cell>
          <cell r="B19336" t="str">
            <v>650-00000-000-0000</v>
          </cell>
          <cell r="J19336">
            <v>14356.83</v>
          </cell>
        </row>
        <row r="19337">
          <cell r="A19337" t="str">
            <v>LIMPIESPIN</v>
          </cell>
          <cell r="B19337" t="str">
            <v>650-99999-000-0000</v>
          </cell>
          <cell r="J19337">
            <v>14356.83</v>
          </cell>
        </row>
        <row r="19338">
          <cell r="A19338" t="str">
            <v>LIMPIESPIN</v>
          </cell>
          <cell r="B19338" t="str">
            <v>650-99999-010-0000</v>
          </cell>
          <cell r="J19338">
            <v>14888</v>
          </cell>
        </row>
        <row r="19339">
          <cell r="A19339" t="str">
            <v>LIMPIESPIN</v>
          </cell>
          <cell r="B19339" t="str">
            <v>650-99999-010-0001</v>
          </cell>
          <cell r="J19339">
            <v>14888</v>
          </cell>
        </row>
        <row r="19340">
          <cell r="A19340" t="str">
            <v>LIMPIESPIN</v>
          </cell>
          <cell r="B19340" t="str">
            <v>650-99999-012-0000</v>
          </cell>
          <cell r="J19340">
            <v>1427.59</v>
          </cell>
        </row>
        <row r="19341">
          <cell r="A19341" t="str">
            <v>LIMPIESPIN</v>
          </cell>
          <cell r="B19341" t="str">
            <v>650-99999-012-0001</v>
          </cell>
          <cell r="J19341">
            <v>1427.59</v>
          </cell>
        </row>
        <row r="19342">
          <cell r="A19342" t="str">
            <v>LIMPIESPIN</v>
          </cell>
          <cell r="B19342" t="str">
            <v>650-99999-025-0000</v>
          </cell>
          <cell r="J19342">
            <v>-1958.76</v>
          </cell>
        </row>
        <row r="19343">
          <cell r="A19343" t="str">
            <v>LIMPIESPIN</v>
          </cell>
          <cell r="B19343" t="str">
            <v>650-99999-025-0001</v>
          </cell>
          <cell r="J19343">
            <v>-1958.76</v>
          </cell>
        </row>
        <row r="19344">
          <cell r="A19344" t="str">
            <v>LIMPIESPIN</v>
          </cell>
          <cell r="B19344" t="str">
            <v>660-00000-000-0000</v>
          </cell>
          <cell r="J19344">
            <v>152460.72</v>
          </cell>
        </row>
        <row r="19345">
          <cell r="A19345" t="str">
            <v>LIMPIESPIN</v>
          </cell>
          <cell r="B19345" t="str">
            <v>660-99999-000-0000</v>
          </cell>
          <cell r="J19345">
            <v>152460.72</v>
          </cell>
        </row>
        <row r="19346">
          <cell r="A19346" t="str">
            <v>LIMPIESPIN</v>
          </cell>
          <cell r="B19346" t="str">
            <v>660-99999-035-0000</v>
          </cell>
          <cell r="J19346">
            <v>152460.72</v>
          </cell>
        </row>
        <row r="19347">
          <cell r="A19347" t="str">
            <v>LIMPIESPIN</v>
          </cell>
          <cell r="B19347" t="str">
            <v>660-99999-035-0001</v>
          </cell>
          <cell r="J19347">
            <v>152460.72</v>
          </cell>
        </row>
        <row r="19348">
          <cell r="A19348" t="str">
            <v>LIMPIESPIN</v>
          </cell>
          <cell r="B19348" t="str">
            <v>710-00000-000-0000</v>
          </cell>
          <cell r="J19348">
            <v>5.39</v>
          </cell>
        </row>
        <row r="19349">
          <cell r="A19349" t="str">
            <v>LIMPIESPIN</v>
          </cell>
          <cell r="B19349" t="str">
            <v>710-99999-000-0000</v>
          </cell>
          <cell r="J19349">
            <v>5.39</v>
          </cell>
        </row>
        <row r="19350">
          <cell r="A19350" t="str">
            <v>LIMPIESPIN</v>
          </cell>
          <cell r="B19350" t="str">
            <v>710-99999-002-0000</v>
          </cell>
          <cell r="J19350">
            <v>5.39</v>
          </cell>
        </row>
        <row r="19351">
          <cell r="A19351" t="str">
            <v>LIMPIESPIN</v>
          </cell>
          <cell r="B19351" t="str">
            <v>710-99999-002-0001</v>
          </cell>
          <cell r="J19351">
            <v>5.39</v>
          </cell>
        </row>
        <row r="19352">
          <cell r="A19352" t="str">
            <v>LIMPIESPIN</v>
          </cell>
          <cell r="J19352">
            <v>0</v>
          </cell>
        </row>
        <row r="19353">
          <cell r="A19353" t="str">
            <v>LIMPIESPIN</v>
          </cell>
          <cell r="J19353">
            <v>0</v>
          </cell>
        </row>
        <row r="19354">
          <cell r="A19354" t="str">
            <v>LIMPIESPIN</v>
          </cell>
          <cell r="J19354">
            <v>0</v>
          </cell>
        </row>
        <row r="19355">
          <cell r="A19355" t="str">
            <v>LIMPIESPIN</v>
          </cell>
          <cell r="J19355">
            <v>0</v>
          </cell>
        </row>
        <row r="19356">
          <cell r="A19356" t="str">
            <v>LIMPIESPIN</v>
          </cell>
          <cell r="J19356">
            <v>0</v>
          </cell>
        </row>
        <row r="19357">
          <cell r="A19357" t="str">
            <v>LIMPIESPIN</v>
          </cell>
          <cell r="J19357">
            <v>0</v>
          </cell>
        </row>
        <row r="19358">
          <cell r="A19358" t="str">
            <v>LIMPIESPIN</v>
          </cell>
          <cell r="J19358">
            <v>0</v>
          </cell>
        </row>
        <row r="19359">
          <cell r="A19359" t="str">
            <v>LIMPIESPIN</v>
          </cell>
          <cell r="J19359">
            <v>0</v>
          </cell>
        </row>
        <row r="19360">
          <cell r="A19360" t="str">
            <v>LIMPIESPIN</v>
          </cell>
          <cell r="J19360">
            <v>0</v>
          </cell>
        </row>
        <row r="19361">
          <cell r="A19361" t="str">
            <v>LIMPIESPIN</v>
          </cell>
          <cell r="J19361">
            <v>0</v>
          </cell>
        </row>
        <row r="19362">
          <cell r="A19362" t="str">
            <v>LIMPIESPIN</v>
          </cell>
          <cell r="J19362">
            <v>0</v>
          </cell>
        </row>
        <row r="19363">
          <cell r="A19363" t="str">
            <v>LIMPIESPIN</v>
          </cell>
          <cell r="J19363">
            <v>0</v>
          </cell>
        </row>
        <row r="19364">
          <cell r="A19364" t="str">
            <v>LIMPIESPIN</v>
          </cell>
          <cell r="J19364">
            <v>0</v>
          </cell>
        </row>
        <row r="19365">
          <cell r="A19365" t="str">
            <v>LIMPIESPIN</v>
          </cell>
          <cell r="J19365">
            <v>0</v>
          </cell>
        </row>
        <row r="19366">
          <cell r="A19366" t="str">
            <v>LIMPIESPIN</v>
          </cell>
          <cell r="J19366">
            <v>0</v>
          </cell>
        </row>
        <row r="19367">
          <cell r="A19367" t="str">
            <v>LIMPIESPIN</v>
          </cell>
          <cell r="J19367">
            <v>0</v>
          </cell>
        </row>
        <row r="19368">
          <cell r="A19368" t="str">
            <v>LIMPIESPIN</v>
          </cell>
          <cell r="J19368">
            <v>0</v>
          </cell>
        </row>
        <row r="19369">
          <cell r="A19369" t="str">
            <v>LIMPIESPIN</v>
          </cell>
          <cell r="J19369">
            <v>0</v>
          </cell>
        </row>
        <row r="19370">
          <cell r="A19370" t="str">
            <v>LIMPIESPIN</v>
          </cell>
          <cell r="J19370">
            <v>0</v>
          </cell>
        </row>
        <row r="19371">
          <cell r="A19371" t="str">
            <v>LIMPIESPIN</v>
          </cell>
          <cell r="J19371">
            <v>0</v>
          </cell>
        </row>
        <row r="19372">
          <cell r="A19372" t="str">
            <v>LIMPIESPIN</v>
          </cell>
          <cell r="J19372">
            <v>0</v>
          </cell>
        </row>
        <row r="19373">
          <cell r="A19373" t="str">
            <v>LIMPIESPIN</v>
          </cell>
          <cell r="J19373">
            <v>0</v>
          </cell>
        </row>
        <row r="19374">
          <cell r="A19374" t="str">
            <v>LIMPIESPIN</v>
          </cell>
          <cell r="J19374">
            <v>0</v>
          </cell>
        </row>
        <row r="19375">
          <cell r="A19375" t="str">
            <v>LIMPIESPIN</v>
          </cell>
          <cell r="J19375">
            <v>0</v>
          </cell>
        </row>
        <row r="19376">
          <cell r="A19376" t="str">
            <v>LIMPIESPIN</v>
          </cell>
          <cell r="J19376">
            <v>0</v>
          </cell>
        </row>
        <row r="19377">
          <cell r="A19377" t="str">
            <v>LIMPIESPIN</v>
          </cell>
          <cell r="J19377">
            <v>0</v>
          </cell>
        </row>
        <row r="19378">
          <cell r="A19378" t="str">
            <v>LIMPIESPIN</v>
          </cell>
          <cell r="J19378">
            <v>0</v>
          </cell>
        </row>
        <row r="19379">
          <cell r="A19379" t="str">
            <v>LIMPIESPIN</v>
          </cell>
          <cell r="J19379">
            <v>0</v>
          </cell>
        </row>
        <row r="19380">
          <cell r="A19380" t="str">
            <v>LIMPIESPIN</v>
          </cell>
          <cell r="J19380">
            <v>0</v>
          </cell>
        </row>
        <row r="19381">
          <cell r="A19381" t="str">
            <v>LIMPIESPIN</v>
          </cell>
          <cell r="J19381">
            <v>0</v>
          </cell>
        </row>
        <row r="19382">
          <cell r="A19382" t="str">
            <v>LIMPIESPIN</v>
          </cell>
          <cell r="J19382">
            <v>0</v>
          </cell>
        </row>
        <row r="19383">
          <cell r="A19383" t="str">
            <v>LIMPIESPIN</v>
          </cell>
          <cell r="J19383">
            <v>0</v>
          </cell>
        </row>
        <row r="19384">
          <cell r="A19384" t="str">
            <v>LIMPIESPIN</v>
          </cell>
          <cell r="J19384">
            <v>0</v>
          </cell>
        </row>
        <row r="19385">
          <cell r="A19385" t="str">
            <v>LIMPIESPIN</v>
          </cell>
          <cell r="J19385">
            <v>0</v>
          </cell>
        </row>
        <row r="19386">
          <cell r="A19386" t="str">
            <v>LIMPIESPIN</v>
          </cell>
          <cell r="J19386">
            <v>0</v>
          </cell>
        </row>
        <row r="19387">
          <cell r="A19387" t="str">
            <v>LIMPIESPIN</v>
          </cell>
          <cell r="J19387">
            <v>0</v>
          </cell>
        </row>
        <row r="19388">
          <cell r="A19388" t="str">
            <v>LIMPIESPIN</v>
          </cell>
          <cell r="J19388">
            <v>0</v>
          </cell>
        </row>
        <row r="19389">
          <cell r="A19389" t="str">
            <v>LIMPIESPIN</v>
          </cell>
          <cell r="J19389">
            <v>0</v>
          </cell>
        </row>
        <row r="19390">
          <cell r="A19390" t="str">
            <v>LIMPIESPIN</v>
          </cell>
          <cell r="J19390">
            <v>0</v>
          </cell>
        </row>
        <row r="19391">
          <cell r="A19391" t="str">
            <v>LIMPIESPIN</v>
          </cell>
          <cell r="J19391">
            <v>0</v>
          </cell>
        </row>
        <row r="19392">
          <cell r="A19392" t="str">
            <v>LIMPIESPIN</v>
          </cell>
          <cell r="J19392">
            <v>0</v>
          </cell>
        </row>
        <row r="19393">
          <cell r="A19393" t="str">
            <v>LIMPIESPIN</v>
          </cell>
          <cell r="J19393">
            <v>0</v>
          </cell>
        </row>
        <row r="19394">
          <cell r="A19394" t="str">
            <v>LIMPIESPIN</v>
          </cell>
          <cell r="J19394">
            <v>0</v>
          </cell>
        </row>
        <row r="19395">
          <cell r="A19395" t="str">
            <v>LIMPIESPIN</v>
          </cell>
          <cell r="J19395">
            <v>0</v>
          </cell>
        </row>
        <row r="19396">
          <cell r="A19396" t="str">
            <v>LIMPIESPIN</v>
          </cell>
          <cell r="J19396">
            <v>0</v>
          </cell>
        </row>
        <row r="19397">
          <cell r="A19397" t="str">
            <v>LIMPIESPIN</v>
          </cell>
          <cell r="J19397">
            <v>0</v>
          </cell>
        </row>
        <row r="19398">
          <cell r="A19398" t="str">
            <v>LIMPIESPIN</v>
          </cell>
          <cell r="J19398">
            <v>0</v>
          </cell>
        </row>
        <row r="19399">
          <cell r="A19399" t="str">
            <v>LIMPIESPIN</v>
          </cell>
          <cell r="J19399">
            <v>0</v>
          </cell>
        </row>
        <row r="19400">
          <cell r="A19400" t="str">
            <v>LIMPIESPIN</v>
          </cell>
          <cell r="J19400">
            <v>0</v>
          </cell>
        </row>
        <row r="19401">
          <cell r="A19401" t="str">
            <v>LIMPIESPIN</v>
          </cell>
          <cell r="J19401">
            <v>0</v>
          </cell>
        </row>
        <row r="19402">
          <cell r="A19402" t="str">
            <v>LIMPIESPIN</v>
          </cell>
          <cell r="J19402">
            <v>0</v>
          </cell>
        </row>
        <row r="19403">
          <cell r="A19403" t="str">
            <v>LIMPIESPIN</v>
          </cell>
          <cell r="J19403">
            <v>0</v>
          </cell>
        </row>
        <row r="19404">
          <cell r="A19404" t="str">
            <v>LIMPIESPIN</v>
          </cell>
          <cell r="J19404">
            <v>0</v>
          </cell>
        </row>
        <row r="19405">
          <cell r="A19405" t="str">
            <v>LIMPIESPIN</v>
          </cell>
          <cell r="J19405">
            <v>0</v>
          </cell>
        </row>
        <row r="19406">
          <cell r="A19406" t="str">
            <v>LIMPIESPIN</v>
          </cell>
          <cell r="J19406">
            <v>0</v>
          </cell>
        </row>
        <row r="19407">
          <cell r="A19407" t="str">
            <v>LIMPIESPIN</v>
          </cell>
          <cell r="J19407">
            <v>0</v>
          </cell>
        </row>
        <row r="19408">
          <cell r="A19408" t="str">
            <v>LIMPIESPIN</v>
          </cell>
          <cell r="J19408">
            <v>0</v>
          </cell>
        </row>
        <row r="19409">
          <cell r="A19409" t="str">
            <v>LIMPIESPIN</v>
          </cell>
          <cell r="J19409">
            <v>0</v>
          </cell>
        </row>
        <row r="19410">
          <cell r="A19410" t="str">
            <v>LIMPIESPIN</v>
          </cell>
          <cell r="J19410">
            <v>0</v>
          </cell>
        </row>
        <row r="19411">
          <cell r="A19411" t="str">
            <v>LIMPIESPIN</v>
          </cell>
          <cell r="J19411">
            <v>0</v>
          </cell>
        </row>
        <row r="19412">
          <cell r="A19412" t="str">
            <v>LIMPIESPIN</v>
          </cell>
          <cell r="J19412">
            <v>0</v>
          </cell>
        </row>
        <row r="19413">
          <cell r="A19413" t="str">
            <v>LIMPIESPIN</v>
          </cell>
          <cell r="J19413">
            <v>0</v>
          </cell>
        </row>
        <row r="19414">
          <cell r="A19414" t="str">
            <v>LIMPIESPIN</v>
          </cell>
          <cell r="J19414">
            <v>0</v>
          </cell>
        </row>
        <row r="19415">
          <cell r="A19415" t="str">
            <v>LIMPIESPIN</v>
          </cell>
          <cell r="J19415">
            <v>0</v>
          </cell>
        </row>
        <row r="19416">
          <cell r="A19416" t="str">
            <v>LIMPIESPIN</v>
          </cell>
          <cell r="J19416">
            <v>0</v>
          </cell>
        </row>
        <row r="19417">
          <cell r="A19417" t="str">
            <v>LIMPIESPIN</v>
          </cell>
          <cell r="J19417">
            <v>0</v>
          </cell>
        </row>
        <row r="19418">
          <cell r="A19418" t="str">
            <v>LIMPIESPIN</v>
          </cell>
          <cell r="J19418">
            <v>0</v>
          </cell>
        </row>
        <row r="19419">
          <cell r="A19419" t="str">
            <v>LIMPIESPIN</v>
          </cell>
          <cell r="J19419">
            <v>0</v>
          </cell>
        </row>
        <row r="19420">
          <cell r="A19420" t="str">
            <v>LIMPIESPIN</v>
          </cell>
          <cell r="J19420">
            <v>0</v>
          </cell>
        </row>
        <row r="19421">
          <cell r="A19421" t="str">
            <v>LIMPIESPIN</v>
          </cell>
          <cell r="J19421">
            <v>0</v>
          </cell>
        </row>
        <row r="19422">
          <cell r="A19422" t="str">
            <v>LIMPIESPIN</v>
          </cell>
          <cell r="J19422">
            <v>0</v>
          </cell>
        </row>
        <row r="19423">
          <cell r="A19423" t="str">
            <v>LIMPIESPIN</v>
          </cell>
          <cell r="J19423">
            <v>0</v>
          </cell>
        </row>
        <row r="19424">
          <cell r="A19424" t="str">
            <v>LIMPIESPIN</v>
          </cell>
          <cell r="J19424">
            <v>0</v>
          </cell>
        </row>
        <row r="19425">
          <cell r="A19425" t="str">
            <v>LIMPIESPIN</v>
          </cell>
          <cell r="J19425">
            <v>0</v>
          </cell>
        </row>
        <row r="19426">
          <cell r="A19426" t="str">
            <v>LIMPIESPIN</v>
          </cell>
          <cell r="J19426">
            <v>0</v>
          </cell>
        </row>
        <row r="19427">
          <cell r="A19427" t="str">
            <v>LIMPIESPIN</v>
          </cell>
          <cell r="J19427">
            <v>0</v>
          </cell>
        </row>
        <row r="19428">
          <cell r="A19428" t="str">
            <v>LIMPIESPIN</v>
          </cell>
          <cell r="J19428">
            <v>0</v>
          </cell>
        </row>
        <row r="19429">
          <cell r="A19429" t="str">
            <v>LIMPIESPIN</v>
          </cell>
          <cell r="J19429">
            <v>0</v>
          </cell>
        </row>
        <row r="19430">
          <cell r="A19430" t="str">
            <v>LIMPIESPIN</v>
          </cell>
          <cell r="J19430">
            <v>0</v>
          </cell>
        </row>
        <row r="19431">
          <cell r="A19431" t="str">
            <v>LIMPIESPIN</v>
          </cell>
          <cell r="J19431">
            <v>0</v>
          </cell>
        </row>
        <row r="19432">
          <cell r="A19432" t="str">
            <v>LIMPIESPIN</v>
          </cell>
          <cell r="J19432">
            <v>0</v>
          </cell>
        </row>
        <row r="19433">
          <cell r="A19433" t="str">
            <v>LIMPIESPIN</v>
          </cell>
          <cell r="J19433">
            <v>0</v>
          </cell>
        </row>
        <row r="19434">
          <cell r="A19434" t="str">
            <v>LIMPIESPIN</v>
          </cell>
          <cell r="J19434">
            <v>0</v>
          </cell>
        </row>
        <row r="19435">
          <cell r="A19435" t="str">
            <v>LIMPIESPIN</v>
          </cell>
          <cell r="J19435">
            <v>0</v>
          </cell>
        </row>
        <row r="19436">
          <cell r="A19436" t="str">
            <v>LIMPIESPIN</v>
          </cell>
          <cell r="J19436">
            <v>0</v>
          </cell>
        </row>
        <row r="19437">
          <cell r="A19437" t="str">
            <v>LIMPIESPIN</v>
          </cell>
          <cell r="J19437">
            <v>0</v>
          </cell>
        </row>
        <row r="19438">
          <cell r="A19438" t="str">
            <v>LIMPIESPIN</v>
          </cell>
          <cell r="J19438">
            <v>0</v>
          </cell>
        </row>
        <row r="19439">
          <cell r="A19439" t="str">
            <v>LIMPIESPIN</v>
          </cell>
          <cell r="J19439">
            <v>0</v>
          </cell>
        </row>
        <row r="19440">
          <cell r="A19440" t="str">
            <v>LIMPIESPIN</v>
          </cell>
          <cell r="J19440">
            <v>0</v>
          </cell>
        </row>
        <row r="19441">
          <cell r="A19441" t="str">
            <v>LIMPIESPIN</v>
          </cell>
          <cell r="J19441">
            <v>0</v>
          </cell>
        </row>
        <row r="19442">
          <cell r="A19442" t="str">
            <v>LIMPIESPIN</v>
          </cell>
          <cell r="J19442">
            <v>0</v>
          </cell>
        </row>
        <row r="19443">
          <cell r="A19443" t="str">
            <v>LIMPIESPIN</v>
          </cell>
          <cell r="J19443">
            <v>0</v>
          </cell>
        </row>
        <row r="19444">
          <cell r="A19444" t="str">
            <v>LIMPIESPIN</v>
          </cell>
          <cell r="J19444">
            <v>0</v>
          </cell>
        </row>
        <row r="19445">
          <cell r="A19445" t="str">
            <v>LIMPIESPIN</v>
          </cell>
          <cell r="J19445">
            <v>0</v>
          </cell>
        </row>
        <row r="19446">
          <cell r="A19446" t="str">
            <v>LIMPIESPIN</v>
          </cell>
          <cell r="J19446">
            <v>0</v>
          </cell>
        </row>
        <row r="19447">
          <cell r="A19447" t="str">
            <v>LIMPIESPIN</v>
          </cell>
          <cell r="J19447">
            <v>0</v>
          </cell>
        </row>
        <row r="19448">
          <cell r="A19448" t="str">
            <v>LIMPIESPIN</v>
          </cell>
          <cell r="J19448">
            <v>0</v>
          </cell>
        </row>
        <row r="19449">
          <cell r="A19449" t="str">
            <v>LIMPIESPIN</v>
          </cell>
          <cell r="J19449">
            <v>0</v>
          </cell>
        </row>
        <row r="19450">
          <cell r="A19450" t="str">
            <v>LIMPIESPIN</v>
          </cell>
          <cell r="J19450">
            <v>0</v>
          </cell>
        </row>
        <row r="19451">
          <cell r="A19451" t="str">
            <v>LIMPIESPIN</v>
          </cell>
          <cell r="J19451">
            <v>0</v>
          </cell>
        </row>
        <row r="19452">
          <cell r="A19452" t="str">
            <v>LIMPIESPIN</v>
          </cell>
          <cell r="J19452">
            <v>0</v>
          </cell>
        </row>
        <row r="19453">
          <cell r="A19453" t="str">
            <v>LIMPIESPIN</v>
          </cell>
          <cell r="J19453">
            <v>0</v>
          </cell>
        </row>
        <row r="19454">
          <cell r="A19454" t="str">
            <v>LIMPIESPIN</v>
          </cell>
          <cell r="J19454">
            <v>0</v>
          </cell>
        </row>
        <row r="19455">
          <cell r="A19455" t="str">
            <v>LIMPIESPIN</v>
          </cell>
          <cell r="J19455">
            <v>0</v>
          </cell>
        </row>
        <row r="19456">
          <cell r="A19456" t="str">
            <v>LIMPIESPIN</v>
          </cell>
          <cell r="J19456">
            <v>0</v>
          </cell>
        </row>
        <row r="19457">
          <cell r="A19457" t="str">
            <v>LIMPIESPIN</v>
          </cell>
          <cell r="J19457">
            <v>0</v>
          </cell>
        </row>
        <row r="19458">
          <cell r="A19458" t="str">
            <v>LIMPIESPIN</v>
          </cell>
          <cell r="J19458">
            <v>0</v>
          </cell>
        </row>
        <row r="19459">
          <cell r="A19459" t="str">
            <v>LIMPIESPIN</v>
          </cell>
          <cell r="J19459">
            <v>0</v>
          </cell>
        </row>
        <row r="19460">
          <cell r="A19460" t="str">
            <v>LIMPIESPIN</v>
          </cell>
          <cell r="J19460">
            <v>0</v>
          </cell>
        </row>
        <row r="19461">
          <cell r="A19461" t="str">
            <v>LIMPIESPIN</v>
          </cell>
          <cell r="J19461">
            <v>0</v>
          </cell>
        </row>
        <row r="19462">
          <cell r="A19462" t="str">
            <v>LIMPIESPIN</v>
          </cell>
          <cell r="J19462">
            <v>0</v>
          </cell>
        </row>
        <row r="19463">
          <cell r="A19463" t="str">
            <v>LIMPIESPIN</v>
          </cell>
          <cell r="J19463">
            <v>0</v>
          </cell>
        </row>
        <row r="19464">
          <cell r="A19464" t="str">
            <v>LIMPIESPIN</v>
          </cell>
          <cell r="J19464">
            <v>0</v>
          </cell>
        </row>
        <row r="19465">
          <cell r="A19465" t="str">
            <v>LIMPIESPIN</v>
          </cell>
          <cell r="J19465">
            <v>0</v>
          </cell>
        </row>
        <row r="19466">
          <cell r="A19466" t="str">
            <v>LIMPIESPIN</v>
          </cell>
          <cell r="J19466">
            <v>0</v>
          </cell>
        </row>
        <row r="19467">
          <cell r="A19467" t="str">
            <v>LIMPIESPIN</v>
          </cell>
          <cell r="J19467">
            <v>0</v>
          </cell>
        </row>
        <row r="19468">
          <cell r="A19468" t="str">
            <v>LIMPIESPIN</v>
          </cell>
          <cell r="J19468">
            <v>0</v>
          </cell>
        </row>
        <row r="19469">
          <cell r="A19469" t="str">
            <v>LIMPIESPIN</v>
          </cell>
          <cell r="J19469">
            <v>0</v>
          </cell>
        </row>
        <row r="19470">
          <cell r="A19470" t="str">
            <v>LIMPIESPIN</v>
          </cell>
          <cell r="J19470">
            <v>0</v>
          </cell>
        </row>
        <row r="19471">
          <cell r="A19471" t="str">
            <v>LIMPIESPIN</v>
          </cell>
          <cell r="J19471">
            <v>0</v>
          </cell>
        </row>
        <row r="19472">
          <cell r="A19472" t="str">
            <v>LIMPIESPIN</v>
          </cell>
          <cell r="J19472">
            <v>0</v>
          </cell>
        </row>
        <row r="19473">
          <cell r="A19473" t="str">
            <v>LIMPIESPIN</v>
          </cell>
          <cell r="J19473">
            <v>0</v>
          </cell>
        </row>
        <row r="19474">
          <cell r="A19474" t="str">
            <v>LIMPIESPIN</v>
          </cell>
          <cell r="J19474">
            <v>0</v>
          </cell>
        </row>
        <row r="19475">
          <cell r="A19475" t="str">
            <v>LIMPIESPIN</v>
          </cell>
          <cell r="J19475">
            <v>0</v>
          </cell>
        </row>
        <row r="19476">
          <cell r="A19476" t="str">
            <v>LIMPIESPIN</v>
          </cell>
          <cell r="J19476">
            <v>0</v>
          </cell>
        </row>
        <row r="19477">
          <cell r="A19477" t="str">
            <v>LIMPIESPIN</v>
          </cell>
          <cell r="J19477">
            <v>0</v>
          </cell>
        </row>
        <row r="19478">
          <cell r="A19478" t="str">
            <v>LIMPIESPIN</v>
          </cell>
          <cell r="J19478">
            <v>0</v>
          </cell>
        </row>
        <row r="19479">
          <cell r="A19479" t="str">
            <v>LIMPIESPIN</v>
          </cell>
          <cell r="J19479">
            <v>0</v>
          </cell>
        </row>
        <row r="19480">
          <cell r="A19480" t="str">
            <v>LIMPIESPIN</v>
          </cell>
          <cell r="J19480">
            <v>0</v>
          </cell>
        </row>
        <row r="19481">
          <cell r="A19481" t="str">
            <v>LIMPIESPIN</v>
          </cell>
          <cell r="J19481">
            <v>0</v>
          </cell>
        </row>
        <row r="19482">
          <cell r="A19482" t="str">
            <v>LIMPIESPIN</v>
          </cell>
          <cell r="J19482">
            <v>0</v>
          </cell>
        </row>
        <row r="19483">
          <cell r="A19483" t="str">
            <v>LIMPIESPIN</v>
          </cell>
          <cell r="J19483">
            <v>0</v>
          </cell>
        </row>
        <row r="19484">
          <cell r="A19484" t="str">
            <v>LIMPIESPIN</v>
          </cell>
          <cell r="J19484">
            <v>0</v>
          </cell>
        </row>
        <row r="19485">
          <cell r="A19485" t="str">
            <v>LIMPIESPIN</v>
          </cell>
          <cell r="J19485">
            <v>0</v>
          </cell>
        </row>
        <row r="19486">
          <cell r="A19486" t="str">
            <v>LIMPIESPIN</v>
          </cell>
          <cell r="J19486">
            <v>0</v>
          </cell>
        </row>
        <row r="19487">
          <cell r="A19487" t="str">
            <v>LIMPIESPIN</v>
          </cell>
          <cell r="J19487">
            <v>0</v>
          </cell>
        </row>
        <row r="19488">
          <cell r="A19488" t="str">
            <v>LIMPIESPIN</v>
          </cell>
          <cell r="J19488">
            <v>0</v>
          </cell>
        </row>
        <row r="19489">
          <cell r="A19489" t="str">
            <v>LIMPIESPIN</v>
          </cell>
          <cell r="J19489">
            <v>0</v>
          </cell>
        </row>
        <row r="19490">
          <cell r="A19490" t="str">
            <v>LIMPIESPIN</v>
          </cell>
          <cell r="J19490">
            <v>0</v>
          </cell>
        </row>
        <row r="19491">
          <cell r="A19491" t="str">
            <v>LIMPIESPIN</v>
          </cell>
          <cell r="J19491">
            <v>0</v>
          </cell>
        </row>
        <row r="19492">
          <cell r="A19492" t="str">
            <v>LIMPIESPIN</v>
          </cell>
          <cell r="J19492">
            <v>0</v>
          </cell>
        </row>
        <row r="19493">
          <cell r="A19493" t="str">
            <v>LIMPIESPIN</v>
          </cell>
          <cell r="J19493">
            <v>0</v>
          </cell>
        </row>
        <row r="19494">
          <cell r="A19494" t="str">
            <v>LIMPIESPIN</v>
          </cell>
          <cell r="J19494">
            <v>0</v>
          </cell>
        </row>
        <row r="19495">
          <cell r="A19495" t="str">
            <v>LIMPIESPIN</v>
          </cell>
          <cell r="J19495">
            <v>0</v>
          </cell>
        </row>
        <row r="19496">
          <cell r="A19496" t="str">
            <v>LIMPIESPIN</v>
          </cell>
          <cell r="J19496">
            <v>0</v>
          </cell>
        </row>
        <row r="19497">
          <cell r="A19497" t="str">
            <v>LIMPIESPIN</v>
          </cell>
          <cell r="J19497">
            <v>0</v>
          </cell>
        </row>
        <row r="19498">
          <cell r="A19498" t="str">
            <v>LIMPIESPIN</v>
          </cell>
          <cell r="J19498">
            <v>0</v>
          </cell>
        </row>
        <row r="19499">
          <cell r="A19499" t="str">
            <v>LIMPIESPIN</v>
          </cell>
          <cell r="J19499">
            <v>0</v>
          </cell>
        </row>
        <row r="19500">
          <cell r="A19500" t="str">
            <v>LIMPIESPIN</v>
          </cell>
          <cell r="J19500">
            <v>0</v>
          </cell>
        </row>
        <row r="19501">
          <cell r="A19501" t="str">
            <v>LIMPIESPIN</v>
          </cell>
          <cell r="J19501">
            <v>0</v>
          </cell>
        </row>
        <row r="19502">
          <cell r="A19502" t="str">
            <v>LIMPIESPIN</v>
          </cell>
          <cell r="J19502">
            <v>0</v>
          </cell>
        </row>
        <row r="19503">
          <cell r="A19503" t="str">
            <v>LIMPIESPIN</v>
          </cell>
          <cell r="J19503">
            <v>0</v>
          </cell>
        </row>
        <row r="19504">
          <cell r="A19504" t="str">
            <v>LIMPIESPIN</v>
          </cell>
          <cell r="J19504">
            <v>0</v>
          </cell>
        </row>
        <row r="19505">
          <cell r="A19505" t="str">
            <v>LIMPIESPIN</v>
          </cell>
          <cell r="J19505">
            <v>0</v>
          </cell>
        </row>
        <row r="19506">
          <cell r="A19506" t="str">
            <v>LIMPIESPIN</v>
          </cell>
          <cell r="J19506">
            <v>0</v>
          </cell>
        </row>
        <row r="19507">
          <cell r="A19507" t="str">
            <v>LIMPIESPIN</v>
          </cell>
          <cell r="J19507">
            <v>0</v>
          </cell>
        </row>
        <row r="19508">
          <cell r="A19508" t="str">
            <v>LIMPIESPIN</v>
          </cell>
          <cell r="J19508">
            <v>0</v>
          </cell>
        </row>
        <row r="19509">
          <cell r="A19509" t="str">
            <v>LIMPIESPIN</v>
          </cell>
          <cell r="J19509">
            <v>0</v>
          </cell>
        </row>
        <row r="19510">
          <cell r="A19510" t="str">
            <v>LIMPIESPIN</v>
          </cell>
          <cell r="J19510">
            <v>0</v>
          </cell>
        </row>
        <row r="19511">
          <cell r="A19511" t="str">
            <v>LIMPIESPIN</v>
          </cell>
          <cell r="J19511">
            <v>0</v>
          </cell>
        </row>
        <row r="19512">
          <cell r="A19512" t="str">
            <v>LIMPIESPIN</v>
          </cell>
          <cell r="J19512">
            <v>0</v>
          </cell>
        </row>
        <row r="19513">
          <cell r="A19513" t="str">
            <v>LIMPIESPIN</v>
          </cell>
          <cell r="J19513">
            <v>0</v>
          </cell>
        </row>
        <row r="19514">
          <cell r="A19514" t="str">
            <v>LIMPIESPIN</v>
          </cell>
          <cell r="J19514">
            <v>0</v>
          </cell>
        </row>
        <row r="19515">
          <cell r="A19515" t="str">
            <v>LIMPIESPIN</v>
          </cell>
          <cell r="J19515">
            <v>0</v>
          </cell>
        </row>
        <row r="19516">
          <cell r="A19516" t="str">
            <v>LIMPIESPIN</v>
          </cell>
          <cell r="J19516">
            <v>0</v>
          </cell>
        </row>
        <row r="19517">
          <cell r="A19517" t="str">
            <v>LIMPIESPIN</v>
          </cell>
          <cell r="J19517">
            <v>0</v>
          </cell>
        </row>
        <row r="19518">
          <cell r="A19518" t="str">
            <v>LIMPIESPIN</v>
          </cell>
          <cell r="J19518">
            <v>0</v>
          </cell>
        </row>
        <row r="19519">
          <cell r="A19519" t="str">
            <v>LIMPIESPIN</v>
          </cell>
          <cell r="J19519">
            <v>0</v>
          </cell>
        </row>
        <row r="19520">
          <cell r="A19520" t="str">
            <v>LIMPIESPIN</v>
          </cell>
          <cell r="J19520">
            <v>0</v>
          </cell>
        </row>
        <row r="19521">
          <cell r="A19521" t="str">
            <v>LIMPIESPIN</v>
          </cell>
          <cell r="J19521">
            <v>0</v>
          </cell>
        </row>
        <row r="19522">
          <cell r="A19522" t="str">
            <v>LIMPIESPIN</v>
          </cell>
          <cell r="J19522">
            <v>0</v>
          </cell>
        </row>
        <row r="19523">
          <cell r="A19523" t="str">
            <v>LIMPIESPIN</v>
          </cell>
          <cell r="J19523">
            <v>0</v>
          </cell>
        </row>
        <row r="19524">
          <cell r="A19524" t="str">
            <v>LIMPIESPIN</v>
          </cell>
          <cell r="J19524">
            <v>0</v>
          </cell>
        </row>
        <row r="19525">
          <cell r="A19525" t="str">
            <v>LIMPIESPIN</v>
          </cell>
          <cell r="J19525">
            <v>0</v>
          </cell>
        </row>
        <row r="19526">
          <cell r="A19526" t="str">
            <v>LIMPIESPIN</v>
          </cell>
          <cell r="J19526">
            <v>0</v>
          </cell>
        </row>
        <row r="19527">
          <cell r="A19527" t="str">
            <v>LIMPIESPIN</v>
          </cell>
          <cell r="J19527">
            <v>0</v>
          </cell>
        </row>
        <row r="19528">
          <cell r="A19528" t="str">
            <v>LIMPIESPIN</v>
          </cell>
          <cell r="J19528">
            <v>0</v>
          </cell>
        </row>
        <row r="19529">
          <cell r="A19529" t="str">
            <v>LIMPIESPIN</v>
          </cell>
          <cell r="J19529">
            <v>0</v>
          </cell>
        </row>
        <row r="19530">
          <cell r="A19530" t="str">
            <v>LIMPIESPIN</v>
          </cell>
          <cell r="J19530">
            <v>0</v>
          </cell>
        </row>
        <row r="19531">
          <cell r="A19531" t="str">
            <v>LIMPIESPIN</v>
          </cell>
          <cell r="J19531">
            <v>0</v>
          </cell>
        </row>
        <row r="19532">
          <cell r="A19532" t="str">
            <v>LIMPIESPIN</v>
          </cell>
          <cell r="J19532">
            <v>0</v>
          </cell>
        </row>
        <row r="19533">
          <cell r="A19533" t="str">
            <v>LIMPIESPIN</v>
          </cell>
          <cell r="J19533">
            <v>0</v>
          </cell>
        </row>
        <row r="19534">
          <cell r="A19534" t="str">
            <v>LIMPIESPIN</v>
          </cell>
          <cell r="J19534">
            <v>0</v>
          </cell>
        </row>
        <row r="19535">
          <cell r="A19535" t="str">
            <v>LIMPIESPIN</v>
          </cell>
          <cell r="J19535">
            <v>0</v>
          </cell>
        </row>
        <row r="19536">
          <cell r="A19536" t="str">
            <v>LIMPIESPIN</v>
          </cell>
          <cell r="J19536">
            <v>0</v>
          </cell>
        </row>
        <row r="19537">
          <cell r="A19537" t="str">
            <v>LIMPIESPIN</v>
          </cell>
          <cell r="J19537">
            <v>0</v>
          </cell>
        </row>
        <row r="19538">
          <cell r="A19538" t="str">
            <v>LIMPIESPIN</v>
          </cell>
          <cell r="J19538">
            <v>0</v>
          </cell>
        </row>
        <row r="19539">
          <cell r="A19539" t="str">
            <v>LIMPIESPIN</v>
          </cell>
          <cell r="J19539">
            <v>0</v>
          </cell>
        </row>
        <row r="19540">
          <cell r="A19540" t="str">
            <v>LIMPIESPIN</v>
          </cell>
          <cell r="J19540">
            <v>0</v>
          </cell>
        </row>
        <row r="19541">
          <cell r="A19541" t="str">
            <v>LIMPIESPIN</v>
          </cell>
          <cell r="J19541">
            <v>0</v>
          </cell>
        </row>
        <row r="19542">
          <cell r="A19542" t="str">
            <v>LIMPIESPIN</v>
          </cell>
          <cell r="J19542">
            <v>0</v>
          </cell>
        </row>
        <row r="19543">
          <cell r="A19543" t="str">
            <v>LIMPIESPIN</v>
          </cell>
          <cell r="J19543">
            <v>0</v>
          </cell>
        </row>
        <row r="19544">
          <cell r="A19544" t="str">
            <v>LIMPIESPIN</v>
          </cell>
          <cell r="J19544">
            <v>0</v>
          </cell>
        </row>
        <row r="19545">
          <cell r="A19545" t="str">
            <v>LIMPIESPIN</v>
          </cell>
          <cell r="J19545">
            <v>0</v>
          </cell>
        </row>
        <row r="19546">
          <cell r="A19546" t="str">
            <v>LIMPIESPIN</v>
          </cell>
          <cell r="J19546">
            <v>0</v>
          </cell>
        </row>
        <row r="19547">
          <cell r="A19547" t="str">
            <v>LIMPIESPIN</v>
          </cell>
          <cell r="J19547">
            <v>0</v>
          </cell>
        </row>
        <row r="19548">
          <cell r="A19548" t="str">
            <v>LIMPIESPIN</v>
          </cell>
          <cell r="J19548">
            <v>0</v>
          </cell>
        </row>
        <row r="19549">
          <cell r="A19549" t="str">
            <v>LIMPIESPIN</v>
          </cell>
          <cell r="J19549">
            <v>0</v>
          </cell>
        </row>
        <row r="19550">
          <cell r="A19550" t="str">
            <v>LIMPIESPIN</v>
          </cell>
          <cell r="J19550">
            <v>0</v>
          </cell>
        </row>
        <row r="19551">
          <cell r="A19551" t="str">
            <v>LIMPIESPIN</v>
          </cell>
          <cell r="J19551">
            <v>0</v>
          </cell>
        </row>
        <row r="19552">
          <cell r="A19552" t="str">
            <v>LIMPIESPIN</v>
          </cell>
          <cell r="J19552">
            <v>0</v>
          </cell>
        </row>
        <row r="19553">
          <cell r="A19553" t="str">
            <v>LIMPIESPIN</v>
          </cell>
          <cell r="J19553">
            <v>0</v>
          </cell>
        </row>
        <row r="19554">
          <cell r="A19554" t="str">
            <v>LIMPIESPIN</v>
          </cell>
          <cell r="J19554">
            <v>0</v>
          </cell>
        </row>
        <row r="19555">
          <cell r="A19555" t="str">
            <v>LIMPIESPIN</v>
          </cell>
          <cell r="J19555">
            <v>0</v>
          </cell>
        </row>
        <row r="19556">
          <cell r="A19556" t="str">
            <v>LIMPIESPIN</v>
          </cell>
          <cell r="J19556">
            <v>0</v>
          </cell>
        </row>
        <row r="19557">
          <cell r="A19557" t="str">
            <v>LIMPIESPIN</v>
          </cell>
          <cell r="J19557">
            <v>0</v>
          </cell>
        </row>
        <row r="19558">
          <cell r="A19558" t="str">
            <v>LIMPIESPIN</v>
          </cell>
          <cell r="J19558">
            <v>0</v>
          </cell>
        </row>
        <row r="19559">
          <cell r="A19559" t="str">
            <v>LIMPIESPIN</v>
          </cell>
          <cell r="J19559">
            <v>0</v>
          </cell>
        </row>
        <row r="19560">
          <cell r="A19560" t="str">
            <v>LIMPIESPIN</v>
          </cell>
          <cell r="J19560">
            <v>0</v>
          </cell>
        </row>
        <row r="19561">
          <cell r="A19561" t="str">
            <v>LIMPIESPIN</v>
          </cell>
          <cell r="J19561">
            <v>0</v>
          </cell>
        </row>
        <row r="19562">
          <cell r="A19562" t="str">
            <v>LIMPIESPIN</v>
          </cell>
          <cell r="J19562">
            <v>0</v>
          </cell>
        </row>
        <row r="19563">
          <cell r="A19563" t="str">
            <v>LIMPIESPIN</v>
          </cell>
          <cell r="J19563">
            <v>0</v>
          </cell>
        </row>
        <row r="19564">
          <cell r="A19564" t="str">
            <v>LIMPIESPIN</v>
          </cell>
          <cell r="J19564">
            <v>0</v>
          </cell>
        </row>
        <row r="19565">
          <cell r="A19565" t="str">
            <v>LIMPIESPIN</v>
          </cell>
          <cell r="J19565">
            <v>0</v>
          </cell>
        </row>
        <row r="19566">
          <cell r="A19566" t="str">
            <v>LIMPIESPIN</v>
          </cell>
          <cell r="J19566">
            <v>0</v>
          </cell>
        </row>
        <row r="19567">
          <cell r="A19567" t="str">
            <v>LIMPIESPIN</v>
          </cell>
          <cell r="J19567">
            <v>0</v>
          </cell>
        </row>
        <row r="19568">
          <cell r="A19568" t="str">
            <v>LIMPIESPIN</v>
          </cell>
          <cell r="J19568">
            <v>0</v>
          </cell>
        </row>
        <row r="19569">
          <cell r="A19569" t="str">
            <v>LIMPIESPIN</v>
          </cell>
          <cell r="J19569">
            <v>0</v>
          </cell>
        </row>
        <row r="19570">
          <cell r="A19570" t="str">
            <v>LIMPIESPIN</v>
          </cell>
          <cell r="J19570">
            <v>0</v>
          </cell>
        </row>
        <row r="19571">
          <cell r="A19571" t="str">
            <v>LIMPIESPIN</v>
          </cell>
          <cell r="J19571">
            <v>0</v>
          </cell>
        </row>
        <row r="19572">
          <cell r="A19572" t="str">
            <v>LIMPIESPIN</v>
          </cell>
          <cell r="J19572">
            <v>0</v>
          </cell>
        </row>
        <row r="19573">
          <cell r="A19573" t="str">
            <v>LIMPIESPIN</v>
          </cell>
          <cell r="J19573">
            <v>0</v>
          </cell>
        </row>
        <row r="19574">
          <cell r="A19574" t="str">
            <v>LIMPIESPIN</v>
          </cell>
          <cell r="J19574">
            <v>0</v>
          </cell>
        </row>
        <row r="19575">
          <cell r="A19575" t="str">
            <v>LIMPIESPIN</v>
          </cell>
          <cell r="J19575">
            <v>0</v>
          </cell>
        </row>
        <row r="19576">
          <cell r="A19576" t="str">
            <v>LIMPIESPIN</v>
          </cell>
          <cell r="J19576">
            <v>0</v>
          </cell>
        </row>
        <row r="19577">
          <cell r="A19577" t="str">
            <v>LIMPIESPIN</v>
          </cell>
          <cell r="J19577">
            <v>0</v>
          </cell>
        </row>
        <row r="19578">
          <cell r="A19578" t="str">
            <v>LIMPIESPIN</v>
          </cell>
          <cell r="J19578">
            <v>0</v>
          </cell>
        </row>
        <row r="19579">
          <cell r="A19579" t="str">
            <v>LIMPIESPIN</v>
          </cell>
          <cell r="J19579">
            <v>0</v>
          </cell>
        </row>
        <row r="19580">
          <cell r="A19580" t="str">
            <v>LIMPIESPIN</v>
          </cell>
          <cell r="J19580">
            <v>0</v>
          </cell>
        </row>
        <row r="19581">
          <cell r="A19581" t="str">
            <v>LIMPIESPIN</v>
          </cell>
          <cell r="J19581">
            <v>0</v>
          </cell>
        </row>
        <row r="19582">
          <cell r="A19582" t="str">
            <v>LIMPIESPIN</v>
          </cell>
          <cell r="J19582">
            <v>0</v>
          </cell>
        </row>
        <row r="19583">
          <cell r="A19583" t="str">
            <v>LIMPIESPIN</v>
          </cell>
          <cell r="J19583">
            <v>0</v>
          </cell>
        </row>
        <row r="19584">
          <cell r="A19584" t="str">
            <v>LIMPIESPIN</v>
          </cell>
          <cell r="J19584">
            <v>0</v>
          </cell>
        </row>
        <row r="19585">
          <cell r="A19585" t="str">
            <v>LIMPIESPIN</v>
          </cell>
          <cell r="J19585">
            <v>0</v>
          </cell>
        </row>
        <row r="19586">
          <cell r="A19586" t="str">
            <v>LIMPIESPIN</v>
          </cell>
          <cell r="J19586">
            <v>0</v>
          </cell>
        </row>
        <row r="19587">
          <cell r="A19587" t="str">
            <v>LIMPIESPIN</v>
          </cell>
          <cell r="J19587">
            <v>0</v>
          </cell>
        </row>
        <row r="19588">
          <cell r="A19588" t="str">
            <v>LIMPIESPIN</v>
          </cell>
          <cell r="J19588">
            <v>0</v>
          </cell>
        </row>
        <row r="19589">
          <cell r="A19589" t="str">
            <v>LIMPIESPIN</v>
          </cell>
          <cell r="J19589">
            <v>0</v>
          </cell>
        </row>
        <row r="19590">
          <cell r="A19590" t="str">
            <v>LIMPIESPIN</v>
          </cell>
          <cell r="J19590">
            <v>0</v>
          </cell>
        </row>
        <row r="19591">
          <cell r="A19591" t="str">
            <v>LIMPIESPIN</v>
          </cell>
          <cell r="J19591">
            <v>0</v>
          </cell>
        </row>
        <row r="19592">
          <cell r="A19592" t="str">
            <v>LIMPIESPIN</v>
          </cell>
          <cell r="J19592">
            <v>0</v>
          </cell>
        </row>
        <row r="19593">
          <cell r="A19593" t="str">
            <v>LIMPIESPIN</v>
          </cell>
          <cell r="J19593">
            <v>0</v>
          </cell>
        </row>
        <row r="19594">
          <cell r="A19594" t="str">
            <v>LIMPIESPIN</v>
          </cell>
          <cell r="J19594">
            <v>0</v>
          </cell>
        </row>
        <row r="19595">
          <cell r="A19595" t="str">
            <v>LIMPIESPIN</v>
          </cell>
          <cell r="J19595">
            <v>0</v>
          </cell>
        </row>
        <row r="19596">
          <cell r="A19596" t="str">
            <v>LIMPIESPIN</v>
          </cell>
          <cell r="J19596">
            <v>0</v>
          </cell>
        </row>
        <row r="19597">
          <cell r="A19597" t="str">
            <v>LIMPIESPIN</v>
          </cell>
          <cell r="J19597">
            <v>0</v>
          </cell>
        </row>
        <row r="19598">
          <cell r="A19598" t="str">
            <v>LIMPIESPIN</v>
          </cell>
          <cell r="J19598">
            <v>0</v>
          </cell>
        </row>
        <row r="19599">
          <cell r="A19599" t="str">
            <v>LIMPIESPIN</v>
          </cell>
          <cell r="J19599">
            <v>0</v>
          </cell>
        </row>
        <row r="19600">
          <cell r="A19600" t="str">
            <v>LIMPIESPIN</v>
          </cell>
          <cell r="J19600">
            <v>0</v>
          </cell>
        </row>
        <row r="19601">
          <cell r="A19601" t="str">
            <v>LIMPIESPIN</v>
          </cell>
          <cell r="J19601">
            <v>0</v>
          </cell>
        </row>
        <row r="19602">
          <cell r="A19602" t="str">
            <v>LIMPIESPIN</v>
          </cell>
          <cell r="J19602">
            <v>0</v>
          </cell>
        </row>
        <row r="19603">
          <cell r="A19603" t="str">
            <v>LIMPIESPIN</v>
          </cell>
          <cell r="J19603">
            <v>0</v>
          </cell>
        </row>
        <row r="19604">
          <cell r="A19604" t="str">
            <v>LIMPIESPIN</v>
          </cell>
          <cell r="J19604">
            <v>0</v>
          </cell>
        </row>
        <row r="19605">
          <cell r="A19605" t="str">
            <v>LIMPIESPIN</v>
          </cell>
          <cell r="J19605">
            <v>0</v>
          </cell>
        </row>
        <row r="19606">
          <cell r="A19606" t="str">
            <v>LIMPIESPIN</v>
          </cell>
          <cell r="J19606">
            <v>0</v>
          </cell>
        </row>
        <row r="19607">
          <cell r="A19607" t="str">
            <v>LIMPIESPIN</v>
          </cell>
          <cell r="J19607">
            <v>0</v>
          </cell>
        </row>
        <row r="19608">
          <cell r="A19608" t="str">
            <v>LIMPIESPIN</v>
          </cell>
          <cell r="J19608">
            <v>0</v>
          </cell>
        </row>
        <row r="19609">
          <cell r="A19609" t="str">
            <v>LIMPIESPIN</v>
          </cell>
          <cell r="J19609">
            <v>0</v>
          </cell>
        </row>
        <row r="19610">
          <cell r="A19610" t="str">
            <v>LIMPIESPIN</v>
          </cell>
          <cell r="J19610">
            <v>0</v>
          </cell>
        </row>
        <row r="19611">
          <cell r="A19611" t="str">
            <v>LIMPIESPIN</v>
          </cell>
          <cell r="J19611">
            <v>0</v>
          </cell>
        </row>
        <row r="19612">
          <cell r="A19612" t="str">
            <v>LIMPIESPIN</v>
          </cell>
          <cell r="J19612">
            <v>0</v>
          </cell>
        </row>
        <row r="19613">
          <cell r="A19613" t="str">
            <v>LIMPIESPIN</v>
          </cell>
          <cell r="J19613">
            <v>0</v>
          </cell>
        </row>
        <row r="19614">
          <cell r="A19614" t="str">
            <v>LIMPIESPIN</v>
          </cell>
          <cell r="J19614">
            <v>0</v>
          </cell>
        </row>
        <row r="19615">
          <cell r="A19615" t="str">
            <v>LIMPIESPIN</v>
          </cell>
          <cell r="J19615">
            <v>0</v>
          </cell>
        </row>
        <row r="19616">
          <cell r="A19616" t="str">
            <v>LIMPIESPIN</v>
          </cell>
          <cell r="J19616">
            <v>0</v>
          </cell>
        </row>
        <row r="19617">
          <cell r="A19617" t="str">
            <v>LIMPIESPIN</v>
          </cell>
          <cell r="J19617">
            <v>0</v>
          </cell>
        </row>
        <row r="19618">
          <cell r="A19618" t="str">
            <v>LIMPIESPIN</v>
          </cell>
          <cell r="J19618">
            <v>0</v>
          </cell>
        </row>
        <row r="19619">
          <cell r="A19619" t="str">
            <v>LIMPIESPIN</v>
          </cell>
          <cell r="J19619">
            <v>0</v>
          </cell>
        </row>
        <row r="19620">
          <cell r="A19620" t="str">
            <v>LIMPIESPIN</v>
          </cell>
          <cell r="J19620">
            <v>0</v>
          </cell>
        </row>
        <row r="19621">
          <cell r="A19621" t="str">
            <v>LIMPIESPIN</v>
          </cell>
          <cell r="J19621">
            <v>0</v>
          </cell>
        </row>
        <row r="19622">
          <cell r="A19622" t="str">
            <v>LIMPIESPIN</v>
          </cell>
          <cell r="J19622">
            <v>0</v>
          </cell>
        </row>
        <row r="19623">
          <cell r="A19623" t="str">
            <v>LIMPIESPIN</v>
          </cell>
          <cell r="J19623">
            <v>0</v>
          </cell>
        </row>
        <row r="19624">
          <cell r="A19624" t="str">
            <v>LIMPIESPIN</v>
          </cell>
          <cell r="J19624">
            <v>0</v>
          </cell>
        </row>
        <row r="19625">
          <cell r="A19625" t="str">
            <v>LIMPIESPIN</v>
          </cell>
          <cell r="J19625">
            <v>0</v>
          </cell>
        </row>
        <row r="19626">
          <cell r="A19626" t="str">
            <v>LIMPIESPIN</v>
          </cell>
          <cell r="J19626">
            <v>0</v>
          </cell>
        </row>
        <row r="19627">
          <cell r="A19627" t="str">
            <v>LIMPIESPIN</v>
          </cell>
          <cell r="J19627">
            <v>0</v>
          </cell>
        </row>
        <row r="19628">
          <cell r="A19628" t="str">
            <v>LIMPIESPIN</v>
          </cell>
          <cell r="J19628">
            <v>0</v>
          </cell>
        </row>
        <row r="19629">
          <cell r="A19629" t="str">
            <v>LIMPIESPIN</v>
          </cell>
          <cell r="J19629">
            <v>0</v>
          </cell>
        </row>
        <row r="19630">
          <cell r="A19630" t="str">
            <v>LIMPIESPIN</v>
          </cell>
          <cell r="J19630">
            <v>0</v>
          </cell>
        </row>
        <row r="19631">
          <cell r="A19631" t="str">
            <v>LIMPIESPIN</v>
          </cell>
          <cell r="J19631">
            <v>0</v>
          </cell>
        </row>
        <row r="19632">
          <cell r="A19632" t="str">
            <v>LIMPIESPIN</v>
          </cell>
          <cell r="J19632">
            <v>0</v>
          </cell>
        </row>
        <row r="19633">
          <cell r="A19633" t="str">
            <v>LIMPIESPIN</v>
          </cell>
          <cell r="J19633">
            <v>0</v>
          </cell>
        </row>
        <row r="19634">
          <cell r="A19634" t="str">
            <v>LIMPIESPIN</v>
          </cell>
          <cell r="J19634">
            <v>0</v>
          </cell>
        </row>
        <row r="19635">
          <cell r="A19635" t="str">
            <v>LIMPIESPIN</v>
          </cell>
          <cell r="J19635">
            <v>0</v>
          </cell>
        </row>
        <row r="19636">
          <cell r="A19636" t="str">
            <v>LIMPIESPIN</v>
          </cell>
          <cell r="J19636">
            <v>0</v>
          </cell>
        </row>
        <row r="19637">
          <cell r="A19637" t="str">
            <v>LIMPIESPIN</v>
          </cell>
          <cell r="J19637">
            <v>0</v>
          </cell>
        </row>
        <row r="19638">
          <cell r="A19638" t="str">
            <v>LIMPIESPIN</v>
          </cell>
          <cell r="J19638">
            <v>0</v>
          </cell>
        </row>
        <row r="19639">
          <cell r="A19639" t="str">
            <v>LIMPIESPIN</v>
          </cell>
          <cell r="J19639">
            <v>0</v>
          </cell>
        </row>
        <row r="19640">
          <cell r="A19640" t="str">
            <v>LIMPIESPIN</v>
          </cell>
          <cell r="J19640">
            <v>0</v>
          </cell>
        </row>
        <row r="19641">
          <cell r="A19641" t="str">
            <v>LIMPIESPIN</v>
          </cell>
          <cell r="J19641">
            <v>0</v>
          </cell>
        </row>
        <row r="19642">
          <cell r="A19642" t="str">
            <v>LIMPIESPIN</v>
          </cell>
          <cell r="J19642">
            <v>0</v>
          </cell>
        </row>
        <row r="19643">
          <cell r="A19643" t="str">
            <v>LIMPIESPIN</v>
          </cell>
          <cell r="J19643">
            <v>0</v>
          </cell>
        </row>
        <row r="19644">
          <cell r="A19644" t="str">
            <v>LIMPIESPIN</v>
          </cell>
          <cell r="J19644">
            <v>0</v>
          </cell>
        </row>
        <row r="19645">
          <cell r="A19645" t="str">
            <v>LIMPIESPIN</v>
          </cell>
          <cell r="J19645">
            <v>0</v>
          </cell>
        </row>
        <row r="19646">
          <cell r="A19646" t="str">
            <v>LIMPIESPIN</v>
          </cell>
          <cell r="J19646">
            <v>0</v>
          </cell>
        </row>
        <row r="19647">
          <cell r="A19647" t="str">
            <v>LIMPIESPIN</v>
          </cell>
          <cell r="J19647">
            <v>0</v>
          </cell>
        </row>
        <row r="19648">
          <cell r="A19648" t="str">
            <v>LIMPIESPIN</v>
          </cell>
          <cell r="J19648">
            <v>0</v>
          </cell>
        </row>
        <row r="19649">
          <cell r="A19649" t="str">
            <v>LIMPIESPIN</v>
          </cell>
          <cell r="J19649">
            <v>0</v>
          </cell>
        </row>
        <row r="19650">
          <cell r="A19650" t="str">
            <v>LIMPIESPIN</v>
          </cell>
          <cell r="J19650">
            <v>0</v>
          </cell>
        </row>
        <row r="19651">
          <cell r="A19651" t="str">
            <v>LIMPIESPIN</v>
          </cell>
          <cell r="J19651">
            <v>0</v>
          </cell>
        </row>
        <row r="19652">
          <cell r="A19652" t="str">
            <v>LIMPIESPIN</v>
          </cell>
          <cell r="J19652">
            <v>0</v>
          </cell>
        </row>
        <row r="19653">
          <cell r="A19653" t="str">
            <v>LIMPIESPIN</v>
          </cell>
          <cell r="J19653">
            <v>0</v>
          </cell>
        </row>
        <row r="19654">
          <cell r="A19654" t="str">
            <v>LIMPIESPIN</v>
          </cell>
          <cell r="J19654">
            <v>0</v>
          </cell>
        </row>
        <row r="19655">
          <cell r="A19655" t="str">
            <v>LIMPIESPIN</v>
          </cell>
          <cell r="J19655">
            <v>0</v>
          </cell>
        </row>
        <row r="19656">
          <cell r="A19656" t="str">
            <v>LIMPIESPIN</v>
          </cell>
          <cell r="J19656">
            <v>0</v>
          </cell>
        </row>
        <row r="19657">
          <cell r="A19657" t="str">
            <v>LIMPIESPIN</v>
          </cell>
          <cell r="J19657">
            <v>0</v>
          </cell>
        </row>
        <row r="19658">
          <cell r="A19658" t="str">
            <v>LIMPIESPIN</v>
          </cell>
          <cell r="J19658">
            <v>0</v>
          </cell>
        </row>
        <row r="19659">
          <cell r="A19659" t="str">
            <v>LIMPIESPIN</v>
          </cell>
          <cell r="J19659">
            <v>0</v>
          </cell>
        </row>
        <row r="19660">
          <cell r="A19660" t="str">
            <v>LIMPIESPIN</v>
          </cell>
          <cell r="J19660">
            <v>0</v>
          </cell>
        </row>
        <row r="19661">
          <cell r="A19661" t="str">
            <v>LIMPIESPIN</v>
          </cell>
          <cell r="J19661">
            <v>0</v>
          </cell>
        </row>
        <row r="19662">
          <cell r="A19662" t="str">
            <v>LIMPIESPIN</v>
          </cell>
          <cell r="J19662">
            <v>0</v>
          </cell>
        </row>
        <row r="19663">
          <cell r="A19663" t="str">
            <v>LIMPIESPIN</v>
          </cell>
          <cell r="J19663">
            <v>0</v>
          </cell>
        </row>
        <row r="19664">
          <cell r="A19664" t="str">
            <v>LIMPIESPIN</v>
          </cell>
          <cell r="J19664">
            <v>0</v>
          </cell>
        </row>
        <row r="19665">
          <cell r="A19665" t="str">
            <v>LIMPIESPIN</v>
          </cell>
          <cell r="J19665">
            <v>0</v>
          </cell>
        </row>
        <row r="19666">
          <cell r="A19666" t="str">
            <v>LIMPIESPIN</v>
          </cell>
          <cell r="J19666">
            <v>0</v>
          </cell>
        </row>
        <row r="19667">
          <cell r="A19667" t="str">
            <v>LIMPIESPIN</v>
          </cell>
          <cell r="J19667">
            <v>0</v>
          </cell>
        </row>
        <row r="19668">
          <cell r="A19668" t="str">
            <v>LIMPIESPIN</v>
          </cell>
          <cell r="J19668">
            <v>0</v>
          </cell>
        </row>
        <row r="19669">
          <cell r="A19669" t="str">
            <v>LIMPIESPIN</v>
          </cell>
          <cell r="J19669">
            <v>0</v>
          </cell>
        </row>
        <row r="19670">
          <cell r="A19670" t="str">
            <v>LIMPIESPIN</v>
          </cell>
          <cell r="J19670">
            <v>0</v>
          </cell>
        </row>
        <row r="19671">
          <cell r="A19671" t="str">
            <v>LIMPIESPIN</v>
          </cell>
          <cell r="J19671">
            <v>0</v>
          </cell>
        </row>
        <row r="19672">
          <cell r="A19672" t="str">
            <v>LIMPIESPIN</v>
          </cell>
          <cell r="J19672">
            <v>0</v>
          </cell>
        </row>
        <row r="19673">
          <cell r="A19673" t="str">
            <v>LIMPIESPIN</v>
          </cell>
          <cell r="J19673">
            <v>0</v>
          </cell>
        </row>
        <row r="19674">
          <cell r="A19674" t="str">
            <v>LIMPIESPIN</v>
          </cell>
          <cell r="J19674">
            <v>0</v>
          </cell>
        </row>
        <row r="19675">
          <cell r="A19675" t="str">
            <v>LIMPIESPIN</v>
          </cell>
          <cell r="J19675">
            <v>0</v>
          </cell>
        </row>
        <row r="19676">
          <cell r="J19676">
            <v>0</v>
          </cell>
        </row>
        <row r="19677">
          <cell r="J19677">
            <v>0</v>
          </cell>
        </row>
        <row r="19678">
          <cell r="J19678">
            <v>0</v>
          </cell>
        </row>
        <row r="19679">
          <cell r="A19679" t="str">
            <v>SERVYCARGO</v>
          </cell>
          <cell r="B19679" t="str">
            <v>101-00000-000-0000</v>
          </cell>
          <cell r="J19679">
            <v>373311.88</v>
          </cell>
        </row>
        <row r="19680">
          <cell r="A19680" t="str">
            <v>SERVYCARGO</v>
          </cell>
          <cell r="B19680" t="str">
            <v>101-00002-000-0000</v>
          </cell>
          <cell r="J19680">
            <v>11997.62</v>
          </cell>
        </row>
        <row r="19681">
          <cell r="A19681" t="str">
            <v>SERVYCARGO</v>
          </cell>
          <cell r="B19681" t="str">
            <v>101-00002-003-0000</v>
          </cell>
          <cell r="J19681">
            <v>11997.62</v>
          </cell>
        </row>
        <row r="19682">
          <cell r="A19682" t="str">
            <v>SERVYCARGO</v>
          </cell>
          <cell r="B19682" t="str">
            <v>101-00002-003-0003</v>
          </cell>
          <cell r="J19682">
            <v>11997.62</v>
          </cell>
        </row>
        <row r="19683">
          <cell r="A19683" t="str">
            <v>SERVYCARGO</v>
          </cell>
          <cell r="B19683" t="str">
            <v>101-00004-000-0000</v>
          </cell>
          <cell r="J19683">
            <v>0.01</v>
          </cell>
        </row>
        <row r="19684">
          <cell r="A19684" t="str">
            <v>SERVYCARGO</v>
          </cell>
          <cell r="B19684" t="str">
            <v>101-00004-004-0000</v>
          </cell>
          <cell r="J19684">
            <v>0.01</v>
          </cell>
        </row>
        <row r="19685">
          <cell r="A19685" t="str">
            <v>SERVYCARGO</v>
          </cell>
          <cell r="B19685" t="str">
            <v>101-00004-004-0468</v>
          </cell>
          <cell r="J19685">
            <v>0.01</v>
          </cell>
        </row>
        <row r="19686">
          <cell r="A19686" t="str">
            <v>SERVYCARGO</v>
          </cell>
          <cell r="B19686" t="str">
            <v>101-00005-000-0000</v>
          </cell>
          <cell r="J19686">
            <v>189634.33</v>
          </cell>
        </row>
        <row r="19687">
          <cell r="A19687" t="str">
            <v>SERVYCARGO</v>
          </cell>
          <cell r="B19687" t="str">
            <v>101-00005-002-0000</v>
          </cell>
          <cell r="J19687">
            <v>189634.33</v>
          </cell>
        </row>
        <row r="19688">
          <cell r="A19688" t="str">
            <v>SERVYCARGO</v>
          </cell>
          <cell r="B19688" t="str">
            <v>101-00005-002-2261</v>
          </cell>
          <cell r="J19688">
            <v>9634.33</v>
          </cell>
        </row>
        <row r="19689">
          <cell r="A19689" t="str">
            <v>SERVYCARGO</v>
          </cell>
          <cell r="B19689" t="str">
            <v>101-00005-002-3235</v>
          </cell>
          <cell r="J19689">
            <v>180000</v>
          </cell>
        </row>
        <row r="19690">
          <cell r="A19690" t="str">
            <v>SERVYCARGO</v>
          </cell>
          <cell r="B19690" t="str">
            <v>101-00008-000-0000</v>
          </cell>
          <cell r="J19690">
            <v>20962</v>
          </cell>
        </row>
        <row r="19691">
          <cell r="A19691" t="str">
            <v>SERVYCARGO</v>
          </cell>
          <cell r="B19691" t="str">
            <v>101-00008-002-0000</v>
          </cell>
          <cell r="J19691">
            <v>7351</v>
          </cell>
        </row>
        <row r="19692">
          <cell r="A19692" t="str">
            <v>SERVYCARGO</v>
          </cell>
          <cell r="B19692" t="str">
            <v>101-00008-012-0000</v>
          </cell>
          <cell r="J19692">
            <v>13611</v>
          </cell>
        </row>
        <row r="19693">
          <cell r="A19693" t="str">
            <v>SERVYCARGO</v>
          </cell>
          <cell r="B19693" t="str">
            <v>101-00008-012-0007</v>
          </cell>
          <cell r="J19693">
            <v>13478</v>
          </cell>
        </row>
        <row r="19694">
          <cell r="A19694" t="str">
            <v>SERVYCARGO</v>
          </cell>
          <cell r="B19694" t="str">
            <v>101-00008-012-0008</v>
          </cell>
          <cell r="J19694">
            <v>116</v>
          </cell>
        </row>
        <row r="19695">
          <cell r="A19695" t="str">
            <v>SERVYCARGO</v>
          </cell>
          <cell r="B19695" t="str">
            <v>101-00008-012-0009</v>
          </cell>
          <cell r="J19695">
            <v>17</v>
          </cell>
        </row>
        <row r="19696">
          <cell r="A19696" t="str">
            <v>SERVYCARGO</v>
          </cell>
          <cell r="B19696" t="str">
            <v>101-00010-000-0000</v>
          </cell>
          <cell r="J19696">
            <v>0</v>
          </cell>
        </row>
        <row r="19697">
          <cell r="A19697" t="str">
            <v>SERVYCARGO</v>
          </cell>
          <cell r="B19697" t="str">
            <v>101-00010-001-0000</v>
          </cell>
          <cell r="J19697">
            <v>0</v>
          </cell>
        </row>
        <row r="19698">
          <cell r="A19698" t="str">
            <v>SERVYCARGO</v>
          </cell>
          <cell r="B19698" t="str">
            <v>101-00011-000-0000</v>
          </cell>
          <cell r="J19698">
            <v>717.92</v>
          </cell>
        </row>
        <row r="19699">
          <cell r="A19699" t="str">
            <v>SERVYCARGO</v>
          </cell>
          <cell r="B19699" t="str">
            <v>101-00011-001-0000</v>
          </cell>
          <cell r="J19699">
            <v>717.92</v>
          </cell>
        </row>
        <row r="19700">
          <cell r="A19700" t="str">
            <v>SERVYCARGO</v>
          </cell>
          <cell r="B19700" t="str">
            <v>101-00015-000-0000</v>
          </cell>
          <cell r="J19700">
            <v>150000</v>
          </cell>
        </row>
        <row r="19701">
          <cell r="A19701" t="str">
            <v>SERVYCARGO</v>
          </cell>
          <cell r="B19701" t="str">
            <v>101-00015-001-0000</v>
          </cell>
          <cell r="J19701">
            <v>150000</v>
          </cell>
        </row>
        <row r="19702">
          <cell r="A19702" t="str">
            <v>SERVYCARGO</v>
          </cell>
          <cell r="B19702" t="str">
            <v>101-00015-001-2303</v>
          </cell>
          <cell r="J19702">
            <v>150000</v>
          </cell>
        </row>
        <row r="19703">
          <cell r="A19703" t="str">
            <v>SERVYCARGO</v>
          </cell>
          <cell r="B19703" t="str">
            <v>102-00000-000-0000</v>
          </cell>
          <cell r="J19703">
            <v>2980</v>
          </cell>
        </row>
        <row r="19704">
          <cell r="A19704" t="str">
            <v>SERVYCARGO</v>
          </cell>
          <cell r="B19704" t="str">
            <v>102-00001-001-0000</v>
          </cell>
          <cell r="J19704">
            <v>35000</v>
          </cell>
        </row>
        <row r="19705">
          <cell r="A19705" t="str">
            <v>SERVYCARGO</v>
          </cell>
          <cell r="B19705" t="str">
            <v>102-00001-002-0000</v>
          </cell>
          <cell r="J19705">
            <v>-35000</v>
          </cell>
        </row>
        <row r="19706">
          <cell r="A19706" t="str">
            <v>SERVYCARGO</v>
          </cell>
          <cell r="B19706" t="str">
            <v>102-00003-001-0000</v>
          </cell>
          <cell r="J19706">
            <v>448305</v>
          </cell>
        </row>
        <row r="19707">
          <cell r="A19707" t="str">
            <v>SERVYCARGO</v>
          </cell>
          <cell r="B19707" t="str">
            <v>102-00003-002-0000</v>
          </cell>
          <cell r="J19707">
            <v>-448305</v>
          </cell>
        </row>
        <row r="19708">
          <cell r="A19708" t="str">
            <v>SERVYCARGO</v>
          </cell>
          <cell r="B19708" t="str">
            <v>102-00015-000-0000</v>
          </cell>
          <cell r="J19708">
            <v>2980</v>
          </cell>
        </row>
        <row r="19709">
          <cell r="A19709" t="str">
            <v>SERVYCARGO</v>
          </cell>
          <cell r="B19709" t="str">
            <v>102-00015-001-0000</v>
          </cell>
          <cell r="J19709">
            <v>2980</v>
          </cell>
        </row>
        <row r="19710">
          <cell r="A19710" t="str">
            <v>SERVYCARGO</v>
          </cell>
          <cell r="B19710" t="str">
            <v>102-00015-001-2217</v>
          </cell>
          <cell r="J19710">
            <v>2980</v>
          </cell>
        </row>
        <row r="19711">
          <cell r="A19711" t="str">
            <v>SERVYCARGO</v>
          </cell>
          <cell r="B19711" t="str">
            <v>103-00000-000-0000</v>
          </cell>
          <cell r="J19711">
            <v>232758.7</v>
          </cell>
        </row>
        <row r="19712">
          <cell r="A19712" t="str">
            <v>SERVYCARGO</v>
          </cell>
          <cell r="B19712" t="str">
            <v>103-00001-000-0000</v>
          </cell>
          <cell r="J19712">
            <v>232758.7</v>
          </cell>
        </row>
        <row r="19713">
          <cell r="A19713" t="str">
            <v>SERVYCARGO</v>
          </cell>
          <cell r="B19713" t="str">
            <v>103-00001-001-0000</v>
          </cell>
          <cell r="J19713">
            <v>344827.59</v>
          </cell>
        </row>
        <row r="19714">
          <cell r="A19714" t="str">
            <v>SERVYCARGO</v>
          </cell>
          <cell r="B19714" t="str">
            <v>103-00001-002-0000</v>
          </cell>
          <cell r="J19714">
            <v>-112068.89</v>
          </cell>
        </row>
        <row r="19715">
          <cell r="A19715" t="str">
            <v>SERVYCARGO</v>
          </cell>
          <cell r="B19715" t="str">
            <v>201-00000-000-0000</v>
          </cell>
          <cell r="J19715">
            <v>-19151.7</v>
          </cell>
        </row>
        <row r="19716">
          <cell r="A19716" t="str">
            <v>SERVYCARGO</v>
          </cell>
          <cell r="B19716" t="str">
            <v>201-00002-000-0000</v>
          </cell>
          <cell r="J19716">
            <v>-9442.85</v>
          </cell>
        </row>
        <row r="19717">
          <cell r="A19717" t="str">
            <v>SERVYCARGO</v>
          </cell>
          <cell r="B19717" t="str">
            <v>201-00002-002-0000</v>
          </cell>
          <cell r="J19717">
            <v>-9442.85</v>
          </cell>
        </row>
        <row r="19718">
          <cell r="A19718" t="str">
            <v>SERVYCARGO</v>
          </cell>
          <cell r="B19718" t="str">
            <v>201-00002-002-0092</v>
          </cell>
          <cell r="J19718">
            <v>-9442.85</v>
          </cell>
        </row>
        <row r="19719">
          <cell r="A19719" t="str">
            <v>SERVYCARGO</v>
          </cell>
          <cell r="B19719" t="str">
            <v>201-00002-002-0306</v>
          </cell>
          <cell r="J19719">
            <v>0</v>
          </cell>
        </row>
        <row r="19720">
          <cell r="A19720" t="str">
            <v>SERVYCARGO</v>
          </cell>
          <cell r="B19720" t="str">
            <v>201-00002-002-3395</v>
          </cell>
          <cell r="J19720">
            <v>0</v>
          </cell>
        </row>
        <row r="19721">
          <cell r="A19721" t="str">
            <v>SERVYCARGO</v>
          </cell>
          <cell r="B19721" t="str">
            <v>201-00008-000-0000</v>
          </cell>
          <cell r="J19721">
            <v>-9708.85</v>
          </cell>
        </row>
        <row r="19722">
          <cell r="A19722" t="str">
            <v>SERVYCARGO</v>
          </cell>
          <cell r="B19722" t="str">
            <v>202-00000-000-0000</v>
          </cell>
          <cell r="J19722">
            <v>-118000</v>
          </cell>
        </row>
        <row r="19723">
          <cell r="A19723" t="str">
            <v>SERVYCARGO</v>
          </cell>
          <cell r="B19723" t="str">
            <v>202-00001-000-0000</v>
          </cell>
          <cell r="J19723">
            <v>-118000</v>
          </cell>
        </row>
        <row r="19724">
          <cell r="A19724" t="str">
            <v>SERVYCARGO</v>
          </cell>
          <cell r="B19724" t="str">
            <v>202-00001-009-0000</v>
          </cell>
          <cell r="J19724">
            <v>-118000</v>
          </cell>
        </row>
        <row r="19725">
          <cell r="A19725" t="str">
            <v>SERVYCARGO</v>
          </cell>
          <cell r="B19725" t="str">
            <v>202-00001-009-0467</v>
          </cell>
          <cell r="J19725">
            <v>-118000</v>
          </cell>
        </row>
        <row r="19726">
          <cell r="A19726" t="str">
            <v>SERVYCARGO</v>
          </cell>
          <cell r="B19726" t="str">
            <v>301-00000-000-0000</v>
          </cell>
          <cell r="J19726">
            <v>-485111.63</v>
          </cell>
        </row>
        <row r="19727">
          <cell r="A19727" t="str">
            <v>SERVYCARGO</v>
          </cell>
          <cell r="B19727" t="str">
            <v>301-00001-000-0000</v>
          </cell>
          <cell r="J19727">
            <v>-50000</v>
          </cell>
        </row>
        <row r="19728">
          <cell r="A19728" t="str">
            <v>SERVYCARGO</v>
          </cell>
          <cell r="B19728" t="str">
            <v>301-00001-001-0000</v>
          </cell>
          <cell r="J19728">
            <v>-50000</v>
          </cell>
        </row>
        <row r="19729">
          <cell r="A19729" t="str">
            <v>SERVYCARGO</v>
          </cell>
          <cell r="B19729" t="str">
            <v>301-00004-000-0000</v>
          </cell>
          <cell r="J19729">
            <v>-435111.63</v>
          </cell>
        </row>
        <row r="19730">
          <cell r="A19730" t="str">
            <v>SERVYCARGO</v>
          </cell>
          <cell r="B19730" t="str">
            <v>301-00004-002-0000</v>
          </cell>
          <cell r="J19730">
            <v>9121.7999999999993</v>
          </cell>
        </row>
        <row r="19731">
          <cell r="A19731" t="str">
            <v>SERVYCARGO</v>
          </cell>
          <cell r="B19731" t="str">
            <v>301-00004-003-0000</v>
          </cell>
          <cell r="J19731">
            <v>12506.97</v>
          </cell>
        </row>
        <row r="19732">
          <cell r="A19732" t="str">
            <v>SERVYCARGO</v>
          </cell>
          <cell r="B19732" t="str">
            <v>301-00004-004-0000</v>
          </cell>
          <cell r="J19732">
            <v>-35953.879999999997</v>
          </cell>
        </row>
        <row r="19733">
          <cell r="A19733" t="str">
            <v>SERVYCARGO</v>
          </cell>
          <cell r="B19733" t="str">
            <v>301-00004-005-0000</v>
          </cell>
          <cell r="J19733">
            <v>8607.36</v>
          </cell>
        </row>
        <row r="19734">
          <cell r="A19734" t="str">
            <v>SERVYCARGO</v>
          </cell>
          <cell r="B19734" t="str">
            <v>301-00004-006-0000</v>
          </cell>
          <cell r="J19734">
            <v>-87498.4</v>
          </cell>
        </row>
        <row r="19735">
          <cell r="A19735" t="str">
            <v>SERVYCARGO</v>
          </cell>
          <cell r="B19735" t="str">
            <v>301-00004-007-0000</v>
          </cell>
          <cell r="J19735">
            <v>-114746.04</v>
          </cell>
        </row>
        <row r="19736">
          <cell r="A19736" t="str">
            <v>SERVYCARGO</v>
          </cell>
          <cell r="B19736" t="str">
            <v>301-00004-008-0000</v>
          </cell>
          <cell r="J19736">
            <v>-416514.92</v>
          </cell>
        </row>
        <row r="19737">
          <cell r="A19737" t="str">
            <v>SERVYCARGO</v>
          </cell>
          <cell r="B19737" t="str">
            <v>301-00004-009-0000</v>
          </cell>
          <cell r="J19737">
            <v>-330607.59000000003</v>
          </cell>
        </row>
        <row r="19738">
          <cell r="A19738" t="str">
            <v>SERVYCARGO</v>
          </cell>
          <cell r="B19738" t="str">
            <v>301-00004-010-0000</v>
          </cell>
          <cell r="J19738">
            <v>-183436.93</v>
          </cell>
        </row>
        <row r="19739">
          <cell r="A19739" t="str">
            <v>SERVYCARGO</v>
          </cell>
          <cell r="B19739" t="str">
            <v>301-00004-011-0000</v>
          </cell>
          <cell r="J19739">
            <v>-380662.08</v>
          </cell>
        </row>
        <row r="19740">
          <cell r="A19740" t="str">
            <v>SERVYCARGO</v>
          </cell>
          <cell r="B19740" t="str">
            <v>301-00004-012-0000</v>
          </cell>
          <cell r="J19740">
            <v>-34891.94</v>
          </cell>
        </row>
        <row r="19741">
          <cell r="A19741" t="str">
            <v>SERVYCARGO</v>
          </cell>
          <cell r="B19741" t="str">
            <v>301-00004-013-0000</v>
          </cell>
          <cell r="J19741">
            <v>-1539244.67</v>
          </cell>
        </row>
        <row r="19742">
          <cell r="A19742" t="str">
            <v>SERVYCARGO</v>
          </cell>
          <cell r="B19742" t="str">
            <v>301-00004-014-0000</v>
          </cell>
          <cell r="J19742">
            <v>-176856.82</v>
          </cell>
        </row>
        <row r="19743">
          <cell r="A19743" t="str">
            <v>SERVYCARGO</v>
          </cell>
          <cell r="B19743" t="str">
            <v>301-00004-015-0000</v>
          </cell>
          <cell r="J19743">
            <v>2807126.28</v>
          </cell>
        </row>
        <row r="19744">
          <cell r="A19744" t="str">
            <v>SERVYCARGO</v>
          </cell>
          <cell r="B19744" t="str">
            <v>301-00004-016-0000</v>
          </cell>
          <cell r="J19744">
            <v>-45656.800000000003</v>
          </cell>
        </row>
        <row r="19745">
          <cell r="A19745" t="str">
            <v>SERVYCARGO</v>
          </cell>
          <cell r="B19745" t="str">
            <v>301-00004-017-0000</v>
          </cell>
          <cell r="J19745">
            <v>73596.03</v>
          </cell>
        </row>
        <row r="19746">
          <cell r="A19746" t="str">
            <v>SERVYCARGO</v>
          </cell>
          <cell r="B19746" t="str">
            <v>411-00000-000-0000</v>
          </cell>
          <cell r="J19746">
            <v>-12931.04</v>
          </cell>
        </row>
        <row r="19747">
          <cell r="A19747" t="str">
            <v>SERVYCARGO</v>
          </cell>
          <cell r="B19747" t="str">
            <v>411-26777-000-0000</v>
          </cell>
          <cell r="J19747">
            <v>-12931.04</v>
          </cell>
        </row>
        <row r="19748">
          <cell r="A19748" t="str">
            <v>SERVYCARGO</v>
          </cell>
          <cell r="B19748" t="str">
            <v>411-26777-004-0000</v>
          </cell>
          <cell r="J19748">
            <v>-12931.04</v>
          </cell>
        </row>
        <row r="19749">
          <cell r="A19749" t="str">
            <v>SERVYCARGO</v>
          </cell>
          <cell r="B19749" t="str">
            <v>411-26777-004-0468</v>
          </cell>
          <cell r="J19749">
            <v>-12931.04</v>
          </cell>
        </row>
        <row r="19750">
          <cell r="A19750" t="str">
            <v>SERVYCARGO</v>
          </cell>
          <cell r="B19750" t="str">
            <v>650-00000-000-0000</v>
          </cell>
          <cell r="J19750">
            <v>14318.11</v>
          </cell>
        </row>
        <row r="19751">
          <cell r="A19751" t="str">
            <v>SERVYCARGO</v>
          </cell>
          <cell r="B19751" t="str">
            <v>650-99999-000-0000</v>
          </cell>
          <cell r="J19751">
            <v>14318.11</v>
          </cell>
        </row>
        <row r="19752">
          <cell r="A19752" t="str">
            <v>SERVYCARGO</v>
          </cell>
          <cell r="B19752" t="str">
            <v>650-99999-010-0000</v>
          </cell>
          <cell r="J19752">
            <v>14320</v>
          </cell>
        </row>
        <row r="19753">
          <cell r="A19753" t="str">
            <v>SERVYCARGO</v>
          </cell>
          <cell r="B19753" t="str">
            <v>650-99999-010-0001</v>
          </cell>
          <cell r="J19753">
            <v>14320</v>
          </cell>
        </row>
        <row r="19754">
          <cell r="A19754" t="str">
            <v>SERVYCARGO</v>
          </cell>
          <cell r="B19754" t="str">
            <v>650-99999-025-0000</v>
          </cell>
          <cell r="J19754">
            <v>-1.89</v>
          </cell>
        </row>
        <row r="19755">
          <cell r="A19755" t="str">
            <v>SERVYCARGO</v>
          </cell>
          <cell r="B19755" t="str">
            <v>650-99999-025-0001</v>
          </cell>
          <cell r="J19755">
            <v>-1.89</v>
          </cell>
        </row>
        <row r="19756">
          <cell r="A19756" t="str">
            <v>SERVYCARGO</v>
          </cell>
          <cell r="B19756" t="str">
            <v>660-00000-000-0000</v>
          </cell>
          <cell r="J19756">
            <v>8620.68</v>
          </cell>
        </row>
        <row r="19757">
          <cell r="A19757" t="str">
            <v>SERVYCARGO</v>
          </cell>
          <cell r="B19757" t="str">
            <v>660-99999-000-0000</v>
          </cell>
          <cell r="J19757">
            <v>8620.68</v>
          </cell>
        </row>
        <row r="19758">
          <cell r="A19758" t="str">
            <v>SERVYCARGO</v>
          </cell>
          <cell r="B19758" t="str">
            <v>660-99999-035-0000</v>
          </cell>
          <cell r="J19758">
            <v>8620.68</v>
          </cell>
        </row>
        <row r="19759">
          <cell r="A19759" t="str">
            <v>SERVYCARGO</v>
          </cell>
          <cell r="B19759" t="str">
            <v>660-99999-035-0001</v>
          </cell>
          <cell r="J19759">
            <v>8620.68</v>
          </cell>
        </row>
        <row r="19760">
          <cell r="A19760" t="str">
            <v>SERVYCARGO</v>
          </cell>
          <cell r="B19760" t="str">
            <v>710-00000-000-0000</v>
          </cell>
          <cell r="J19760">
            <v>3205</v>
          </cell>
        </row>
        <row r="19761">
          <cell r="A19761" t="str">
            <v>SERVYCARGO</v>
          </cell>
          <cell r="B19761" t="str">
            <v>710-99999-000-0000</v>
          </cell>
          <cell r="J19761">
            <v>3205</v>
          </cell>
        </row>
        <row r="19762">
          <cell r="A19762" t="str">
            <v>SERVYCARGO</v>
          </cell>
          <cell r="B19762" t="str">
            <v>710-99999-002-0000</v>
          </cell>
          <cell r="J19762">
            <v>3205</v>
          </cell>
        </row>
        <row r="19763">
          <cell r="A19763" t="str">
            <v>SERVYCARGO</v>
          </cell>
          <cell r="B19763" t="str">
            <v>710-99999-002-0001</v>
          </cell>
          <cell r="J19763">
            <v>3205</v>
          </cell>
        </row>
        <row r="19764">
          <cell r="A19764" t="str">
            <v>SERVYCARGO</v>
          </cell>
          <cell r="J19764">
            <v>0</v>
          </cell>
        </row>
        <row r="19765">
          <cell r="A19765" t="str">
            <v>SERVYCARGO</v>
          </cell>
          <cell r="J19765">
            <v>0</v>
          </cell>
        </row>
        <row r="19766">
          <cell r="A19766" t="str">
            <v>SERVYCARGO</v>
          </cell>
          <cell r="J19766">
            <v>0</v>
          </cell>
        </row>
        <row r="19767">
          <cell r="A19767" t="str">
            <v>SERVYCARGO</v>
          </cell>
          <cell r="J19767">
            <v>0</v>
          </cell>
        </row>
        <row r="19768">
          <cell r="A19768" t="str">
            <v>SERVYCARGO</v>
          </cell>
          <cell r="J19768">
            <v>0</v>
          </cell>
        </row>
        <row r="19769">
          <cell r="A19769" t="str">
            <v>SERVYCARGO</v>
          </cell>
          <cell r="J19769">
            <v>0</v>
          </cell>
        </row>
        <row r="19770">
          <cell r="A19770" t="str">
            <v>SERVYCARGO</v>
          </cell>
          <cell r="J19770">
            <v>0</v>
          </cell>
        </row>
        <row r="19771">
          <cell r="A19771" t="str">
            <v>SERVYCARGO</v>
          </cell>
          <cell r="J19771">
            <v>0</v>
          </cell>
        </row>
        <row r="19772">
          <cell r="A19772" t="str">
            <v>SERVYCARGO</v>
          </cell>
          <cell r="J19772">
            <v>0</v>
          </cell>
        </row>
        <row r="19773">
          <cell r="A19773" t="str">
            <v>SERVYCARGO</v>
          </cell>
          <cell r="J19773">
            <v>0</v>
          </cell>
        </row>
        <row r="19774">
          <cell r="A19774" t="str">
            <v>SERVYCARGO</v>
          </cell>
          <cell r="J19774">
            <v>0</v>
          </cell>
        </row>
        <row r="19775">
          <cell r="A19775" t="str">
            <v>SERVYCARGO</v>
          </cell>
          <cell r="J19775">
            <v>0</v>
          </cell>
        </row>
        <row r="19776">
          <cell r="A19776" t="str">
            <v>SERVYCARGO</v>
          </cell>
          <cell r="J19776">
            <v>0</v>
          </cell>
        </row>
        <row r="19777">
          <cell r="A19777" t="str">
            <v>SERVYCARGO</v>
          </cell>
          <cell r="J19777">
            <v>0</v>
          </cell>
        </row>
        <row r="19778">
          <cell r="A19778" t="str">
            <v>SERVYCARGO</v>
          </cell>
          <cell r="J19778">
            <v>0</v>
          </cell>
        </row>
        <row r="19779">
          <cell r="A19779" t="str">
            <v>SERVYCARGO</v>
          </cell>
          <cell r="J19779">
            <v>0</v>
          </cell>
        </row>
        <row r="19780">
          <cell r="A19780" t="str">
            <v>SERVYCARGO</v>
          </cell>
          <cell r="J19780">
            <v>0</v>
          </cell>
        </row>
        <row r="19781">
          <cell r="A19781" t="str">
            <v>SERVYCARGO</v>
          </cell>
          <cell r="J19781">
            <v>0</v>
          </cell>
        </row>
        <row r="19782">
          <cell r="A19782" t="str">
            <v>SERVYCARGO</v>
          </cell>
          <cell r="J19782">
            <v>0</v>
          </cell>
        </row>
        <row r="19783">
          <cell r="A19783" t="str">
            <v>SERVYCARGO</v>
          </cell>
          <cell r="J19783">
            <v>0</v>
          </cell>
        </row>
        <row r="19784">
          <cell r="A19784" t="str">
            <v>SERVYCARGO</v>
          </cell>
          <cell r="J19784">
            <v>0</v>
          </cell>
        </row>
        <row r="19785">
          <cell r="A19785" t="str">
            <v>SERVYCARGO</v>
          </cell>
          <cell r="J19785">
            <v>0</v>
          </cell>
        </row>
        <row r="19786">
          <cell r="A19786" t="str">
            <v>SERVYCARGO</v>
          </cell>
          <cell r="J19786">
            <v>0</v>
          </cell>
        </row>
        <row r="19787">
          <cell r="A19787" t="str">
            <v>SERVYCARGO</v>
          </cell>
          <cell r="J19787">
            <v>0</v>
          </cell>
        </row>
        <row r="19788">
          <cell r="A19788" t="str">
            <v>SERVYCARGO</v>
          </cell>
          <cell r="J19788">
            <v>0</v>
          </cell>
        </row>
        <row r="19789">
          <cell r="A19789" t="str">
            <v>SERVYCARGO</v>
          </cell>
          <cell r="J19789">
            <v>0</v>
          </cell>
        </row>
        <row r="19790">
          <cell r="A19790" t="str">
            <v>SERVYCARGO</v>
          </cell>
          <cell r="J19790">
            <v>0</v>
          </cell>
        </row>
        <row r="19791">
          <cell r="A19791" t="str">
            <v>SERVYCARGO</v>
          </cell>
          <cell r="J19791">
            <v>0</v>
          </cell>
        </row>
        <row r="19792">
          <cell r="A19792" t="str">
            <v>SERVYCARGO</v>
          </cell>
          <cell r="J19792">
            <v>0</v>
          </cell>
        </row>
        <row r="19793">
          <cell r="A19793" t="str">
            <v>SERVYCARGO</v>
          </cell>
          <cell r="J19793">
            <v>0</v>
          </cell>
        </row>
        <row r="19794">
          <cell r="A19794" t="str">
            <v>SERVYCARGO</v>
          </cell>
          <cell r="J19794">
            <v>0</v>
          </cell>
        </row>
        <row r="19795">
          <cell r="A19795" t="str">
            <v>SERVYCARGO</v>
          </cell>
          <cell r="J19795">
            <v>0</v>
          </cell>
        </row>
        <row r="19796">
          <cell r="A19796" t="str">
            <v>SERVYCARGO</v>
          </cell>
          <cell r="J19796">
            <v>0</v>
          </cell>
        </row>
        <row r="19797">
          <cell r="A19797" t="str">
            <v>SERVYCARGO</v>
          </cell>
          <cell r="J19797">
            <v>0</v>
          </cell>
        </row>
        <row r="19798">
          <cell r="A19798" t="str">
            <v>SERVYCARGO</v>
          </cell>
          <cell r="J19798">
            <v>0</v>
          </cell>
        </row>
        <row r="19799">
          <cell r="A19799" t="str">
            <v>SERVYCARGO</v>
          </cell>
          <cell r="J19799">
            <v>0</v>
          </cell>
        </row>
        <row r="19800">
          <cell r="A19800" t="str">
            <v>SERVYCARGO</v>
          </cell>
          <cell r="J19800">
            <v>0</v>
          </cell>
        </row>
        <row r="19801">
          <cell r="A19801" t="str">
            <v>SERVYCARGO</v>
          </cell>
          <cell r="J19801">
            <v>0</v>
          </cell>
        </row>
        <row r="19802">
          <cell r="A19802" t="str">
            <v>SERVYCARGO</v>
          </cell>
          <cell r="J19802">
            <v>0</v>
          </cell>
        </row>
        <row r="19803">
          <cell r="A19803" t="str">
            <v>SERVYCARGO</v>
          </cell>
          <cell r="J19803">
            <v>0</v>
          </cell>
        </row>
        <row r="19804">
          <cell r="A19804" t="str">
            <v>SERVYCARGO</v>
          </cell>
          <cell r="J19804">
            <v>0</v>
          </cell>
        </row>
        <row r="19805">
          <cell r="A19805" t="str">
            <v>SERVYCARGO</v>
          </cell>
          <cell r="J19805">
            <v>0</v>
          </cell>
        </row>
        <row r="19806">
          <cell r="A19806" t="str">
            <v>SERVYCARGO</v>
          </cell>
          <cell r="J19806">
            <v>0</v>
          </cell>
        </row>
        <row r="19807">
          <cell r="A19807" t="str">
            <v>SERVYCARGO</v>
          </cell>
          <cell r="J19807">
            <v>0</v>
          </cell>
        </row>
        <row r="19808">
          <cell r="A19808" t="str">
            <v>SERVYCARGO</v>
          </cell>
          <cell r="J19808">
            <v>0</v>
          </cell>
        </row>
        <row r="19809">
          <cell r="A19809" t="str">
            <v>SERVYCARGO</v>
          </cell>
          <cell r="J19809">
            <v>0</v>
          </cell>
        </row>
        <row r="19810">
          <cell r="A19810" t="str">
            <v>SERVYCARGO</v>
          </cell>
          <cell r="J19810">
            <v>0</v>
          </cell>
        </row>
        <row r="19811">
          <cell r="A19811" t="str">
            <v>SERVYCARGO</v>
          </cell>
          <cell r="J19811">
            <v>0</v>
          </cell>
        </row>
        <row r="19812">
          <cell r="A19812" t="str">
            <v>SERVYCARGO</v>
          </cell>
          <cell r="J19812">
            <v>0</v>
          </cell>
        </row>
        <row r="19813">
          <cell r="A19813" t="str">
            <v>SERVYCARGO</v>
          </cell>
          <cell r="J19813">
            <v>0</v>
          </cell>
        </row>
        <row r="19814">
          <cell r="A19814" t="str">
            <v>SERVYCARGO</v>
          </cell>
          <cell r="J19814">
            <v>0</v>
          </cell>
        </row>
        <row r="19815">
          <cell r="A19815" t="str">
            <v>SERVYCARGO</v>
          </cell>
          <cell r="J19815">
            <v>0</v>
          </cell>
        </row>
        <row r="19816">
          <cell r="A19816" t="str">
            <v>SERVYCARGO</v>
          </cell>
          <cell r="J19816">
            <v>0</v>
          </cell>
        </row>
        <row r="19817">
          <cell r="A19817" t="str">
            <v>SERVYCARGO</v>
          </cell>
          <cell r="J19817">
            <v>0</v>
          </cell>
        </row>
        <row r="19818">
          <cell r="A19818" t="str">
            <v>SERVYCARGO</v>
          </cell>
          <cell r="J19818">
            <v>0</v>
          </cell>
        </row>
        <row r="19819">
          <cell r="A19819" t="str">
            <v>SERVYCARGO</v>
          </cell>
          <cell r="J19819">
            <v>0</v>
          </cell>
        </row>
        <row r="19820">
          <cell r="A19820" t="str">
            <v>SERVYCARGO</v>
          </cell>
          <cell r="J19820">
            <v>0</v>
          </cell>
        </row>
        <row r="19821">
          <cell r="A19821" t="str">
            <v>SERVYCARGO</v>
          </cell>
          <cell r="J19821">
            <v>0</v>
          </cell>
        </row>
        <row r="19822">
          <cell r="A19822" t="str">
            <v>SERVYCARGO</v>
          </cell>
          <cell r="J19822">
            <v>0</v>
          </cell>
        </row>
        <row r="19823">
          <cell r="A19823" t="str">
            <v>SERVYCARGO</v>
          </cell>
          <cell r="J19823">
            <v>0</v>
          </cell>
        </row>
        <row r="19824">
          <cell r="A19824" t="str">
            <v>SERVYCARGO</v>
          </cell>
          <cell r="J19824">
            <v>0</v>
          </cell>
        </row>
        <row r="19825">
          <cell r="A19825" t="str">
            <v>SERVYCARGO</v>
          </cell>
          <cell r="J19825">
            <v>0</v>
          </cell>
        </row>
        <row r="19826">
          <cell r="A19826" t="str">
            <v>SERVYCARGO</v>
          </cell>
          <cell r="J19826">
            <v>0</v>
          </cell>
        </row>
        <row r="19827">
          <cell r="A19827" t="str">
            <v>SERVYCARGO</v>
          </cell>
          <cell r="J19827">
            <v>0</v>
          </cell>
        </row>
        <row r="19828">
          <cell r="A19828" t="str">
            <v>SERVYCARGO</v>
          </cell>
          <cell r="J19828">
            <v>0</v>
          </cell>
        </row>
        <row r="19829">
          <cell r="A19829" t="str">
            <v>SERVYCARGO</v>
          </cell>
          <cell r="J19829">
            <v>0</v>
          </cell>
        </row>
        <row r="19830">
          <cell r="A19830" t="str">
            <v>SERVYCARGO</v>
          </cell>
          <cell r="J19830">
            <v>0</v>
          </cell>
        </row>
        <row r="19831">
          <cell r="A19831" t="str">
            <v>SERVYCARGO</v>
          </cell>
          <cell r="J19831">
            <v>0</v>
          </cell>
        </row>
        <row r="19832">
          <cell r="A19832" t="str">
            <v>SERVYCARGO</v>
          </cell>
          <cell r="J19832">
            <v>0</v>
          </cell>
        </row>
        <row r="19833">
          <cell r="A19833" t="str">
            <v>SERVYCARGO</v>
          </cell>
          <cell r="J19833">
            <v>0</v>
          </cell>
        </row>
        <row r="19834">
          <cell r="A19834" t="str">
            <v>SERVYCARGO</v>
          </cell>
          <cell r="J19834">
            <v>0</v>
          </cell>
        </row>
        <row r="19835">
          <cell r="A19835" t="str">
            <v>SERVYCARGO</v>
          </cell>
          <cell r="J19835">
            <v>0</v>
          </cell>
        </row>
        <row r="19836">
          <cell r="A19836" t="str">
            <v>SERVYCARGO</v>
          </cell>
          <cell r="J19836">
            <v>0</v>
          </cell>
        </row>
        <row r="19837">
          <cell r="A19837" t="str">
            <v>SERVYCARGO</v>
          </cell>
          <cell r="J19837">
            <v>0</v>
          </cell>
        </row>
        <row r="19838">
          <cell r="A19838" t="str">
            <v>SERVYCARGO</v>
          </cell>
          <cell r="J19838">
            <v>0</v>
          </cell>
        </row>
        <row r="19839">
          <cell r="A19839" t="str">
            <v>SERVYCARGO</v>
          </cell>
          <cell r="J19839">
            <v>0</v>
          </cell>
        </row>
        <row r="19840">
          <cell r="A19840" t="str">
            <v>SERVYCARGO</v>
          </cell>
          <cell r="J19840">
            <v>0</v>
          </cell>
        </row>
        <row r="19841">
          <cell r="A19841" t="str">
            <v>SERVYCARGO</v>
          </cell>
          <cell r="J19841">
            <v>0</v>
          </cell>
        </row>
        <row r="19842">
          <cell r="A19842" t="str">
            <v>SERVYCARGO</v>
          </cell>
          <cell r="J19842">
            <v>0</v>
          </cell>
        </row>
        <row r="19843">
          <cell r="A19843" t="str">
            <v>SERVYCARGO</v>
          </cell>
          <cell r="J19843">
            <v>0</v>
          </cell>
        </row>
        <row r="19844">
          <cell r="A19844" t="str">
            <v>SERVYCARGO</v>
          </cell>
          <cell r="J19844">
            <v>0</v>
          </cell>
        </row>
        <row r="19845">
          <cell r="A19845" t="str">
            <v>SERVYCARGO</v>
          </cell>
          <cell r="J19845">
            <v>0</v>
          </cell>
        </row>
        <row r="19846">
          <cell r="A19846" t="str">
            <v>SERVYCARGO</v>
          </cell>
          <cell r="J19846">
            <v>0</v>
          </cell>
        </row>
        <row r="19847">
          <cell r="A19847" t="str">
            <v>SERVYCARGO</v>
          </cell>
          <cell r="J19847">
            <v>0</v>
          </cell>
        </row>
        <row r="19848">
          <cell r="A19848" t="str">
            <v>SERVYCARGO</v>
          </cell>
          <cell r="J19848">
            <v>0</v>
          </cell>
        </row>
        <row r="19849">
          <cell r="A19849" t="str">
            <v>SERVYCARGO</v>
          </cell>
          <cell r="J19849">
            <v>0</v>
          </cell>
        </row>
        <row r="19850">
          <cell r="A19850" t="str">
            <v>SERVYCARGO</v>
          </cell>
          <cell r="J19850">
            <v>0</v>
          </cell>
        </row>
        <row r="19851">
          <cell r="A19851" t="str">
            <v>SERVYCARGO</v>
          </cell>
          <cell r="J19851">
            <v>0</v>
          </cell>
        </row>
        <row r="19852">
          <cell r="A19852" t="str">
            <v>SERVYCARGO</v>
          </cell>
          <cell r="J19852">
            <v>0</v>
          </cell>
        </row>
        <row r="19853">
          <cell r="A19853" t="str">
            <v>SERVYCARGO</v>
          </cell>
          <cell r="J19853">
            <v>0</v>
          </cell>
        </row>
        <row r="19854">
          <cell r="A19854" t="str">
            <v>SERVYCARGO</v>
          </cell>
          <cell r="J19854">
            <v>0</v>
          </cell>
        </row>
        <row r="19855">
          <cell r="A19855" t="str">
            <v>SERVYCARGO</v>
          </cell>
          <cell r="J19855">
            <v>0</v>
          </cell>
        </row>
        <row r="19856">
          <cell r="A19856" t="str">
            <v>SERVYCARGO</v>
          </cell>
          <cell r="J19856">
            <v>0</v>
          </cell>
        </row>
        <row r="19857">
          <cell r="A19857" t="str">
            <v>SERVYCARGO</v>
          </cell>
          <cell r="J19857">
            <v>0</v>
          </cell>
        </row>
        <row r="19858">
          <cell r="A19858" t="str">
            <v>SERVYCARGO</v>
          </cell>
          <cell r="J19858">
            <v>0</v>
          </cell>
        </row>
        <row r="19859">
          <cell r="A19859" t="str">
            <v>SERVYCARGO</v>
          </cell>
          <cell r="J19859">
            <v>0</v>
          </cell>
        </row>
        <row r="19860">
          <cell r="A19860" t="str">
            <v>SERVYCARGO</v>
          </cell>
          <cell r="J19860">
            <v>0</v>
          </cell>
        </row>
        <row r="19861">
          <cell r="A19861" t="str">
            <v>SERVYCARGO</v>
          </cell>
          <cell r="J19861">
            <v>0</v>
          </cell>
        </row>
        <row r="19862">
          <cell r="A19862" t="str">
            <v>SERVYCARGO</v>
          </cell>
          <cell r="J19862">
            <v>0</v>
          </cell>
        </row>
        <row r="19863">
          <cell r="A19863" t="str">
            <v>SERVYCARGO</v>
          </cell>
          <cell r="J19863">
            <v>0</v>
          </cell>
        </row>
        <row r="19864">
          <cell r="A19864" t="str">
            <v>SERVYCARGO</v>
          </cell>
          <cell r="J19864">
            <v>0</v>
          </cell>
        </row>
        <row r="19865">
          <cell r="A19865" t="str">
            <v>SERVYCARGO</v>
          </cell>
          <cell r="J19865">
            <v>0</v>
          </cell>
        </row>
        <row r="19866">
          <cell r="A19866" t="str">
            <v>SERVYCARGO</v>
          </cell>
          <cell r="J19866">
            <v>0</v>
          </cell>
        </row>
        <row r="19867">
          <cell r="A19867" t="str">
            <v>SERVYCARGO</v>
          </cell>
          <cell r="J19867">
            <v>0</v>
          </cell>
        </row>
        <row r="19868">
          <cell r="A19868" t="str">
            <v>SERVYCARGO</v>
          </cell>
          <cell r="J19868">
            <v>0</v>
          </cell>
        </row>
        <row r="19869">
          <cell r="A19869" t="str">
            <v>SERVYCARGO</v>
          </cell>
          <cell r="J19869">
            <v>0</v>
          </cell>
        </row>
        <row r="19870">
          <cell r="A19870" t="str">
            <v>SERVYCARGO</v>
          </cell>
          <cell r="J19870">
            <v>0</v>
          </cell>
        </row>
        <row r="19871">
          <cell r="A19871" t="str">
            <v>SERVYCARGO</v>
          </cell>
          <cell r="J19871">
            <v>0</v>
          </cell>
        </row>
        <row r="19872">
          <cell r="A19872" t="str">
            <v>SERVYCARGO</v>
          </cell>
          <cell r="J19872">
            <v>0</v>
          </cell>
        </row>
        <row r="19873">
          <cell r="A19873" t="str">
            <v>SERVYCARGO</v>
          </cell>
          <cell r="J19873">
            <v>0</v>
          </cell>
        </row>
        <row r="19874">
          <cell r="A19874" t="str">
            <v>SERVYCARGO</v>
          </cell>
          <cell r="J19874">
            <v>0</v>
          </cell>
        </row>
        <row r="19875">
          <cell r="A19875" t="str">
            <v>SERVYCARGO</v>
          </cell>
          <cell r="J19875">
            <v>0</v>
          </cell>
        </row>
        <row r="19876">
          <cell r="A19876" t="str">
            <v>SERVYCARGO</v>
          </cell>
          <cell r="J19876">
            <v>0</v>
          </cell>
        </row>
        <row r="19877">
          <cell r="A19877" t="str">
            <v>SERVYCARGO</v>
          </cell>
          <cell r="J19877">
            <v>0</v>
          </cell>
        </row>
        <row r="19878">
          <cell r="A19878" t="str">
            <v>SERVYCARGO</v>
          </cell>
          <cell r="J19878">
            <v>0</v>
          </cell>
        </row>
        <row r="19879">
          <cell r="A19879" t="str">
            <v>SERVYCARGO</v>
          </cell>
          <cell r="J19879">
            <v>0</v>
          </cell>
        </row>
        <row r="19880">
          <cell r="A19880" t="str">
            <v>SERVYCARGO</v>
          </cell>
          <cell r="J19880">
            <v>0</v>
          </cell>
        </row>
        <row r="19881">
          <cell r="A19881" t="str">
            <v>SERVYCARGO</v>
          </cell>
          <cell r="J19881">
            <v>0</v>
          </cell>
        </row>
        <row r="19882">
          <cell r="A19882" t="str">
            <v>SERVYCARGO</v>
          </cell>
          <cell r="J19882">
            <v>0</v>
          </cell>
        </row>
        <row r="19883">
          <cell r="A19883" t="str">
            <v>SERVYCARGO</v>
          </cell>
          <cell r="J19883">
            <v>0</v>
          </cell>
        </row>
        <row r="19884">
          <cell r="A19884" t="str">
            <v>SERVYCARGO</v>
          </cell>
          <cell r="J19884">
            <v>0</v>
          </cell>
        </row>
        <row r="19885">
          <cell r="A19885" t="str">
            <v>SERVYCARGO</v>
          </cell>
          <cell r="J19885">
            <v>0</v>
          </cell>
        </row>
        <row r="19886">
          <cell r="A19886" t="str">
            <v>SERVYCARGO</v>
          </cell>
          <cell r="J19886">
            <v>0</v>
          </cell>
        </row>
        <row r="19887">
          <cell r="A19887" t="str">
            <v>SERVYCARGO</v>
          </cell>
          <cell r="J19887">
            <v>0</v>
          </cell>
        </row>
        <row r="19888">
          <cell r="A19888" t="str">
            <v>SERVYCARGO</v>
          </cell>
          <cell r="J19888">
            <v>0</v>
          </cell>
        </row>
        <row r="19889">
          <cell r="A19889" t="str">
            <v>SERVYCARGO</v>
          </cell>
          <cell r="J19889">
            <v>0</v>
          </cell>
        </row>
        <row r="19890">
          <cell r="A19890" t="str">
            <v>SERVYCARGO</v>
          </cell>
          <cell r="J19890">
            <v>0</v>
          </cell>
        </row>
        <row r="19891">
          <cell r="A19891" t="str">
            <v>SERVYCARGO</v>
          </cell>
          <cell r="J19891">
            <v>0</v>
          </cell>
        </row>
        <row r="19892">
          <cell r="A19892" t="str">
            <v>SERVYCARGO</v>
          </cell>
          <cell r="J19892">
            <v>0</v>
          </cell>
        </row>
        <row r="19893">
          <cell r="A19893" t="str">
            <v>SERVYCARGO</v>
          </cell>
          <cell r="J19893">
            <v>0</v>
          </cell>
        </row>
        <row r="19894">
          <cell r="A19894" t="str">
            <v>SERVYCARGO</v>
          </cell>
          <cell r="J19894">
            <v>0</v>
          </cell>
        </row>
        <row r="19895">
          <cell r="A19895" t="str">
            <v>SERVYCARGO</v>
          </cell>
          <cell r="J19895">
            <v>0</v>
          </cell>
        </row>
        <row r="19896">
          <cell r="A19896" t="str">
            <v>SERVYCARGO</v>
          </cell>
          <cell r="J19896">
            <v>0</v>
          </cell>
        </row>
        <row r="19897">
          <cell r="A19897" t="str">
            <v>SERVYCARGO</v>
          </cell>
          <cell r="J19897">
            <v>0</v>
          </cell>
        </row>
        <row r="19898">
          <cell r="A19898" t="str">
            <v>SERVYCARGO</v>
          </cell>
          <cell r="J19898">
            <v>0</v>
          </cell>
        </row>
        <row r="19899">
          <cell r="A19899" t="str">
            <v>SERVYCARGO</v>
          </cell>
          <cell r="J19899">
            <v>0</v>
          </cell>
        </row>
        <row r="19900">
          <cell r="A19900" t="str">
            <v>SERVYCARGO</v>
          </cell>
          <cell r="J19900">
            <v>0</v>
          </cell>
        </row>
        <row r="19901">
          <cell r="A19901" t="str">
            <v>SERVYCARGO</v>
          </cell>
          <cell r="J19901">
            <v>0</v>
          </cell>
        </row>
        <row r="19902">
          <cell r="A19902" t="str">
            <v>SERVYCARGO</v>
          </cell>
          <cell r="J19902">
            <v>0</v>
          </cell>
        </row>
        <row r="19903">
          <cell r="A19903" t="str">
            <v>SERVYCARGO</v>
          </cell>
          <cell r="J19903">
            <v>0</v>
          </cell>
        </row>
        <row r="19904">
          <cell r="A19904" t="str">
            <v>SERVYCARGO</v>
          </cell>
          <cell r="J19904">
            <v>0</v>
          </cell>
        </row>
        <row r="19905">
          <cell r="A19905" t="str">
            <v>SERVYCARGO</v>
          </cell>
          <cell r="J19905">
            <v>0</v>
          </cell>
        </row>
        <row r="19906">
          <cell r="A19906" t="str">
            <v>SERVYCARGO</v>
          </cell>
          <cell r="J19906">
            <v>0</v>
          </cell>
        </row>
        <row r="19907">
          <cell r="A19907" t="str">
            <v>SERVYCARGO</v>
          </cell>
          <cell r="J19907">
            <v>0</v>
          </cell>
        </row>
        <row r="19908">
          <cell r="A19908" t="str">
            <v>SERVYCARGO</v>
          </cell>
          <cell r="J19908">
            <v>0</v>
          </cell>
        </row>
        <row r="19909">
          <cell r="A19909" t="str">
            <v>SERVYCARGO</v>
          </cell>
          <cell r="J19909">
            <v>0</v>
          </cell>
        </row>
        <row r="19910">
          <cell r="A19910" t="str">
            <v>SERVYCARGO</v>
          </cell>
          <cell r="J19910">
            <v>0</v>
          </cell>
        </row>
        <row r="19911">
          <cell r="A19911" t="str">
            <v>SERVYCARGO</v>
          </cell>
          <cell r="J19911">
            <v>0</v>
          </cell>
        </row>
        <row r="19912">
          <cell r="A19912" t="str">
            <v>SERVYCARGO</v>
          </cell>
          <cell r="J19912">
            <v>0</v>
          </cell>
        </row>
        <row r="19913">
          <cell r="A19913" t="str">
            <v>SERVYCARGO</v>
          </cell>
          <cell r="J19913">
            <v>0</v>
          </cell>
        </row>
        <row r="19914">
          <cell r="A19914" t="str">
            <v>SERVYCARGO</v>
          </cell>
          <cell r="J19914">
            <v>0</v>
          </cell>
        </row>
        <row r="19915">
          <cell r="A19915" t="str">
            <v>SERVYCARGO</v>
          </cell>
          <cell r="J19915">
            <v>0</v>
          </cell>
        </row>
        <row r="19916">
          <cell r="A19916" t="str">
            <v>SERVYCARGO</v>
          </cell>
          <cell r="J19916">
            <v>0</v>
          </cell>
        </row>
        <row r="19917">
          <cell r="A19917" t="str">
            <v>SERVYCARGO</v>
          </cell>
          <cell r="J19917">
            <v>0</v>
          </cell>
        </row>
        <row r="19918">
          <cell r="A19918" t="str">
            <v>SERVYCARGO</v>
          </cell>
          <cell r="J19918">
            <v>0</v>
          </cell>
        </row>
        <row r="19919">
          <cell r="A19919" t="str">
            <v>SERVYCARGO</v>
          </cell>
          <cell r="J19919">
            <v>0</v>
          </cell>
        </row>
        <row r="19920">
          <cell r="A19920" t="str">
            <v>SERVYCARGO</v>
          </cell>
          <cell r="J19920">
            <v>0</v>
          </cell>
        </row>
        <row r="19921">
          <cell r="A19921" t="str">
            <v>SERVYCARGO</v>
          </cell>
          <cell r="J19921">
            <v>0</v>
          </cell>
        </row>
        <row r="19922">
          <cell r="A19922" t="str">
            <v>SERVYCARGO</v>
          </cell>
          <cell r="J19922">
            <v>0</v>
          </cell>
        </row>
        <row r="19923">
          <cell r="A19923" t="str">
            <v>SERVYCARGO</v>
          </cell>
          <cell r="J19923">
            <v>0</v>
          </cell>
        </row>
        <row r="19924">
          <cell r="A19924" t="str">
            <v>SERVYCARGO</v>
          </cell>
          <cell r="J19924">
            <v>0</v>
          </cell>
        </row>
        <row r="19925">
          <cell r="A19925" t="str">
            <v>SERVYCARGO</v>
          </cell>
          <cell r="J19925">
            <v>0</v>
          </cell>
        </row>
        <row r="19926">
          <cell r="A19926" t="str">
            <v>SERVYCARGO</v>
          </cell>
          <cell r="J19926">
            <v>0</v>
          </cell>
        </row>
        <row r="19927">
          <cell r="A19927" t="str">
            <v>SERVYCARGO</v>
          </cell>
          <cell r="J19927">
            <v>0</v>
          </cell>
        </row>
        <row r="19928">
          <cell r="A19928" t="str">
            <v>SERVYCARGO</v>
          </cell>
          <cell r="J19928">
            <v>0</v>
          </cell>
        </row>
        <row r="19929">
          <cell r="A19929" t="str">
            <v>SERVYCARGO</v>
          </cell>
          <cell r="J19929">
            <v>0</v>
          </cell>
        </row>
        <row r="19930">
          <cell r="A19930" t="str">
            <v>SERVYCARGO</v>
          </cell>
          <cell r="J19930">
            <v>0</v>
          </cell>
        </row>
        <row r="19931">
          <cell r="A19931" t="str">
            <v>SERVYCARGO</v>
          </cell>
          <cell r="J19931">
            <v>0</v>
          </cell>
        </row>
        <row r="19932">
          <cell r="A19932" t="str">
            <v>SERVYCARGO</v>
          </cell>
          <cell r="J19932">
            <v>0</v>
          </cell>
        </row>
        <row r="19933">
          <cell r="A19933" t="str">
            <v>SERVYCARGO</v>
          </cell>
          <cell r="J19933">
            <v>0</v>
          </cell>
        </row>
        <row r="19934">
          <cell r="A19934" t="str">
            <v>SERVYCARGO</v>
          </cell>
          <cell r="J19934">
            <v>0</v>
          </cell>
        </row>
        <row r="19935">
          <cell r="A19935" t="str">
            <v>SERVYCARGO</v>
          </cell>
          <cell r="J19935">
            <v>0</v>
          </cell>
        </row>
        <row r="19936">
          <cell r="A19936" t="str">
            <v>SERVYCARGO</v>
          </cell>
          <cell r="J19936">
            <v>0</v>
          </cell>
        </row>
        <row r="19937">
          <cell r="A19937" t="str">
            <v>SERVYCARGO</v>
          </cell>
          <cell r="J19937">
            <v>0</v>
          </cell>
        </row>
        <row r="19938">
          <cell r="A19938" t="str">
            <v>SERVYCARGO</v>
          </cell>
          <cell r="J19938">
            <v>0</v>
          </cell>
        </row>
        <row r="19939">
          <cell r="A19939" t="str">
            <v>SERVYCARGO</v>
          </cell>
          <cell r="J19939">
            <v>0</v>
          </cell>
        </row>
        <row r="19940">
          <cell r="A19940" t="str">
            <v>SERVYCARGO</v>
          </cell>
          <cell r="J19940">
            <v>0</v>
          </cell>
        </row>
        <row r="19941">
          <cell r="A19941" t="str">
            <v>SERVYCARGO</v>
          </cell>
          <cell r="J19941">
            <v>0</v>
          </cell>
        </row>
        <row r="19942">
          <cell r="A19942" t="str">
            <v>SERVYCARGO</v>
          </cell>
          <cell r="J19942">
            <v>0</v>
          </cell>
        </row>
        <row r="19943">
          <cell r="A19943" t="str">
            <v>SERVYCARGO</v>
          </cell>
          <cell r="J19943">
            <v>0</v>
          </cell>
        </row>
        <row r="19944">
          <cell r="A19944" t="str">
            <v>SERVYCARGO</v>
          </cell>
          <cell r="J19944">
            <v>0</v>
          </cell>
        </row>
        <row r="19945">
          <cell r="A19945" t="str">
            <v>SERVYCARGO</v>
          </cell>
          <cell r="J19945">
            <v>0</v>
          </cell>
        </row>
        <row r="19946">
          <cell r="A19946" t="str">
            <v>SERVYCARGO</v>
          </cell>
          <cell r="J19946">
            <v>0</v>
          </cell>
        </row>
        <row r="19947">
          <cell r="A19947" t="str">
            <v>SERVYCARGO</v>
          </cell>
          <cell r="J19947">
            <v>0</v>
          </cell>
        </row>
        <row r="19948">
          <cell r="A19948" t="str">
            <v>SERVYCARGO</v>
          </cell>
          <cell r="J19948">
            <v>0</v>
          </cell>
        </row>
        <row r="19949">
          <cell r="A19949" t="str">
            <v>SERVYCARGO</v>
          </cell>
          <cell r="J19949">
            <v>0</v>
          </cell>
        </row>
        <row r="19950">
          <cell r="A19950" t="str">
            <v>SERVYCARGO</v>
          </cell>
          <cell r="J19950">
            <v>0</v>
          </cell>
        </row>
        <row r="19951">
          <cell r="A19951" t="str">
            <v>SERVYCARGO</v>
          </cell>
          <cell r="J19951">
            <v>0</v>
          </cell>
        </row>
        <row r="19952">
          <cell r="A19952" t="str">
            <v>SERVYCARGO</v>
          </cell>
          <cell r="J19952">
            <v>0</v>
          </cell>
        </row>
        <row r="19953">
          <cell r="A19953" t="str">
            <v>SERVYCARGO</v>
          </cell>
          <cell r="J19953">
            <v>0</v>
          </cell>
        </row>
        <row r="19954">
          <cell r="A19954" t="str">
            <v>SERVYCARGO</v>
          </cell>
          <cell r="J19954">
            <v>0</v>
          </cell>
        </row>
        <row r="19955">
          <cell r="A19955" t="str">
            <v>SERVYCARGO</v>
          </cell>
          <cell r="J19955">
            <v>0</v>
          </cell>
        </row>
        <row r="19956">
          <cell r="A19956" t="str">
            <v>SERVYCARGO</v>
          </cell>
          <cell r="J19956">
            <v>0</v>
          </cell>
        </row>
        <row r="19957">
          <cell r="A19957" t="str">
            <v>SERVYCARGO</v>
          </cell>
          <cell r="J19957">
            <v>0</v>
          </cell>
        </row>
        <row r="19958">
          <cell r="A19958" t="str">
            <v>SERVYCARGO</v>
          </cell>
          <cell r="J19958">
            <v>0</v>
          </cell>
        </row>
        <row r="19959">
          <cell r="A19959" t="str">
            <v>SERVYCARGO</v>
          </cell>
          <cell r="J19959">
            <v>0</v>
          </cell>
        </row>
        <row r="19960">
          <cell r="A19960" t="str">
            <v>SERVYCARGO</v>
          </cell>
          <cell r="J19960">
            <v>0</v>
          </cell>
        </row>
        <row r="19961">
          <cell r="J19961">
            <v>0</v>
          </cell>
        </row>
        <row r="19962">
          <cell r="J19962">
            <v>0</v>
          </cell>
        </row>
        <row r="19963">
          <cell r="A19963" t="str">
            <v>CIVMEX</v>
          </cell>
          <cell r="B19963" t="str">
            <v>101-00000-000-0000</v>
          </cell>
          <cell r="J19963">
            <v>28980.6</v>
          </cell>
        </row>
        <row r="19964">
          <cell r="A19964" t="str">
            <v>CIVMEX</v>
          </cell>
          <cell r="B19964" t="str">
            <v>101-00002-000-0000</v>
          </cell>
          <cell r="J19964">
            <v>27649.52</v>
          </cell>
        </row>
        <row r="19965">
          <cell r="A19965" t="str">
            <v>CIVMEX</v>
          </cell>
          <cell r="B19965" t="str">
            <v>101-00002-003-0000</v>
          </cell>
          <cell r="J19965">
            <v>27649.52</v>
          </cell>
        </row>
        <row r="19966">
          <cell r="A19966" t="str">
            <v>CIVMEX</v>
          </cell>
          <cell r="B19966" t="str">
            <v>101-00002-003-0006</v>
          </cell>
          <cell r="J19966">
            <v>27649.52</v>
          </cell>
        </row>
        <row r="19967">
          <cell r="A19967" t="str">
            <v>CIVMEX</v>
          </cell>
          <cell r="B19967" t="str">
            <v>101-00008-000-0000</v>
          </cell>
          <cell r="J19967">
            <v>1224</v>
          </cell>
        </row>
        <row r="19968">
          <cell r="A19968" t="str">
            <v>CIVMEX</v>
          </cell>
          <cell r="B19968" t="str">
            <v>101-00008-002-0000</v>
          </cell>
          <cell r="J19968">
            <v>132</v>
          </cell>
        </row>
        <row r="19969">
          <cell r="A19969" t="str">
            <v>CIVMEX</v>
          </cell>
          <cell r="B19969" t="str">
            <v>101-00008-012-0000</v>
          </cell>
          <cell r="J19969">
            <v>1092</v>
          </cell>
        </row>
        <row r="19970">
          <cell r="A19970" t="str">
            <v>CIVMEX</v>
          </cell>
          <cell r="B19970" t="str">
            <v>101-00008-012-0005</v>
          </cell>
          <cell r="J19970">
            <v>896</v>
          </cell>
        </row>
        <row r="19971">
          <cell r="A19971" t="str">
            <v>CIVMEX</v>
          </cell>
          <cell r="B19971" t="str">
            <v>101-00008-012-0060</v>
          </cell>
          <cell r="J19971">
            <v>196</v>
          </cell>
        </row>
        <row r="19972">
          <cell r="A19972" t="str">
            <v>CIVMEX</v>
          </cell>
          <cell r="B19972" t="str">
            <v>101-00010-000-0000</v>
          </cell>
          <cell r="J19972">
            <v>5.84</v>
          </cell>
        </row>
        <row r="19973">
          <cell r="A19973" t="str">
            <v>CIVMEX</v>
          </cell>
          <cell r="B19973" t="str">
            <v>101-00010-001-0000</v>
          </cell>
          <cell r="J19973">
            <v>5.84</v>
          </cell>
        </row>
        <row r="19974">
          <cell r="A19974" t="str">
            <v>CIVMEX</v>
          </cell>
          <cell r="B19974" t="str">
            <v>101-00011-000-0000</v>
          </cell>
          <cell r="J19974">
            <v>101.24</v>
          </cell>
        </row>
        <row r="19975">
          <cell r="A19975" t="str">
            <v>CIVMEX</v>
          </cell>
          <cell r="B19975" t="str">
            <v>101-00011-001-0000</v>
          </cell>
          <cell r="J19975">
            <v>101.24</v>
          </cell>
        </row>
        <row r="19976">
          <cell r="A19976" t="str">
            <v>CIVMEX</v>
          </cell>
          <cell r="B19976" t="str">
            <v>102-00002-001-0000</v>
          </cell>
          <cell r="J19976">
            <v>66370.7</v>
          </cell>
        </row>
        <row r="19977">
          <cell r="A19977" t="str">
            <v>CIVMEX</v>
          </cell>
          <cell r="B19977" t="str">
            <v>102-00002-002-0000</v>
          </cell>
          <cell r="J19977">
            <v>-66370.7</v>
          </cell>
        </row>
        <row r="19978">
          <cell r="A19978" t="str">
            <v>CIVMEX</v>
          </cell>
          <cell r="B19978" t="str">
            <v>102-00003-001-0000</v>
          </cell>
          <cell r="J19978">
            <v>589000</v>
          </cell>
        </row>
        <row r="19979">
          <cell r="A19979" t="str">
            <v>CIVMEX</v>
          </cell>
          <cell r="B19979" t="str">
            <v>102-00003-002-0000</v>
          </cell>
          <cell r="J19979">
            <v>-589000</v>
          </cell>
        </row>
        <row r="19980">
          <cell r="A19980" t="str">
            <v>CIVMEX</v>
          </cell>
          <cell r="B19980" t="str">
            <v>103-00000-000-0000</v>
          </cell>
          <cell r="J19980">
            <v>637971.18999999994</v>
          </cell>
        </row>
        <row r="19981">
          <cell r="A19981" t="str">
            <v>CIVMEX</v>
          </cell>
          <cell r="B19981" t="str">
            <v>103-00001-000-0000</v>
          </cell>
          <cell r="J19981">
            <v>637971.18999999994</v>
          </cell>
        </row>
        <row r="19982">
          <cell r="A19982" t="str">
            <v>CIVMEX</v>
          </cell>
          <cell r="B19982" t="str">
            <v>103-00001-001-0000</v>
          </cell>
          <cell r="J19982">
            <v>1034483</v>
          </cell>
        </row>
        <row r="19983">
          <cell r="A19983" t="str">
            <v>CIVMEX</v>
          </cell>
          <cell r="B19983" t="str">
            <v>103-00001-002-0000</v>
          </cell>
          <cell r="J19983">
            <v>-396511.81</v>
          </cell>
        </row>
        <row r="19984">
          <cell r="A19984" t="str">
            <v>CIVMEX</v>
          </cell>
          <cell r="B19984" t="str">
            <v>201-00000-000-0000</v>
          </cell>
          <cell r="J19984">
            <v>-1003.29</v>
          </cell>
        </row>
        <row r="19985">
          <cell r="A19985" t="str">
            <v>CIVMEX</v>
          </cell>
          <cell r="B19985" t="str">
            <v>201-00002-000-0000</v>
          </cell>
          <cell r="J19985">
            <v>0</v>
          </cell>
        </row>
        <row r="19986">
          <cell r="A19986" t="str">
            <v>CIVMEX</v>
          </cell>
          <cell r="B19986" t="str">
            <v>201-00002-002-0000</v>
          </cell>
          <cell r="J19986">
            <v>0</v>
          </cell>
        </row>
        <row r="19987">
          <cell r="A19987" t="str">
            <v>CIVMEX</v>
          </cell>
          <cell r="B19987" t="str">
            <v>201-00002-002-3122</v>
          </cell>
          <cell r="J19987">
            <v>0</v>
          </cell>
        </row>
        <row r="19988">
          <cell r="A19988" t="str">
            <v>CIVMEX</v>
          </cell>
          <cell r="B19988" t="str">
            <v>201-00006-000-0000</v>
          </cell>
          <cell r="J19988">
            <v>14.08</v>
          </cell>
        </row>
        <row r="19989">
          <cell r="A19989" t="str">
            <v>CIVMEX</v>
          </cell>
          <cell r="B19989" t="str">
            <v>201-00006-001-0000</v>
          </cell>
          <cell r="J19989">
            <v>14.08</v>
          </cell>
        </row>
        <row r="19990">
          <cell r="A19990" t="str">
            <v>CIVMEX</v>
          </cell>
          <cell r="B19990" t="str">
            <v>201-00006-001-0002</v>
          </cell>
          <cell r="J19990">
            <v>14.08</v>
          </cell>
        </row>
        <row r="19991">
          <cell r="A19991" t="str">
            <v>CIVMEX</v>
          </cell>
          <cell r="B19991" t="str">
            <v>201-00008-000-0000</v>
          </cell>
          <cell r="J19991">
            <v>-1017.37</v>
          </cell>
        </row>
        <row r="19992">
          <cell r="A19992" t="str">
            <v>CIVMEX</v>
          </cell>
          <cell r="B19992" t="str">
            <v>202-00000-000-0000</v>
          </cell>
          <cell r="J19992">
            <v>-100000</v>
          </cell>
        </row>
        <row r="19993">
          <cell r="A19993" t="str">
            <v>CIVMEX</v>
          </cell>
          <cell r="B19993" t="str">
            <v>202-00001-000-0000</v>
          </cell>
          <cell r="J19993">
            <v>-100000</v>
          </cell>
        </row>
        <row r="19994">
          <cell r="A19994" t="str">
            <v>CIVMEX</v>
          </cell>
          <cell r="B19994" t="str">
            <v>202-00001-009-0000</v>
          </cell>
          <cell r="J19994">
            <v>-100000</v>
          </cell>
        </row>
        <row r="19995">
          <cell r="A19995" t="str">
            <v>CIVMEX</v>
          </cell>
          <cell r="B19995" t="str">
            <v>202-00001-009-0467</v>
          </cell>
          <cell r="J19995">
            <v>-80000</v>
          </cell>
        </row>
        <row r="19996">
          <cell r="A19996" t="str">
            <v>CIVMEX</v>
          </cell>
          <cell r="B19996" t="str">
            <v>202-00001-009-2300</v>
          </cell>
          <cell r="J19996">
            <v>-20000</v>
          </cell>
        </row>
        <row r="19997">
          <cell r="A19997" t="str">
            <v>CIVMEX</v>
          </cell>
          <cell r="B19997" t="str">
            <v>301-00000-000-0000</v>
          </cell>
          <cell r="J19997">
            <v>-614302.82999999996</v>
          </cell>
        </row>
        <row r="19998">
          <cell r="A19998" t="str">
            <v>CIVMEX</v>
          </cell>
          <cell r="B19998" t="str">
            <v>301-00001-000-0000</v>
          </cell>
          <cell r="J19998">
            <v>-50000</v>
          </cell>
        </row>
        <row r="19999">
          <cell r="A19999" t="str">
            <v>CIVMEX</v>
          </cell>
          <cell r="B19999" t="str">
            <v>301-00001-001-0000</v>
          </cell>
          <cell r="J19999">
            <v>-50000</v>
          </cell>
        </row>
        <row r="20000">
          <cell r="A20000" t="str">
            <v>CIVMEX</v>
          </cell>
          <cell r="B20000" t="str">
            <v>301-00004-000-0000</v>
          </cell>
          <cell r="J20000">
            <v>-564302.82999999996</v>
          </cell>
        </row>
        <row r="20001">
          <cell r="A20001" t="str">
            <v>CIVMEX</v>
          </cell>
          <cell r="B20001" t="str">
            <v>301-00004-007-0000</v>
          </cell>
          <cell r="J20001">
            <v>-225174.02</v>
          </cell>
        </row>
        <row r="20002">
          <cell r="A20002" t="str">
            <v>CIVMEX</v>
          </cell>
          <cell r="B20002" t="str">
            <v>301-00004-008-0000</v>
          </cell>
          <cell r="J20002">
            <v>-511831.66</v>
          </cell>
        </row>
        <row r="20003">
          <cell r="A20003" t="str">
            <v>CIVMEX</v>
          </cell>
          <cell r="B20003" t="str">
            <v>301-00004-009-0000</v>
          </cell>
          <cell r="J20003">
            <v>-97369.77</v>
          </cell>
        </row>
        <row r="20004">
          <cell r="A20004" t="str">
            <v>CIVMEX</v>
          </cell>
          <cell r="B20004" t="str">
            <v>301-00004-010-0000</v>
          </cell>
          <cell r="J20004">
            <v>-853349.62</v>
          </cell>
        </row>
        <row r="20005">
          <cell r="A20005" t="str">
            <v>CIVMEX</v>
          </cell>
          <cell r="B20005" t="str">
            <v>301-00004-011-0000</v>
          </cell>
          <cell r="J20005">
            <v>-150792.1</v>
          </cell>
        </row>
        <row r="20006">
          <cell r="A20006" t="str">
            <v>CIVMEX</v>
          </cell>
          <cell r="B20006" t="str">
            <v>301-00004-012-0000</v>
          </cell>
          <cell r="J20006">
            <v>-168655.82</v>
          </cell>
        </row>
        <row r="20007">
          <cell r="A20007" t="str">
            <v>CIVMEX</v>
          </cell>
          <cell r="B20007" t="str">
            <v>301-00004-013-0000</v>
          </cell>
          <cell r="J20007">
            <v>-55766.31</v>
          </cell>
        </row>
        <row r="20008">
          <cell r="A20008" t="str">
            <v>CIVMEX</v>
          </cell>
          <cell r="B20008" t="str">
            <v>301-00004-014-0000</v>
          </cell>
          <cell r="J20008">
            <v>-82850.03</v>
          </cell>
        </row>
        <row r="20009">
          <cell r="A20009" t="str">
            <v>CIVMEX</v>
          </cell>
          <cell r="B20009" t="str">
            <v>301-00004-015-0000</v>
          </cell>
          <cell r="J20009">
            <v>1523688.81</v>
          </cell>
        </row>
        <row r="20010">
          <cell r="A20010" t="str">
            <v>CIVMEX</v>
          </cell>
          <cell r="B20010" t="str">
            <v>301-00004-016-0000</v>
          </cell>
          <cell r="J20010">
            <v>-2289.4699999999998</v>
          </cell>
        </row>
        <row r="20011">
          <cell r="A20011" t="str">
            <v>CIVMEX</v>
          </cell>
          <cell r="B20011" t="str">
            <v>301-00004-017-0000</v>
          </cell>
          <cell r="J20011">
            <v>60087.16</v>
          </cell>
        </row>
        <row r="20012">
          <cell r="A20012" t="str">
            <v>CIVMEX</v>
          </cell>
          <cell r="B20012" t="str">
            <v>411-00000-000-0000</v>
          </cell>
          <cell r="J20012">
            <v>-25862.07</v>
          </cell>
        </row>
        <row r="20013">
          <cell r="A20013" t="str">
            <v>CIVMEX</v>
          </cell>
          <cell r="B20013" t="str">
            <v>411-26777-000-0000</v>
          </cell>
          <cell r="J20013">
            <v>-25862.07</v>
          </cell>
        </row>
        <row r="20014">
          <cell r="A20014" t="str">
            <v>CIVMEX</v>
          </cell>
          <cell r="B20014" t="str">
            <v>411-26777-004-0000</v>
          </cell>
          <cell r="J20014">
            <v>-25862.07</v>
          </cell>
        </row>
        <row r="20015">
          <cell r="A20015" t="str">
            <v>CIVMEX</v>
          </cell>
          <cell r="B20015" t="str">
            <v>411-26777-004-0468</v>
          </cell>
          <cell r="J20015">
            <v>-25862.07</v>
          </cell>
        </row>
        <row r="20016">
          <cell r="A20016" t="str">
            <v>CIVMEX</v>
          </cell>
          <cell r="B20016" t="str">
            <v>650-00000-000-0000</v>
          </cell>
          <cell r="J20016">
            <v>39710.67</v>
          </cell>
        </row>
        <row r="20017">
          <cell r="A20017" t="str">
            <v>CIVMEX</v>
          </cell>
          <cell r="B20017" t="str">
            <v>650-99999-000-0000</v>
          </cell>
          <cell r="J20017">
            <v>39710.67</v>
          </cell>
        </row>
        <row r="20018">
          <cell r="A20018" t="str">
            <v>CIVMEX</v>
          </cell>
          <cell r="B20018" t="str">
            <v>650-99999-012-0000</v>
          </cell>
          <cell r="J20018">
            <v>1652.59</v>
          </cell>
        </row>
        <row r="20019">
          <cell r="A20019" t="str">
            <v>CIVMEX</v>
          </cell>
          <cell r="B20019" t="str">
            <v>650-99999-012-0001</v>
          </cell>
          <cell r="J20019">
            <v>1652.59</v>
          </cell>
        </row>
        <row r="20020">
          <cell r="A20020" t="str">
            <v>CIVMEX</v>
          </cell>
          <cell r="B20020" t="str">
            <v>650-99999-023-0000</v>
          </cell>
          <cell r="J20020">
            <v>1286</v>
          </cell>
        </row>
        <row r="20021">
          <cell r="A20021" t="str">
            <v>CIVMEX</v>
          </cell>
          <cell r="B20021" t="str">
            <v>650-99999-025-0000</v>
          </cell>
          <cell r="J20021">
            <v>105.35</v>
          </cell>
        </row>
        <row r="20022">
          <cell r="A20022" t="str">
            <v>CIVMEX</v>
          </cell>
          <cell r="B20022" t="str">
            <v>650-99999-025-0001</v>
          </cell>
          <cell r="J20022">
            <v>105.35</v>
          </cell>
        </row>
        <row r="20023">
          <cell r="A20023" t="str">
            <v>CIVMEX</v>
          </cell>
          <cell r="B20023" t="str">
            <v>650-99999-030-0000</v>
          </cell>
          <cell r="J20023">
            <v>36666.730000000003</v>
          </cell>
        </row>
        <row r="20024">
          <cell r="A20024" t="str">
            <v>CIVMEX</v>
          </cell>
          <cell r="B20024" t="str">
            <v>660-00000-000-0000</v>
          </cell>
          <cell r="J20024">
            <v>34502.730000000003</v>
          </cell>
        </row>
        <row r="20025">
          <cell r="A20025" t="str">
            <v>CIVMEX</v>
          </cell>
          <cell r="B20025" t="str">
            <v>660-99999-000-0000</v>
          </cell>
          <cell r="J20025">
            <v>34502.730000000003</v>
          </cell>
        </row>
        <row r="20026">
          <cell r="A20026" t="str">
            <v>CIVMEX</v>
          </cell>
          <cell r="B20026" t="str">
            <v>660-99999-035-0000</v>
          </cell>
          <cell r="J20026">
            <v>34502.730000000003</v>
          </cell>
        </row>
        <row r="20027">
          <cell r="A20027" t="str">
            <v>CIVMEX</v>
          </cell>
          <cell r="B20027" t="str">
            <v>660-99999-035-0001</v>
          </cell>
          <cell r="J20027">
            <v>34502.730000000003</v>
          </cell>
        </row>
        <row r="20028">
          <cell r="A20028" t="str">
            <v>CIVMEX</v>
          </cell>
          <cell r="B20028" t="str">
            <v>710-00000-000-0000</v>
          </cell>
          <cell r="J20028">
            <v>3</v>
          </cell>
        </row>
        <row r="20029">
          <cell r="A20029" t="str">
            <v>CIVMEX</v>
          </cell>
          <cell r="B20029" t="str">
            <v>710-99999-000-0000</v>
          </cell>
          <cell r="J20029">
            <v>3</v>
          </cell>
        </row>
        <row r="20030">
          <cell r="A20030" t="str">
            <v>CIVMEX</v>
          </cell>
          <cell r="B20030" t="str">
            <v>710-99999-002-0000</v>
          </cell>
          <cell r="J20030">
            <v>3</v>
          </cell>
        </row>
        <row r="20031">
          <cell r="A20031" t="str">
            <v>CIVMEX</v>
          </cell>
          <cell r="B20031" t="str">
            <v>710-99999-002-0001</v>
          </cell>
          <cell r="J20031">
            <v>3</v>
          </cell>
        </row>
        <row r="20032">
          <cell r="A20032" t="str">
            <v>CIVMEX</v>
          </cell>
          <cell r="J20032">
            <v>0</v>
          </cell>
        </row>
        <row r="20033">
          <cell r="A20033" t="str">
            <v>CIVMEX</v>
          </cell>
          <cell r="J20033">
            <v>0</v>
          </cell>
        </row>
        <row r="20034">
          <cell r="A20034" t="str">
            <v>CIVMEX</v>
          </cell>
          <cell r="J20034">
            <v>0</v>
          </cell>
        </row>
        <row r="20035">
          <cell r="A20035" t="str">
            <v>CIVMEX</v>
          </cell>
          <cell r="J20035">
            <v>0</v>
          </cell>
        </row>
        <row r="20036">
          <cell r="A20036" t="str">
            <v>CIVMEX</v>
          </cell>
          <cell r="J20036">
            <v>0</v>
          </cell>
        </row>
        <row r="20037">
          <cell r="A20037" t="str">
            <v>CIVMEX</v>
          </cell>
          <cell r="J20037">
            <v>0</v>
          </cell>
        </row>
        <row r="20038">
          <cell r="A20038" t="str">
            <v>CIVMEX</v>
          </cell>
          <cell r="J20038">
            <v>0</v>
          </cell>
        </row>
        <row r="20039">
          <cell r="A20039" t="str">
            <v>CIVMEX</v>
          </cell>
          <cell r="J20039">
            <v>0</v>
          </cell>
        </row>
        <row r="20040">
          <cell r="A20040" t="str">
            <v>CIVMEX</v>
          </cell>
          <cell r="J20040">
            <v>0</v>
          </cell>
        </row>
        <row r="20041">
          <cell r="A20041" t="str">
            <v>CIVMEX</v>
          </cell>
          <cell r="J20041">
            <v>0</v>
          </cell>
        </row>
        <row r="20042">
          <cell r="A20042" t="str">
            <v>CIVMEX</v>
          </cell>
          <cell r="J20042">
            <v>0</v>
          </cell>
        </row>
        <row r="20043">
          <cell r="A20043" t="str">
            <v>CIVMEX</v>
          </cell>
          <cell r="J20043">
            <v>0</v>
          </cell>
        </row>
        <row r="20044">
          <cell r="A20044" t="str">
            <v>CIVMEX</v>
          </cell>
          <cell r="J20044">
            <v>0</v>
          </cell>
        </row>
        <row r="20045">
          <cell r="A20045" t="str">
            <v>CIVMEX</v>
          </cell>
          <cell r="J20045">
            <v>0</v>
          </cell>
        </row>
        <row r="20046">
          <cell r="A20046" t="str">
            <v>CIVMEX</v>
          </cell>
          <cell r="J20046">
            <v>0</v>
          </cell>
        </row>
        <row r="20047">
          <cell r="A20047" t="str">
            <v>CIVMEX</v>
          </cell>
          <cell r="J20047">
            <v>0</v>
          </cell>
        </row>
        <row r="20048">
          <cell r="A20048" t="str">
            <v>CIVMEX</v>
          </cell>
          <cell r="J20048">
            <v>0</v>
          </cell>
        </row>
        <row r="20049">
          <cell r="A20049" t="str">
            <v>CIVMEX</v>
          </cell>
          <cell r="J20049">
            <v>0</v>
          </cell>
        </row>
        <row r="20050">
          <cell r="A20050" t="str">
            <v>CIVMEX</v>
          </cell>
          <cell r="J20050">
            <v>0</v>
          </cell>
        </row>
        <row r="20051">
          <cell r="A20051" t="str">
            <v>CIVMEX</v>
          </cell>
          <cell r="J20051">
            <v>0</v>
          </cell>
        </row>
        <row r="20052">
          <cell r="A20052" t="str">
            <v>CIVMEX</v>
          </cell>
          <cell r="J20052">
            <v>0</v>
          </cell>
        </row>
        <row r="20053">
          <cell r="A20053" t="str">
            <v>CIVMEX</v>
          </cell>
          <cell r="J20053">
            <v>0</v>
          </cell>
        </row>
        <row r="20054">
          <cell r="A20054" t="str">
            <v>CIVMEX</v>
          </cell>
          <cell r="J20054">
            <v>0</v>
          </cell>
        </row>
        <row r="20055">
          <cell r="A20055" t="str">
            <v>CIVMEX</v>
          </cell>
          <cell r="J20055">
            <v>0</v>
          </cell>
        </row>
        <row r="20056">
          <cell r="A20056" t="str">
            <v>CIVMEX</v>
          </cell>
          <cell r="J20056">
            <v>0</v>
          </cell>
        </row>
        <row r="20057">
          <cell r="A20057" t="str">
            <v>CIVMEX</v>
          </cell>
          <cell r="J20057">
            <v>0</v>
          </cell>
        </row>
        <row r="20058">
          <cell r="A20058" t="str">
            <v>CIVMEX</v>
          </cell>
          <cell r="J20058">
            <v>0</v>
          </cell>
        </row>
        <row r="20059">
          <cell r="A20059" t="str">
            <v>CIVMEX</v>
          </cell>
          <cell r="J20059">
            <v>0</v>
          </cell>
        </row>
        <row r="20060">
          <cell r="A20060" t="str">
            <v>CIVMEX</v>
          </cell>
          <cell r="J20060">
            <v>0</v>
          </cell>
        </row>
        <row r="20061">
          <cell r="A20061" t="str">
            <v>CIVMEX</v>
          </cell>
          <cell r="J20061">
            <v>0</v>
          </cell>
        </row>
        <row r="20062">
          <cell r="A20062" t="str">
            <v>CIVMEX</v>
          </cell>
          <cell r="J20062">
            <v>0</v>
          </cell>
        </row>
        <row r="20063">
          <cell r="A20063" t="str">
            <v>CIVMEX</v>
          </cell>
          <cell r="J20063">
            <v>0</v>
          </cell>
        </row>
        <row r="20064">
          <cell r="A20064" t="str">
            <v>CIVMEX</v>
          </cell>
          <cell r="J20064">
            <v>0</v>
          </cell>
        </row>
        <row r="20065">
          <cell r="A20065" t="str">
            <v>CIVMEX</v>
          </cell>
          <cell r="J20065">
            <v>0</v>
          </cell>
        </row>
        <row r="20066">
          <cell r="A20066" t="str">
            <v>CIVMEX</v>
          </cell>
          <cell r="J20066">
            <v>0</v>
          </cell>
        </row>
        <row r="20067">
          <cell r="A20067" t="str">
            <v>CIVMEX</v>
          </cell>
          <cell r="J20067">
            <v>0</v>
          </cell>
        </row>
        <row r="20068">
          <cell r="A20068" t="str">
            <v>CIVMEX</v>
          </cell>
          <cell r="J20068">
            <v>0</v>
          </cell>
        </row>
        <row r="20069">
          <cell r="A20069" t="str">
            <v>CIVMEX</v>
          </cell>
          <cell r="J20069">
            <v>0</v>
          </cell>
        </row>
        <row r="20070">
          <cell r="A20070" t="str">
            <v>CIVMEX</v>
          </cell>
          <cell r="J20070">
            <v>0</v>
          </cell>
        </row>
        <row r="20071">
          <cell r="A20071" t="str">
            <v>CIVMEX</v>
          </cell>
          <cell r="J20071">
            <v>0</v>
          </cell>
        </row>
        <row r="20072">
          <cell r="A20072" t="str">
            <v>CIVMEX</v>
          </cell>
          <cell r="J20072">
            <v>0</v>
          </cell>
        </row>
        <row r="20073">
          <cell r="A20073" t="str">
            <v>CIVMEX</v>
          </cell>
          <cell r="J20073">
            <v>0</v>
          </cell>
        </row>
        <row r="20074">
          <cell r="A20074" t="str">
            <v>CIVMEX</v>
          </cell>
          <cell r="J20074">
            <v>0</v>
          </cell>
        </row>
        <row r="20075">
          <cell r="A20075" t="str">
            <v>CIVMEX</v>
          </cell>
          <cell r="J20075">
            <v>0</v>
          </cell>
        </row>
        <row r="20076">
          <cell r="A20076" t="str">
            <v>CIVMEX</v>
          </cell>
          <cell r="J20076">
            <v>0</v>
          </cell>
        </row>
        <row r="20077">
          <cell r="A20077" t="str">
            <v>CIVMEX</v>
          </cell>
          <cell r="J20077">
            <v>0</v>
          </cell>
        </row>
        <row r="20078">
          <cell r="A20078" t="str">
            <v>CIVMEX</v>
          </cell>
          <cell r="J20078">
            <v>0</v>
          </cell>
        </row>
        <row r="20079">
          <cell r="A20079" t="str">
            <v>CIVMEX</v>
          </cell>
          <cell r="J20079">
            <v>0</v>
          </cell>
        </row>
        <row r="20080">
          <cell r="A20080" t="str">
            <v>CIVMEX</v>
          </cell>
          <cell r="J20080">
            <v>0</v>
          </cell>
        </row>
        <row r="20081">
          <cell r="A20081" t="str">
            <v>CIVMEX</v>
          </cell>
          <cell r="J20081">
            <v>0</v>
          </cell>
        </row>
        <row r="20082">
          <cell r="A20082" t="str">
            <v>CIVMEX</v>
          </cell>
          <cell r="J20082">
            <v>0</v>
          </cell>
        </row>
        <row r="20083">
          <cell r="A20083" t="str">
            <v>CIVMEX</v>
          </cell>
          <cell r="J20083">
            <v>0</v>
          </cell>
        </row>
        <row r="20084">
          <cell r="A20084" t="str">
            <v>CIVMEX</v>
          </cell>
          <cell r="J20084">
            <v>0</v>
          </cell>
        </row>
        <row r="20085">
          <cell r="A20085" t="str">
            <v>CIVMEX</v>
          </cell>
          <cell r="J20085">
            <v>0</v>
          </cell>
        </row>
        <row r="20086">
          <cell r="A20086" t="str">
            <v>CIVMEX</v>
          </cell>
          <cell r="J20086">
            <v>0</v>
          </cell>
        </row>
        <row r="20087">
          <cell r="A20087" t="str">
            <v>CIVMEX</v>
          </cell>
          <cell r="J20087">
            <v>0</v>
          </cell>
        </row>
        <row r="20088">
          <cell r="A20088" t="str">
            <v>CIVMEX</v>
          </cell>
          <cell r="J20088">
            <v>0</v>
          </cell>
        </row>
        <row r="20089">
          <cell r="A20089" t="str">
            <v>CIVMEX</v>
          </cell>
          <cell r="J20089">
            <v>0</v>
          </cell>
        </row>
        <row r="20090">
          <cell r="A20090" t="str">
            <v>CIVMEX</v>
          </cell>
          <cell r="J20090">
            <v>0</v>
          </cell>
        </row>
        <row r="20091">
          <cell r="A20091" t="str">
            <v>CIVMEX</v>
          </cell>
          <cell r="J20091">
            <v>0</v>
          </cell>
        </row>
        <row r="20092">
          <cell r="A20092" t="str">
            <v>CIVMEX</v>
          </cell>
          <cell r="J20092">
            <v>0</v>
          </cell>
        </row>
        <row r="20093">
          <cell r="A20093" t="str">
            <v>CIVMEX</v>
          </cell>
          <cell r="J20093">
            <v>0</v>
          </cell>
        </row>
        <row r="20094">
          <cell r="A20094" t="str">
            <v>CIVMEX</v>
          </cell>
          <cell r="J20094">
            <v>0</v>
          </cell>
        </row>
        <row r="20095">
          <cell r="A20095" t="str">
            <v>CIVMEX</v>
          </cell>
          <cell r="J20095">
            <v>0</v>
          </cell>
        </row>
        <row r="20096">
          <cell r="A20096" t="str">
            <v>CIVMEX</v>
          </cell>
          <cell r="J20096">
            <v>0</v>
          </cell>
        </row>
        <row r="20097">
          <cell r="A20097" t="str">
            <v>CIVMEX</v>
          </cell>
          <cell r="J20097">
            <v>0</v>
          </cell>
        </row>
        <row r="20098">
          <cell r="A20098" t="str">
            <v>CIVMEX</v>
          </cell>
          <cell r="J20098">
            <v>0</v>
          </cell>
        </row>
        <row r="20099">
          <cell r="A20099" t="str">
            <v>CIVMEX</v>
          </cell>
          <cell r="J20099">
            <v>0</v>
          </cell>
        </row>
        <row r="20100">
          <cell r="A20100" t="str">
            <v>CIVMEX</v>
          </cell>
          <cell r="J20100">
            <v>0</v>
          </cell>
        </row>
        <row r="20101">
          <cell r="A20101" t="str">
            <v>CIVMEX</v>
          </cell>
          <cell r="J20101">
            <v>0</v>
          </cell>
        </row>
        <row r="20102">
          <cell r="A20102" t="str">
            <v>CIVMEX</v>
          </cell>
          <cell r="J20102">
            <v>0</v>
          </cell>
        </row>
        <row r="20103">
          <cell r="A20103" t="str">
            <v>CIVMEX</v>
          </cell>
          <cell r="J20103">
            <v>0</v>
          </cell>
        </row>
        <row r="20104">
          <cell r="A20104" t="str">
            <v>CIVMEX</v>
          </cell>
          <cell r="J20104">
            <v>0</v>
          </cell>
        </row>
        <row r="20105">
          <cell r="A20105" t="str">
            <v>CIVMEX</v>
          </cell>
          <cell r="J20105">
            <v>0</v>
          </cell>
        </row>
        <row r="20106">
          <cell r="J20106">
            <v>0</v>
          </cell>
        </row>
        <row r="20107">
          <cell r="A20107" t="str">
            <v>COMANA</v>
          </cell>
          <cell r="B20107" t="str">
            <v>101-00000-000-0000</v>
          </cell>
          <cell r="J20107">
            <v>60398.3</v>
          </cell>
        </row>
        <row r="20108">
          <cell r="A20108" t="str">
            <v>COMANA</v>
          </cell>
          <cell r="B20108" t="str">
            <v>101-00005-000-0000</v>
          </cell>
          <cell r="J20108">
            <v>20086.3</v>
          </cell>
        </row>
        <row r="20109">
          <cell r="A20109" t="str">
            <v>COMANA</v>
          </cell>
          <cell r="B20109" t="str">
            <v>101-00005-003-0000</v>
          </cell>
          <cell r="J20109">
            <v>20086.3</v>
          </cell>
        </row>
        <row r="20110">
          <cell r="A20110" t="str">
            <v>COMANA</v>
          </cell>
          <cell r="B20110" t="str">
            <v>101-00005-003-2261</v>
          </cell>
          <cell r="J20110">
            <v>20086.3</v>
          </cell>
        </row>
        <row r="20111">
          <cell r="A20111" t="str">
            <v>COMANA</v>
          </cell>
          <cell r="B20111" t="str">
            <v>101-00008-000-0000</v>
          </cell>
          <cell r="J20111">
            <v>40312</v>
          </cell>
        </row>
        <row r="20112">
          <cell r="A20112" t="str">
            <v>COMANA</v>
          </cell>
          <cell r="B20112" t="str">
            <v>101-00008-002-0000</v>
          </cell>
          <cell r="J20112">
            <v>40312</v>
          </cell>
        </row>
        <row r="20113">
          <cell r="A20113" t="str">
            <v>COMANA</v>
          </cell>
          <cell r="B20113" t="str">
            <v>102-00006-001-0000</v>
          </cell>
          <cell r="J20113">
            <v>10775.87</v>
          </cell>
        </row>
        <row r="20114">
          <cell r="A20114" t="str">
            <v>COMANA</v>
          </cell>
          <cell r="B20114" t="str">
            <v>102-00006-002-0000</v>
          </cell>
          <cell r="J20114">
            <v>-10775.87</v>
          </cell>
        </row>
        <row r="20115">
          <cell r="A20115" t="str">
            <v>COMANA</v>
          </cell>
          <cell r="B20115" t="str">
            <v>201-00000-000-0000</v>
          </cell>
          <cell r="J20115">
            <v>-8580</v>
          </cell>
        </row>
        <row r="20116">
          <cell r="A20116" t="str">
            <v>COMANA</v>
          </cell>
          <cell r="B20116" t="str">
            <v>201-00002-000-0000</v>
          </cell>
          <cell r="J20116">
            <v>-8580</v>
          </cell>
        </row>
        <row r="20117">
          <cell r="A20117" t="str">
            <v>COMANA</v>
          </cell>
          <cell r="B20117" t="str">
            <v>201-00002-002-0000</v>
          </cell>
          <cell r="J20117">
            <v>-8580</v>
          </cell>
        </row>
        <row r="20118">
          <cell r="A20118" t="str">
            <v>COMANA</v>
          </cell>
          <cell r="B20118" t="str">
            <v>201-00002-002-1119</v>
          </cell>
          <cell r="J20118">
            <v>-8580</v>
          </cell>
        </row>
        <row r="20119">
          <cell r="A20119" t="str">
            <v>COMANA</v>
          </cell>
          <cell r="B20119" t="str">
            <v>202-00000-000-0000</v>
          </cell>
          <cell r="J20119">
            <v>-20000</v>
          </cell>
        </row>
        <row r="20120">
          <cell r="A20120" t="str">
            <v>COMANA</v>
          </cell>
          <cell r="B20120" t="str">
            <v>202-00001-000-0000</v>
          </cell>
          <cell r="J20120">
            <v>-20000</v>
          </cell>
        </row>
        <row r="20121">
          <cell r="A20121" t="str">
            <v>COMANA</v>
          </cell>
          <cell r="B20121" t="str">
            <v>202-00001-009-0000</v>
          </cell>
          <cell r="J20121">
            <v>-20000</v>
          </cell>
        </row>
        <row r="20122">
          <cell r="A20122" t="str">
            <v>COMANA</v>
          </cell>
          <cell r="B20122" t="str">
            <v>202-00001-009-2300</v>
          </cell>
          <cell r="J20122">
            <v>-20000</v>
          </cell>
        </row>
        <row r="20123">
          <cell r="A20123" t="str">
            <v>COMANA</v>
          </cell>
          <cell r="B20123" t="str">
            <v>301-00000-000-0000</v>
          </cell>
          <cell r="J20123">
            <v>-31818.3</v>
          </cell>
        </row>
        <row r="20124">
          <cell r="A20124" t="str">
            <v>COMANA</v>
          </cell>
          <cell r="B20124" t="str">
            <v>301-00001-000-0000</v>
          </cell>
          <cell r="J20124">
            <v>-50000</v>
          </cell>
        </row>
        <row r="20125">
          <cell r="A20125" t="str">
            <v>COMANA</v>
          </cell>
          <cell r="B20125" t="str">
            <v>301-00001-001-0000</v>
          </cell>
          <cell r="J20125">
            <v>-50000</v>
          </cell>
        </row>
        <row r="20126">
          <cell r="A20126" t="str">
            <v>COMANA</v>
          </cell>
          <cell r="B20126" t="str">
            <v>301-00004-000-0000</v>
          </cell>
          <cell r="J20126">
            <v>18181.7</v>
          </cell>
        </row>
        <row r="20127">
          <cell r="A20127" t="str">
            <v>COMANA</v>
          </cell>
          <cell r="B20127" t="str">
            <v>301-00004-009-0000</v>
          </cell>
          <cell r="J20127">
            <v>-131045.38</v>
          </cell>
        </row>
        <row r="20128">
          <cell r="A20128" t="str">
            <v>COMANA</v>
          </cell>
          <cell r="B20128" t="str">
            <v>301-00004-010-0000</v>
          </cell>
          <cell r="J20128">
            <v>-76551.55</v>
          </cell>
        </row>
        <row r="20129">
          <cell r="A20129" t="str">
            <v>COMANA</v>
          </cell>
          <cell r="B20129" t="str">
            <v>301-00004-011-0000</v>
          </cell>
          <cell r="J20129">
            <v>-69585.42</v>
          </cell>
        </row>
        <row r="20130">
          <cell r="A20130" t="str">
            <v>COMANA</v>
          </cell>
          <cell r="B20130" t="str">
            <v>301-00004-012-0000</v>
          </cell>
          <cell r="J20130">
            <v>8759.69</v>
          </cell>
        </row>
        <row r="20131">
          <cell r="A20131" t="str">
            <v>COMANA</v>
          </cell>
          <cell r="B20131" t="str">
            <v>301-00004-013-0000</v>
          </cell>
          <cell r="J20131">
            <v>574629.11</v>
          </cell>
        </row>
        <row r="20132">
          <cell r="A20132" t="str">
            <v>COMANA</v>
          </cell>
          <cell r="B20132" t="str">
            <v>301-00004-014-0000</v>
          </cell>
          <cell r="J20132">
            <v>-277590.84000000003</v>
          </cell>
        </row>
        <row r="20133">
          <cell r="A20133" t="str">
            <v>COMANA</v>
          </cell>
          <cell r="B20133" t="str">
            <v>301-00004-015-0000</v>
          </cell>
          <cell r="J20133">
            <v>-10438.709999999999</v>
          </cell>
        </row>
        <row r="20134">
          <cell r="A20134" t="str">
            <v>COMANA</v>
          </cell>
          <cell r="B20134" t="str">
            <v>301-00004-016-0000</v>
          </cell>
          <cell r="J20134">
            <v>4.8</v>
          </cell>
        </row>
        <row r="20135">
          <cell r="A20135" t="str">
            <v>COMANA</v>
          </cell>
          <cell r="J20135">
            <v>0</v>
          </cell>
        </row>
        <row r="20136">
          <cell r="A20136" t="str">
            <v>COMANA</v>
          </cell>
          <cell r="J20136">
            <v>0</v>
          </cell>
        </row>
        <row r="20137">
          <cell r="A20137" t="str">
            <v>COMANA</v>
          </cell>
          <cell r="J20137">
            <v>0</v>
          </cell>
        </row>
        <row r="20138">
          <cell r="A20138" t="str">
            <v>COMANA</v>
          </cell>
          <cell r="J20138">
            <v>0</v>
          </cell>
        </row>
        <row r="20139">
          <cell r="A20139" t="str">
            <v>COMANA</v>
          </cell>
          <cell r="J20139">
            <v>0</v>
          </cell>
        </row>
        <row r="20140">
          <cell r="A20140" t="str">
            <v>COMANA</v>
          </cell>
          <cell r="J20140">
            <v>0</v>
          </cell>
        </row>
        <row r="20141">
          <cell r="A20141" t="str">
            <v>COMANA</v>
          </cell>
          <cell r="J20141">
            <v>0</v>
          </cell>
        </row>
        <row r="20142">
          <cell r="A20142" t="str">
            <v>COMANA</v>
          </cell>
          <cell r="J20142">
            <v>0</v>
          </cell>
        </row>
        <row r="20143">
          <cell r="A20143" t="str">
            <v>COMANA</v>
          </cell>
          <cell r="J20143">
            <v>0</v>
          </cell>
        </row>
        <row r="20144">
          <cell r="A20144" t="str">
            <v>COMANA</v>
          </cell>
          <cell r="J20144">
            <v>0</v>
          </cell>
        </row>
        <row r="20145">
          <cell r="A20145" t="str">
            <v>COMANA</v>
          </cell>
          <cell r="J20145">
            <v>0</v>
          </cell>
        </row>
        <row r="20146">
          <cell r="A20146" t="str">
            <v>COMANA</v>
          </cell>
          <cell r="J20146">
            <v>0</v>
          </cell>
        </row>
        <row r="20147">
          <cell r="A20147" t="str">
            <v>COMANA</v>
          </cell>
          <cell r="J20147">
            <v>0</v>
          </cell>
        </row>
        <row r="20148">
          <cell r="A20148" t="str">
            <v>COMANA</v>
          </cell>
          <cell r="J20148">
            <v>0</v>
          </cell>
        </row>
        <row r="20149">
          <cell r="A20149" t="str">
            <v>COMANA</v>
          </cell>
          <cell r="J20149">
            <v>0</v>
          </cell>
        </row>
        <row r="20150">
          <cell r="A20150" t="str">
            <v>COMANA</v>
          </cell>
          <cell r="J20150">
            <v>0</v>
          </cell>
        </row>
        <row r="20151">
          <cell r="A20151" t="str">
            <v>COMANA</v>
          </cell>
          <cell r="J20151">
            <v>0</v>
          </cell>
        </row>
        <row r="20152">
          <cell r="A20152" t="str">
            <v>COMANA</v>
          </cell>
          <cell r="J20152">
            <v>0</v>
          </cell>
        </row>
        <row r="20153">
          <cell r="A20153" t="str">
            <v>COMANA</v>
          </cell>
          <cell r="J20153">
            <v>0</v>
          </cell>
        </row>
        <row r="20154">
          <cell r="A20154" t="str">
            <v>COMANA</v>
          </cell>
          <cell r="J20154">
            <v>0</v>
          </cell>
        </row>
        <row r="20155">
          <cell r="A20155" t="str">
            <v>COMANA</v>
          </cell>
          <cell r="J20155">
            <v>0</v>
          </cell>
        </row>
        <row r="20156">
          <cell r="A20156" t="str">
            <v>COMANA</v>
          </cell>
          <cell r="J20156">
            <v>0</v>
          </cell>
        </row>
        <row r="20157">
          <cell r="A20157" t="str">
            <v>COMANA</v>
          </cell>
          <cell r="J20157">
            <v>0</v>
          </cell>
        </row>
        <row r="20158">
          <cell r="A20158" t="str">
            <v>COMANA</v>
          </cell>
          <cell r="J20158">
            <v>0</v>
          </cell>
        </row>
        <row r="20159">
          <cell r="A20159" t="str">
            <v>COMANA</v>
          </cell>
          <cell r="J20159">
            <v>0</v>
          </cell>
        </row>
        <row r="20160">
          <cell r="A20160" t="str">
            <v>COMANA</v>
          </cell>
          <cell r="J20160">
            <v>0</v>
          </cell>
        </row>
        <row r="20161">
          <cell r="A20161" t="str">
            <v>COMANA</v>
          </cell>
          <cell r="J20161">
            <v>0</v>
          </cell>
        </row>
        <row r="20162">
          <cell r="A20162" t="str">
            <v>COMANA</v>
          </cell>
          <cell r="J20162">
            <v>0</v>
          </cell>
        </row>
        <row r="20163">
          <cell r="A20163" t="str">
            <v>COMANA</v>
          </cell>
          <cell r="J20163">
            <v>0</v>
          </cell>
        </row>
        <row r="20164">
          <cell r="A20164" t="str">
            <v>COMANA</v>
          </cell>
          <cell r="J20164">
            <v>0</v>
          </cell>
        </row>
        <row r="20165">
          <cell r="A20165" t="str">
            <v>COMANA</v>
          </cell>
          <cell r="J20165">
            <v>0</v>
          </cell>
        </row>
        <row r="20166">
          <cell r="A20166" t="str">
            <v>COMANA</v>
          </cell>
          <cell r="J20166">
            <v>0</v>
          </cell>
        </row>
        <row r="20167">
          <cell r="A20167" t="str">
            <v>COMANA</v>
          </cell>
          <cell r="J20167">
            <v>0</v>
          </cell>
        </row>
        <row r="20168">
          <cell r="A20168" t="str">
            <v>COMANA</v>
          </cell>
          <cell r="J20168">
            <v>0</v>
          </cell>
        </row>
        <row r="20169">
          <cell r="A20169" t="str">
            <v>COMANA</v>
          </cell>
          <cell r="J20169">
            <v>0</v>
          </cell>
        </row>
        <row r="20170">
          <cell r="A20170" t="str">
            <v>COMANA</v>
          </cell>
          <cell r="J20170">
            <v>0</v>
          </cell>
        </row>
        <row r="20171">
          <cell r="J20171">
            <v>0</v>
          </cell>
        </row>
        <row r="20172">
          <cell r="A20172" t="str">
            <v>PROINA</v>
          </cell>
          <cell r="B20172" t="str">
            <v>101-00000-000-0000</v>
          </cell>
          <cell r="J20172">
            <v>6578.37</v>
          </cell>
        </row>
        <row r="20173">
          <cell r="A20173" t="str">
            <v>PROINA</v>
          </cell>
          <cell r="B20173" t="str">
            <v>101-00008-000-0000</v>
          </cell>
          <cell r="J20173">
            <v>6578.37</v>
          </cell>
        </row>
        <row r="20174">
          <cell r="A20174" t="str">
            <v>PROINA</v>
          </cell>
          <cell r="B20174" t="str">
            <v>101-00008-002-0000</v>
          </cell>
          <cell r="J20174">
            <v>5700</v>
          </cell>
        </row>
        <row r="20175">
          <cell r="A20175" t="str">
            <v>PROINA</v>
          </cell>
          <cell r="B20175" t="str">
            <v>101-00008-003-0000</v>
          </cell>
          <cell r="J20175">
            <v>347.37</v>
          </cell>
        </row>
        <row r="20176">
          <cell r="A20176" t="str">
            <v>PROINA</v>
          </cell>
          <cell r="B20176" t="str">
            <v>101-00008-003-0002</v>
          </cell>
          <cell r="J20176">
            <v>347.37</v>
          </cell>
        </row>
        <row r="20177">
          <cell r="A20177" t="str">
            <v>PROINA</v>
          </cell>
          <cell r="B20177" t="str">
            <v>101-00008-007-0000</v>
          </cell>
          <cell r="J20177">
            <v>531</v>
          </cell>
        </row>
        <row r="20178">
          <cell r="A20178" t="str">
            <v>PROINA</v>
          </cell>
          <cell r="B20178" t="str">
            <v>201-00000-000-0000</v>
          </cell>
          <cell r="J20178">
            <v>-1357.2</v>
          </cell>
        </row>
        <row r="20179">
          <cell r="A20179" t="str">
            <v>PROINA</v>
          </cell>
          <cell r="B20179" t="str">
            <v>201-00002-000-0000</v>
          </cell>
          <cell r="J20179">
            <v>-1357.2</v>
          </cell>
        </row>
        <row r="20180">
          <cell r="A20180" t="str">
            <v>PROINA</v>
          </cell>
          <cell r="B20180" t="str">
            <v>201-00002-001-0000</v>
          </cell>
          <cell r="J20180">
            <v>-1357.2</v>
          </cell>
        </row>
        <row r="20181">
          <cell r="A20181" t="str">
            <v>PROINA</v>
          </cell>
          <cell r="B20181" t="str">
            <v>201-00002-001-0001</v>
          </cell>
          <cell r="J20181">
            <v>-1357.2</v>
          </cell>
        </row>
        <row r="20182">
          <cell r="A20182" t="str">
            <v>PROINA</v>
          </cell>
          <cell r="B20182" t="str">
            <v>301-00000-000-0000</v>
          </cell>
          <cell r="J20182">
            <v>-5221.17</v>
          </cell>
        </row>
        <row r="20183">
          <cell r="A20183" t="str">
            <v>PROINA</v>
          </cell>
          <cell r="B20183" t="str">
            <v>301-00001-000-0000</v>
          </cell>
          <cell r="J20183">
            <v>-50000</v>
          </cell>
        </row>
        <row r="20184">
          <cell r="A20184" t="str">
            <v>PROINA</v>
          </cell>
          <cell r="B20184" t="str">
            <v>301-00001-001-0000</v>
          </cell>
          <cell r="J20184">
            <v>-50000</v>
          </cell>
        </row>
        <row r="20185">
          <cell r="A20185" t="str">
            <v>PROINA</v>
          </cell>
          <cell r="B20185" t="str">
            <v>301-00004-000-0000</v>
          </cell>
          <cell r="J20185">
            <v>44778.83</v>
          </cell>
        </row>
        <row r="20186">
          <cell r="A20186" t="str">
            <v>PROINA</v>
          </cell>
          <cell r="B20186" t="str">
            <v>301-00004-009-0000</v>
          </cell>
          <cell r="J20186">
            <v>-43224.29</v>
          </cell>
        </row>
        <row r="20187">
          <cell r="A20187" t="str">
            <v>PROINA</v>
          </cell>
          <cell r="B20187" t="str">
            <v>301-00004-010-0000</v>
          </cell>
          <cell r="J20187">
            <v>-83114.649999999994</v>
          </cell>
        </row>
        <row r="20188">
          <cell r="A20188" t="str">
            <v>PROINA</v>
          </cell>
          <cell r="B20188" t="str">
            <v>301-00004-011-0000</v>
          </cell>
          <cell r="J20188">
            <v>102902.37</v>
          </cell>
        </row>
        <row r="20189">
          <cell r="A20189" t="str">
            <v>PROINA</v>
          </cell>
          <cell r="B20189" t="str">
            <v>301-00004-012-0000</v>
          </cell>
          <cell r="J20189">
            <v>-3649.09</v>
          </cell>
        </row>
        <row r="20190">
          <cell r="A20190" t="str">
            <v>PROINA</v>
          </cell>
          <cell r="B20190" t="str">
            <v>301-00004-013-0000</v>
          </cell>
          <cell r="J20190">
            <v>159743.04999999999</v>
          </cell>
        </row>
        <row r="20191">
          <cell r="A20191" t="str">
            <v>PROINA</v>
          </cell>
          <cell r="B20191" t="str">
            <v>301-00004-014-0000</v>
          </cell>
          <cell r="J20191">
            <v>-16974.86</v>
          </cell>
        </row>
        <row r="20192">
          <cell r="A20192" t="str">
            <v>PROINA</v>
          </cell>
          <cell r="B20192" t="str">
            <v>301-00004-015-0000</v>
          </cell>
          <cell r="J20192">
            <v>-70903.7</v>
          </cell>
        </row>
        <row r="20193">
          <cell r="A20193" t="str">
            <v>PROINA</v>
          </cell>
          <cell r="J20193">
            <v>0</v>
          </cell>
        </row>
        <row r="20194">
          <cell r="A20194" t="str">
            <v>PROINA</v>
          </cell>
          <cell r="J20194">
            <v>0</v>
          </cell>
        </row>
        <row r="20195">
          <cell r="A20195" t="str">
            <v>PROINA</v>
          </cell>
          <cell r="J20195">
            <v>0</v>
          </cell>
        </row>
        <row r="20196">
          <cell r="A20196" t="str">
            <v>PROINA</v>
          </cell>
          <cell r="J20196">
            <v>0</v>
          </cell>
        </row>
        <row r="20197">
          <cell r="A20197" t="str">
            <v>PROINA</v>
          </cell>
          <cell r="J20197">
            <v>0</v>
          </cell>
        </row>
        <row r="20198">
          <cell r="A20198" t="str">
            <v>PROINA</v>
          </cell>
          <cell r="J20198">
            <v>0</v>
          </cell>
        </row>
        <row r="20199">
          <cell r="A20199" t="str">
            <v>PROINA</v>
          </cell>
          <cell r="J20199">
            <v>0</v>
          </cell>
        </row>
        <row r="20200">
          <cell r="A20200" t="str">
            <v>PROINA</v>
          </cell>
          <cell r="J20200">
            <v>0</v>
          </cell>
        </row>
        <row r="20201">
          <cell r="A20201" t="str">
            <v>PROINA</v>
          </cell>
          <cell r="J20201">
            <v>0</v>
          </cell>
        </row>
        <row r="20202">
          <cell r="A20202" t="str">
            <v>PROINA</v>
          </cell>
          <cell r="J20202">
            <v>0</v>
          </cell>
        </row>
        <row r="20203">
          <cell r="A20203" t="str">
            <v>PROINA</v>
          </cell>
          <cell r="J20203">
            <v>0</v>
          </cell>
        </row>
        <row r="20204">
          <cell r="A20204" t="str">
            <v>PROINA</v>
          </cell>
          <cell r="J20204">
            <v>0</v>
          </cell>
        </row>
        <row r="20205">
          <cell r="A20205" t="str">
            <v>PROINA</v>
          </cell>
          <cell r="J20205">
            <v>0</v>
          </cell>
        </row>
        <row r="20206">
          <cell r="A20206" t="str">
            <v>PROINA</v>
          </cell>
          <cell r="J20206">
            <v>0</v>
          </cell>
        </row>
        <row r="20207">
          <cell r="A20207" t="str">
            <v>PROINA</v>
          </cell>
          <cell r="J20207">
            <v>0</v>
          </cell>
        </row>
        <row r="20208">
          <cell r="A20208" t="str">
            <v>PROINA</v>
          </cell>
          <cell r="J20208">
            <v>0</v>
          </cell>
        </row>
        <row r="20209">
          <cell r="A20209" t="str">
            <v>PROINA</v>
          </cell>
          <cell r="J20209">
            <v>0</v>
          </cell>
        </row>
        <row r="20210">
          <cell r="A20210" t="str">
            <v>PROINA</v>
          </cell>
          <cell r="J20210">
            <v>0</v>
          </cell>
        </row>
        <row r="20211">
          <cell r="A20211" t="str">
            <v>PROINA</v>
          </cell>
          <cell r="J20211">
            <v>0</v>
          </cell>
        </row>
        <row r="20212">
          <cell r="A20212" t="str">
            <v>PROINA</v>
          </cell>
          <cell r="J20212">
            <v>0</v>
          </cell>
        </row>
        <row r="20213">
          <cell r="A20213" t="str">
            <v>PROINA</v>
          </cell>
          <cell r="J20213">
            <v>0</v>
          </cell>
        </row>
        <row r="20214">
          <cell r="A20214" t="str">
            <v>PROINA</v>
          </cell>
          <cell r="J20214">
            <v>0</v>
          </cell>
        </row>
        <row r="20215">
          <cell r="A20215" t="str">
            <v>PROINA</v>
          </cell>
          <cell r="J20215">
            <v>0</v>
          </cell>
        </row>
        <row r="20216">
          <cell r="A20216" t="str">
            <v>PROINA</v>
          </cell>
          <cell r="J20216">
            <v>0</v>
          </cell>
        </row>
        <row r="20217">
          <cell r="A20217" t="str">
            <v>PROINA</v>
          </cell>
          <cell r="J20217">
            <v>0</v>
          </cell>
        </row>
        <row r="20218">
          <cell r="A20218" t="str">
            <v>PROINA</v>
          </cell>
          <cell r="J20218">
            <v>0</v>
          </cell>
        </row>
        <row r="20219">
          <cell r="A20219" t="str">
            <v>PROINA</v>
          </cell>
          <cell r="J20219">
            <v>0</v>
          </cell>
        </row>
        <row r="20220">
          <cell r="A20220" t="str">
            <v>PROINA</v>
          </cell>
          <cell r="J20220">
            <v>0</v>
          </cell>
        </row>
        <row r="20221">
          <cell r="A20221" t="str">
            <v>PROINA</v>
          </cell>
          <cell r="J20221">
            <v>0</v>
          </cell>
        </row>
        <row r="20222">
          <cell r="A20222" t="str">
            <v>PROINA</v>
          </cell>
          <cell r="J20222">
            <v>0</v>
          </cell>
        </row>
        <row r="20223">
          <cell r="A20223" t="str">
            <v>PROINA</v>
          </cell>
          <cell r="J20223">
            <v>0</v>
          </cell>
        </row>
        <row r="20224">
          <cell r="A20224" t="str">
            <v>PROINA</v>
          </cell>
          <cell r="J20224">
            <v>0</v>
          </cell>
        </row>
        <row r="20225">
          <cell r="A20225" t="str">
            <v>PROINA</v>
          </cell>
          <cell r="J20225">
            <v>0</v>
          </cell>
        </row>
        <row r="20226">
          <cell r="A20226" t="str">
            <v>PROINA</v>
          </cell>
          <cell r="J20226">
            <v>0</v>
          </cell>
        </row>
        <row r="20227">
          <cell r="A20227" t="str">
            <v>PROINA</v>
          </cell>
          <cell r="J20227">
            <v>0</v>
          </cell>
        </row>
        <row r="20228">
          <cell r="A20228" t="str">
            <v>PROINA</v>
          </cell>
          <cell r="J20228">
            <v>0</v>
          </cell>
        </row>
        <row r="20229">
          <cell r="J20229">
            <v>0</v>
          </cell>
        </row>
        <row r="20230">
          <cell r="A20230" t="str">
            <v>SEVILAT</v>
          </cell>
          <cell r="B20230" t="str">
            <v>101-00000-000-0000</v>
          </cell>
          <cell r="J20230">
            <v>41700.67</v>
          </cell>
        </row>
        <row r="20231">
          <cell r="A20231" t="str">
            <v>SEVILAT</v>
          </cell>
          <cell r="B20231" t="str">
            <v>101-00005-000-0000</v>
          </cell>
          <cell r="J20231">
            <v>23510.27</v>
          </cell>
        </row>
        <row r="20232">
          <cell r="A20232" t="str">
            <v>SEVILAT</v>
          </cell>
          <cell r="B20232" t="str">
            <v>101-00005-003-0000</v>
          </cell>
          <cell r="J20232">
            <v>23510.27</v>
          </cell>
        </row>
        <row r="20233">
          <cell r="A20233" t="str">
            <v>SEVILAT</v>
          </cell>
          <cell r="B20233" t="str">
            <v>101-00005-003-2261</v>
          </cell>
          <cell r="J20233">
            <v>23510.27</v>
          </cell>
        </row>
        <row r="20234">
          <cell r="A20234" t="str">
            <v>SEVILAT</v>
          </cell>
          <cell r="B20234" t="str">
            <v>101-00015-000-0000</v>
          </cell>
          <cell r="J20234">
            <v>18190.400000000001</v>
          </cell>
        </row>
        <row r="20235">
          <cell r="A20235" t="str">
            <v>SEVILAT</v>
          </cell>
          <cell r="B20235" t="str">
            <v>101-00015-001-0000</v>
          </cell>
          <cell r="J20235">
            <v>18190.400000000001</v>
          </cell>
        </row>
        <row r="20236">
          <cell r="A20236" t="str">
            <v>SEVILAT</v>
          </cell>
          <cell r="B20236" t="str">
            <v>101-00015-001-0468</v>
          </cell>
          <cell r="J20236">
            <v>18190.400000000001</v>
          </cell>
        </row>
        <row r="20237">
          <cell r="A20237" t="str">
            <v>SEVILAT</v>
          </cell>
          <cell r="B20237" t="str">
            <v>202-00000-000-0000</v>
          </cell>
          <cell r="J20237">
            <v>-6945</v>
          </cell>
        </row>
        <row r="20238">
          <cell r="A20238" t="str">
            <v>SEVILAT</v>
          </cell>
          <cell r="B20238" t="str">
            <v>202-00001-000-0000</v>
          </cell>
          <cell r="J20238">
            <v>-6945</v>
          </cell>
        </row>
        <row r="20239">
          <cell r="A20239" t="str">
            <v>SEVILAT</v>
          </cell>
          <cell r="B20239" t="str">
            <v>202-00001-009-0000</v>
          </cell>
          <cell r="J20239">
            <v>-6945</v>
          </cell>
        </row>
        <row r="20240">
          <cell r="A20240" t="str">
            <v>SEVILAT</v>
          </cell>
          <cell r="B20240" t="str">
            <v>202-00001-009-1626</v>
          </cell>
          <cell r="J20240">
            <v>-1945</v>
          </cell>
        </row>
        <row r="20241">
          <cell r="A20241" t="str">
            <v>SEVILAT</v>
          </cell>
          <cell r="B20241" t="str">
            <v>202-00001-009-2872</v>
          </cell>
          <cell r="J20241">
            <v>-5000</v>
          </cell>
        </row>
        <row r="20242">
          <cell r="A20242" t="str">
            <v>SEVILAT</v>
          </cell>
          <cell r="B20242" t="str">
            <v>301-00000-000-0000</v>
          </cell>
          <cell r="J20242">
            <v>-34755.67</v>
          </cell>
        </row>
        <row r="20243">
          <cell r="A20243" t="str">
            <v>SEVILAT</v>
          </cell>
          <cell r="B20243" t="str">
            <v>301-00001-000-0000</v>
          </cell>
          <cell r="J20243">
            <v>-50000</v>
          </cell>
        </row>
        <row r="20244">
          <cell r="A20244" t="str">
            <v>SEVILAT</v>
          </cell>
          <cell r="B20244" t="str">
            <v>301-00001-002-0000</v>
          </cell>
          <cell r="J20244">
            <v>-50000</v>
          </cell>
        </row>
        <row r="20245">
          <cell r="A20245" t="str">
            <v>SEVILAT</v>
          </cell>
          <cell r="B20245" t="str">
            <v>301-00004-000-0000</v>
          </cell>
          <cell r="J20245">
            <v>15244.33</v>
          </cell>
        </row>
        <row r="20246">
          <cell r="A20246" t="str">
            <v>SEVILAT</v>
          </cell>
          <cell r="B20246" t="str">
            <v>301-00004-008-0000</v>
          </cell>
          <cell r="J20246">
            <v>-163841.14000000001</v>
          </cell>
        </row>
        <row r="20247">
          <cell r="A20247" t="str">
            <v>SEVILAT</v>
          </cell>
          <cell r="B20247" t="str">
            <v>301-00004-009-0000</v>
          </cell>
          <cell r="J20247">
            <v>-151147.69</v>
          </cell>
        </row>
        <row r="20248">
          <cell r="A20248" t="str">
            <v>SEVILAT</v>
          </cell>
          <cell r="B20248" t="str">
            <v>301-00004-010-0000</v>
          </cell>
          <cell r="J20248">
            <v>-134819.04</v>
          </cell>
        </row>
        <row r="20249">
          <cell r="A20249" t="str">
            <v>SEVILAT</v>
          </cell>
          <cell r="B20249" t="str">
            <v>301-00004-011-0000</v>
          </cell>
          <cell r="J20249">
            <v>122381.72</v>
          </cell>
        </row>
        <row r="20250">
          <cell r="A20250" t="str">
            <v>SEVILAT</v>
          </cell>
          <cell r="B20250" t="str">
            <v>301-00004-012-0000</v>
          </cell>
          <cell r="J20250">
            <v>-22317.83</v>
          </cell>
        </row>
        <row r="20251">
          <cell r="A20251" t="str">
            <v>SEVILAT</v>
          </cell>
          <cell r="B20251" t="str">
            <v>301-00004-013-0000</v>
          </cell>
          <cell r="J20251">
            <v>507311.86</v>
          </cell>
        </row>
        <row r="20252">
          <cell r="A20252" t="str">
            <v>SEVILAT</v>
          </cell>
          <cell r="B20252" t="str">
            <v>301-00004-014-0000</v>
          </cell>
          <cell r="J20252">
            <v>-168579.37</v>
          </cell>
        </row>
        <row r="20253">
          <cell r="A20253" t="str">
            <v>SEVILAT</v>
          </cell>
          <cell r="B20253" t="str">
            <v>301-00004-015-0000</v>
          </cell>
          <cell r="J20253">
            <v>37501.32</v>
          </cell>
        </row>
        <row r="20254">
          <cell r="A20254" t="str">
            <v>SEVILAT</v>
          </cell>
          <cell r="B20254" t="str">
            <v>301-00004-016-0000</v>
          </cell>
          <cell r="J20254">
            <v>-11245.5</v>
          </cell>
        </row>
        <row r="20255">
          <cell r="A20255" t="str">
            <v>SEVILAT</v>
          </cell>
          <cell r="J20255">
            <v>0</v>
          </cell>
        </row>
        <row r="20256">
          <cell r="A20256" t="str">
            <v>SEVILAT</v>
          </cell>
          <cell r="J20256">
            <v>0</v>
          </cell>
        </row>
        <row r="20257">
          <cell r="A20257" t="str">
            <v>SEVILAT</v>
          </cell>
          <cell r="J20257">
            <v>0</v>
          </cell>
        </row>
        <row r="20258">
          <cell r="A20258" t="str">
            <v>SEVILAT</v>
          </cell>
          <cell r="J20258">
            <v>0</v>
          </cell>
        </row>
        <row r="20259">
          <cell r="A20259" t="str">
            <v>SEVILAT</v>
          </cell>
          <cell r="J20259">
            <v>0</v>
          </cell>
        </row>
        <row r="20260">
          <cell r="A20260" t="str">
            <v>SEVILAT</v>
          </cell>
          <cell r="J20260">
            <v>0</v>
          </cell>
        </row>
        <row r="20261">
          <cell r="A20261" t="str">
            <v>SEVILAT</v>
          </cell>
          <cell r="J20261">
            <v>0</v>
          </cell>
        </row>
        <row r="20262">
          <cell r="A20262" t="str">
            <v>SEVILAT</v>
          </cell>
          <cell r="J20262">
            <v>0</v>
          </cell>
        </row>
        <row r="20263">
          <cell r="A20263" t="str">
            <v>SEVILAT</v>
          </cell>
          <cell r="J20263">
            <v>0</v>
          </cell>
        </row>
        <row r="20264">
          <cell r="A20264" t="str">
            <v>SEVILAT</v>
          </cell>
          <cell r="J20264">
            <v>0</v>
          </cell>
        </row>
        <row r="20265">
          <cell r="A20265" t="str">
            <v>SEVILAT</v>
          </cell>
          <cell r="J20265">
            <v>0</v>
          </cell>
        </row>
        <row r="20266">
          <cell r="A20266" t="str">
            <v>SEVILAT</v>
          </cell>
          <cell r="J20266">
            <v>0</v>
          </cell>
        </row>
        <row r="20267">
          <cell r="A20267" t="str">
            <v>SEVILAT</v>
          </cell>
          <cell r="J20267">
            <v>0</v>
          </cell>
        </row>
        <row r="20268">
          <cell r="A20268" t="str">
            <v>SEVILAT</v>
          </cell>
          <cell r="J20268">
            <v>0</v>
          </cell>
        </row>
        <row r="20269">
          <cell r="A20269" t="str">
            <v>SEVILAT</v>
          </cell>
          <cell r="J20269">
            <v>0</v>
          </cell>
        </row>
        <row r="20270">
          <cell r="A20270" t="str">
            <v>SEVILAT</v>
          </cell>
          <cell r="J20270">
            <v>0</v>
          </cell>
        </row>
        <row r="20271">
          <cell r="A20271" t="str">
            <v>SEVILAT</v>
          </cell>
          <cell r="J20271">
            <v>0</v>
          </cell>
        </row>
        <row r="20272">
          <cell r="A20272" t="str">
            <v>SEVILAT</v>
          </cell>
          <cell r="J20272">
            <v>0</v>
          </cell>
        </row>
        <row r="20273">
          <cell r="A20273" t="str">
            <v>SEVILAT</v>
          </cell>
          <cell r="J20273">
            <v>0</v>
          </cell>
        </row>
        <row r="20274">
          <cell r="A20274" t="str">
            <v>SEVILAT</v>
          </cell>
          <cell r="J20274">
            <v>0</v>
          </cell>
        </row>
        <row r="20275">
          <cell r="A20275" t="str">
            <v>SEVILAT</v>
          </cell>
          <cell r="J20275">
            <v>0</v>
          </cell>
        </row>
        <row r="20276">
          <cell r="A20276" t="str">
            <v>SEVILAT</v>
          </cell>
          <cell r="J20276">
            <v>0</v>
          </cell>
        </row>
        <row r="20277">
          <cell r="A20277" t="str">
            <v>SEVILAT</v>
          </cell>
          <cell r="J20277">
            <v>0</v>
          </cell>
        </row>
        <row r="20278">
          <cell r="A20278" t="str">
            <v>SEVILAT</v>
          </cell>
          <cell r="J20278">
            <v>0</v>
          </cell>
        </row>
        <row r="20279">
          <cell r="A20279" t="str">
            <v>SEVILAT</v>
          </cell>
          <cell r="J20279">
            <v>0</v>
          </cell>
        </row>
        <row r="20280">
          <cell r="A20280" t="str">
            <v>SEVILAT</v>
          </cell>
          <cell r="J20280">
            <v>0</v>
          </cell>
        </row>
        <row r="20281">
          <cell r="A20281" t="str">
            <v>SEVILAT</v>
          </cell>
          <cell r="J20281">
            <v>0</v>
          </cell>
        </row>
        <row r="20282">
          <cell r="A20282" t="str">
            <v>SEVILAT</v>
          </cell>
          <cell r="J20282">
            <v>0</v>
          </cell>
        </row>
        <row r="20283">
          <cell r="A20283" t="str">
            <v>SEVILAT</v>
          </cell>
          <cell r="J20283">
            <v>0</v>
          </cell>
        </row>
        <row r="20284">
          <cell r="A20284" t="str">
            <v>SEVILAT</v>
          </cell>
          <cell r="J20284">
            <v>0</v>
          </cell>
        </row>
        <row r="20285">
          <cell r="A20285" t="str">
            <v>SEVILAT</v>
          </cell>
          <cell r="J20285">
            <v>0</v>
          </cell>
        </row>
        <row r="20286">
          <cell r="A20286" t="str">
            <v>SEVILAT</v>
          </cell>
          <cell r="J20286">
            <v>0</v>
          </cell>
        </row>
        <row r="20287">
          <cell r="A20287" t="str">
            <v>SEVILAT</v>
          </cell>
          <cell r="J20287">
            <v>0</v>
          </cell>
        </row>
        <row r="20288">
          <cell r="A20288" t="str">
            <v>SEVILAT</v>
          </cell>
          <cell r="J20288">
            <v>0</v>
          </cell>
        </row>
        <row r="20289">
          <cell r="A20289" t="str">
            <v>SEVILAT</v>
          </cell>
          <cell r="J20289">
            <v>0</v>
          </cell>
        </row>
        <row r="20290">
          <cell r="A20290" t="str">
            <v>SEVILAT</v>
          </cell>
          <cell r="J20290">
            <v>0</v>
          </cell>
        </row>
        <row r="20291">
          <cell r="A20291" t="str">
            <v>SEVILAT</v>
          </cell>
          <cell r="J20291">
            <v>0</v>
          </cell>
        </row>
        <row r="20292">
          <cell r="A20292" t="str">
            <v>SEVILAT</v>
          </cell>
          <cell r="J20292">
            <v>0</v>
          </cell>
        </row>
        <row r="20293">
          <cell r="J20293">
            <v>0</v>
          </cell>
        </row>
        <row r="20294">
          <cell r="A20294" t="str">
            <v>IPV</v>
          </cell>
          <cell r="B20294" t="str">
            <v>101-00000-000-0000</v>
          </cell>
          <cell r="J20294">
            <v>69539.429999999993</v>
          </cell>
        </row>
        <row r="20295">
          <cell r="A20295" t="str">
            <v>IPV</v>
          </cell>
          <cell r="B20295" t="str">
            <v>101-00005-000-0000</v>
          </cell>
          <cell r="J20295">
            <v>22970.41</v>
          </cell>
        </row>
        <row r="20296">
          <cell r="A20296" t="str">
            <v>IPV</v>
          </cell>
          <cell r="B20296" t="str">
            <v>101-00005-003-0000</v>
          </cell>
          <cell r="J20296">
            <v>22970.41</v>
          </cell>
        </row>
        <row r="20297">
          <cell r="A20297" t="str">
            <v>IPV</v>
          </cell>
          <cell r="B20297" t="str">
            <v>101-00005-003-2261</v>
          </cell>
          <cell r="J20297">
            <v>22970.41</v>
          </cell>
        </row>
        <row r="20298">
          <cell r="A20298" t="str">
            <v>IPV</v>
          </cell>
          <cell r="B20298" t="str">
            <v>101-00008-000-0000</v>
          </cell>
          <cell r="J20298">
            <v>28378.62</v>
          </cell>
        </row>
        <row r="20299">
          <cell r="A20299" t="str">
            <v>IPV</v>
          </cell>
          <cell r="B20299" t="str">
            <v>101-00008-002-0000</v>
          </cell>
          <cell r="J20299">
            <v>28378.62</v>
          </cell>
        </row>
        <row r="20300">
          <cell r="A20300" t="str">
            <v>IPV</v>
          </cell>
          <cell r="B20300" t="str">
            <v>101-00015-000-0000</v>
          </cell>
          <cell r="J20300">
            <v>18190.400000000001</v>
          </cell>
        </row>
        <row r="20301">
          <cell r="A20301" t="str">
            <v>IPV</v>
          </cell>
          <cell r="B20301" t="str">
            <v>101-00015-001-0000</v>
          </cell>
          <cell r="J20301">
            <v>18190.400000000001</v>
          </cell>
        </row>
        <row r="20302">
          <cell r="A20302" t="str">
            <v>IPV</v>
          </cell>
          <cell r="B20302" t="str">
            <v>101-00015-001-0468</v>
          </cell>
          <cell r="J20302">
            <v>18190.400000000001</v>
          </cell>
        </row>
        <row r="20303">
          <cell r="A20303" t="str">
            <v>IPV</v>
          </cell>
          <cell r="B20303" t="str">
            <v>102-00003-001-0000</v>
          </cell>
          <cell r="J20303">
            <v>241768</v>
          </cell>
        </row>
        <row r="20304">
          <cell r="A20304" t="str">
            <v>IPV</v>
          </cell>
          <cell r="B20304" t="str">
            <v>102-00003-002-0000</v>
          </cell>
          <cell r="J20304">
            <v>-241768</v>
          </cell>
        </row>
        <row r="20305">
          <cell r="A20305" t="str">
            <v>IPV</v>
          </cell>
          <cell r="B20305" t="str">
            <v>202-00000-000-0000</v>
          </cell>
          <cell r="J20305">
            <v>-5000</v>
          </cell>
        </row>
        <row r="20306">
          <cell r="A20306" t="str">
            <v>IPV</v>
          </cell>
          <cell r="B20306" t="str">
            <v>202-00001-000-0000</v>
          </cell>
          <cell r="J20306">
            <v>-5000</v>
          </cell>
        </row>
        <row r="20307">
          <cell r="A20307" t="str">
            <v>IPV</v>
          </cell>
          <cell r="B20307" t="str">
            <v>202-00001-009-0000</v>
          </cell>
          <cell r="J20307">
            <v>-5000</v>
          </cell>
        </row>
        <row r="20308">
          <cell r="A20308" t="str">
            <v>IPV</v>
          </cell>
          <cell r="B20308" t="str">
            <v>202-00001-009-2872</v>
          </cell>
          <cell r="J20308">
            <v>-5000</v>
          </cell>
        </row>
        <row r="20309">
          <cell r="A20309" t="str">
            <v>IPV</v>
          </cell>
          <cell r="B20309" t="str">
            <v>301-00000-000-0000</v>
          </cell>
          <cell r="J20309">
            <v>-64539.43</v>
          </cell>
        </row>
        <row r="20310">
          <cell r="A20310" t="str">
            <v>IPV</v>
          </cell>
          <cell r="B20310" t="str">
            <v>301-00001-000-0000</v>
          </cell>
          <cell r="J20310">
            <v>-50000</v>
          </cell>
        </row>
        <row r="20311">
          <cell r="A20311" t="str">
            <v>IPV</v>
          </cell>
          <cell r="B20311" t="str">
            <v>301-00001-002-0000</v>
          </cell>
          <cell r="J20311">
            <v>-50000</v>
          </cell>
        </row>
        <row r="20312">
          <cell r="A20312" t="str">
            <v>IPV</v>
          </cell>
          <cell r="B20312" t="str">
            <v>301-00004-000-0000</v>
          </cell>
          <cell r="J20312">
            <v>-14539.43</v>
          </cell>
        </row>
        <row r="20313">
          <cell r="A20313" t="str">
            <v>IPV</v>
          </cell>
          <cell r="B20313" t="str">
            <v>301-00004-008-0000</v>
          </cell>
          <cell r="J20313">
            <v>-212323.81</v>
          </cell>
        </row>
        <row r="20314">
          <cell r="A20314" t="str">
            <v>IPV</v>
          </cell>
          <cell r="B20314" t="str">
            <v>301-00004-009-0000</v>
          </cell>
          <cell r="J20314">
            <v>-712085.67</v>
          </cell>
        </row>
        <row r="20315">
          <cell r="A20315" t="str">
            <v>IPV</v>
          </cell>
          <cell r="B20315" t="str">
            <v>301-00004-010-0000</v>
          </cell>
          <cell r="J20315">
            <v>-131660.25</v>
          </cell>
        </row>
        <row r="20316">
          <cell r="A20316" t="str">
            <v>IPV</v>
          </cell>
          <cell r="B20316" t="str">
            <v>301-00004-011-0000</v>
          </cell>
          <cell r="J20316">
            <v>206524.09</v>
          </cell>
        </row>
        <row r="20317">
          <cell r="A20317" t="str">
            <v>IPV</v>
          </cell>
          <cell r="B20317" t="str">
            <v>301-00004-012-0000</v>
          </cell>
          <cell r="J20317">
            <v>-2357.96</v>
          </cell>
        </row>
        <row r="20318">
          <cell r="A20318" t="str">
            <v>IPV</v>
          </cell>
          <cell r="B20318" t="str">
            <v>301-00004-013-0000</v>
          </cell>
          <cell r="J20318">
            <v>317930.78999999998</v>
          </cell>
        </row>
        <row r="20319">
          <cell r="A20319" t="str">
            <v>IPV</v>
          </cell>
          <cell r="B20319" t="str">
            <v>301-00004-014-0000</v>
          </cell>
          <cell r="J20319">
            <v>530678.78</v>
          </cell>
        </row>
        <row r="20320">
          <cell r="A20320" t="str">
            <v>IPV</v>
          </cell>
          <cell r="B20320" t="str">
            <v>301-00004-016-0000</v>
          </cell>
          <cell r="J20320">
            <v>-11245.4</v>
          </cell>
        </row>
        <row r="20321">
          <cell r="A20321" t="str">
            <v>IPV</v>
          </cell>
          <cell r="J20321">
            <v>0</v>
          </cell>
        </row>
        <row r="20322">
          <cell r="A20322" t="str">
            <v>IPV</v>
          </cell>
          <cell r="J20322">
            <v>0</v>
          </cell>
        </row>
        <row r="20323">
          <cell r="A20323" t="str">
            <v>IPV</v>
          </cell>
          <cell r="J20323">
            <v>0</v>
          </cell>
        </row>
        <row r="20324">
          <cell r="A20324" t="str">
            <v>IPV</v>
          </cell>
          <cell r="J20324">
            <v>0</v>
          </cell>
        </row>
        <row r="20325">
          <cell r="A20325" t="str">
            <v>IPV</v>
          </cell>
          <cell r="J20325">
            <v>0</v>
          </cell>
        </row>
        <row r="20326">
          <cell r="A20326" t="str">
            <v>IPV</v>
          </cell>
          <cell r="J20326">
            <v>0</v>
          </cell>
        </row>
        <row r="20327">
          <cell r="A20327" t="str">
            <v>IPV</v>
          </cell>
          <cell r="J20327">
            <v>0</v>
          </cell>
        </row>
        <row r="20328">
          <cell r="A20328" t="str">
            <v>IPV</v>
          </cell>
          <cell r="J20328">
            <v>0</v>
          </cell>
        </row>
        <row r="20329">
          <cell r="A20329" t="str">
            <v>IPV</v>
          </cell>
          <cell r="J20329">
            <v>0</v>
          </cell>
        </row>
        <row r="20330">
          <cell r="A20330" t="str">
            <v>IPV</v>
          </cell>
          <cell r="J20330">
            <v>0</v>
          </cell>
        </row>
        <row r="20331">
          <cell r="A20331" t="str">
            <v>IPV</v>
          </cell>
          <cell r="J20331">
            <v>0</v>
          </cell>
        </row>
        <row r="20332">
          <cell r="A20332" t="str">
            <v>IPV</v>
          </cell>
          <cell r="J20332">
            <v>0</v>
          </cell>
        </row>
        <row r="20333">
          <cell r="A20333" t="str">
            <v>IPV</v>
          </cell>
          <cell r="J20333">
            <v>0</v>
          </cell>
        </row>
        <row r="20334">
          <cell r="A20334" t="str">
            <v>IPV</v>
          </cell>
          <cell r="J20334">
            <v>0</v>
          </cell>
        </row>
        <row r="20335">
          <cell r="A20335" t="str">
            <v>IPV</v>
          </cell>
          <cell r="J20335">
            <v>0</v>
          </cell>
        </row>
        <row r="20336">
          <cell r="A20336" t="str">
            <v>IPV</v>
          </cell>
          <cell r="J20336">
            <v>0</v>
          </cell>
        </row>
        <row r="20337">
          <cell r="A20337" t="str">
            <v>IPV</v>
          </cell>
          <cell r="J20337">
            <v>0</v>
          </cell>
        </row>
        <row r="20338">
          <cell r="A20338" t="str">
            <v>IPV</v>
          </cell>
          <cell r="J20338">
            <v>0</v>
          </cell>
        </row>
        <row r="20339">
          <cell r="A20339" t="str">
            <v>IPV</v>
          </cell>
          <cell r="J20339">
            <v>0</v>
          </cell>
        </row>
        <row r="20340">
          <cell r="A20340" t="str">
            <v>IPV</v>
          </cell>
          <cell r="J20340">
            <v>0</v>
          </cell>
        </row>
        <row r="20341">
          <cell r="A20341" t="str">
            <v>IPV</v>
          </cell>
          <cell r="J20341">
            <v>0</v>
          </cell>
        </row>
        <row r="20342">
          <cell r="A20342" t="str">
            <v>IPV</v>
          </cell>
          <cell r="J20342">
            <v>0</v>
          </cell>
        </row>
        <row r="20343">
          <cell r="A20343" t="str">
            <v>IPV</v>
          </cell>
          <cell r="J20343">
            <v>0</v>
          </cell>
        </row>
        <row r="20344">
          <cell r="A20344" t="str">
            <v>IPV</v>
          </cell>
          <cell r="J20344">
            <v>0</v>
          </cell>
        </row>
        <row r="20345">
          <cell r="A20345" t="str">
            <v>IPV</v>
          </cell>
          <cell r="J20345">
            <v>0</v>
          </cell>
        </row>
        <row r="20346">
          <cell r="A20346" t="str">
            <v>IPV</v>
          </cell>
          <cell r="J20346">
            <v>0</v>
          </cell>
        </row>
        <row r="20347">
          <cell r="A20347" t="str">
            <v>IPV</v>
          </cell>
          <cell r="J20347">
            <v>0</v>
          </cell>
        </row>
        <row r="20348">
          <cell r="A20348" t="str">
            <v>IPV</v>
          </cell>
          <cell r="J20348">
            <v>0</v>
          </cell>
        </row>
        <row r="20349">
          <cell r="A20349" t="str">
            <v>IPV</v>
          </cell>
          <cell r="J20349">
            <v>0</v>
          </cell>
        </row>
        <row r="20350">
          <cell r="A20350" t="str">
            <v>IPV</v>
          </cell>
          <cell r="J20350">
            <v>0</v>
          </cell>
        </row>
        <row r="20351">
          <cell r="A20351" t="str">
            <v>IPV</v>
          </cell>
          <cell r="J20351">
            <v>0</v>
          </cell>
        </row>
        <row r="20352">
          <cell r="A20352" t="str">
            <v>IPV</v>
          </cell>
          <cell r="J20352">
            <v>0</v>
          </cell>
        </row>
        <row r="20353">
          <cell r="A20353" t="str">
            <v>IPV</v>
          </cell>
          <cell r="J20353">
            <v>0</v>
          </cell>
        </row>
        <row r="20354">
          <cell r="A20354" t="str">
            <v>IPV</v>
          </cell>
          <cell r="J20354">
            <v>0</v>
          </cell>
        </row>
        <row r="20355">
          <cell r="A20355" t="str">
            <v>IPV</v>
          </cell>
          <cell r="J20355">
            <v>0</v>
          </cell>
        </row>
        <row r="20356">
          <cell r="A20356" t="str">
            <v>IPV</v>
          </cell>
          <cell r="J20356">
            <v>0</v>
          </cell>
        </row>
        <row r="20357">
          <cell r="J20357">
            <v>0</v>
          </cell>
        </row>
        <row r="20358">
          <cell r="J20358">
            <v>0</v>
          </cell>
        </row>
        <row r="20359">
          <cell r="A20359" t="str">
            <v>SERSEÑAL</v>
          </cell>
          <cell r="B20359" t="str">
            <v>101-00000-000-0000</v>
          </cell>
          <cell r="J20359">
            <v>25966.11</v>
          </cell>
        </row>
        <row r="20360">
          <cell r="A20360" t="str">
            <v>SERSEÑAL</v>
          </cell>
          <cell r="B20360" t="str">
            <v>101-00002-000-0000</v>
          </cell>
          <cell r="J20360">
            <v>19927.580000000002</v>
          </cell>
        </row>
        <row r="20361">
          <cell r="A20361" t="str">
            <v>SERSEÑAL</v>
          </cell>
          <cell r="B20361" t="str">
            <v>101-00002-003-0000</v>
          </cell>
          <cell r="J20361">
            <v>19927.580000000002</v>
          </cell>
        </row>
        <row r="20362">
          <cell r="A20362" t="str">
            <v>SERSEÑAL</v>
          </cell>
          <cell r="B20362" t="str">
            <v>101-00002-003-0022</v>
          </cell>
          <cell r="J20362">
            <v>19927.580000000002</v>
          </cell>
        </row>
        <row r="20363">
          <cell r="A20363" t="str">
            <v>SERSEÑAL</v>
          </cell>
          <cell r="B20363" t="str">
            <v>101-00005-000-0000</v>
          </cell>
          <cell r="J20363">
            <v>5038.53</v>
          </cell>
        </row>
        <row r="20364">
          <cell r="A20364" t="str">
            <v>SERSEÑAL</v>
          </cell>
          <cell r="B20364" t="str">
            <v>101-00005-010-0000</v>
          </cell>
          <cell r="J20364">
            <v>5038.53</v>
          </cell>
        </row>
        <row r="20365">
          <cell r="A20365" t="str">
            <v>SERSEÑAL</v>
          </cell>
          <cell r="B20365" t="str">
            <v>101-00005-010-1967</v>
          </cell>
          <cell r="J20365">
            <v>5038.53</v>
          </cell>
        </row>
        <row r="20366">
          <cell r="A20366" t="str">
            <v>SERSEÑAL</v>
          </cell>
          <cell r="B20366" t="str">
            <v>101-00008-000-0000</v>
          </cell>
          <cell r="J20366">
            <v>1000</v>
          </cell>
        </row>
        <row r="20367">
          <cell r="A20367" t="str">
            <v>SERSEÑAL</v>
          </cell>
          <cell r="B20367" t="str">
            <v>101-00008-002-0000</v>
          </cell>
          <cell r="J20367">
            <v>1000</v>
          </cell>
        </row>
        <row r="20368">
          <cell r="A20368" t="str">
            <v>SERSEÑAL</v>
          </cell>
          <cell r="B20368" t="str">
            <v>201-00000-000-0000</v>
          </cell>
          <cell r="J20368">
            <v>-18667.14</v>
          </cell>
        </row>
        <row r="20369">
          <cell r="A20369" t="str">
            <v>SERSEÑAL</v>
          </cell>
          <cell r="B20369" t="str">
            <v>201-00002-000-0000</v>
          </cell>
          <cell r="J20369">
            <v>-18667.14</v>
          </cell>
        </row>
        <row r="20370">
          <cell r="A20370" t="str">
            <v>SERSEÑAL</v>
          </cell>
          <cell r="B20370" t="str">
            <v>201-00002-001-0000</v>
          </cell>
          <cell r="J20370">
            <v>-18667.14</v>
          </cell>
        </row>
        <row r="20371">
          <cell r="A20371" t="str">
            <v>SERSEÑAL</v>
          </cell>
          <cell r="B20371" t="str">
            <v>201-00002-001-1613</v>
          </cell>
          <cell r="J20371">
            <v>-18667.14</v>
          </cell>
        </row>
        <row r="20372">
          <cell r="A20372" t="str">
            <v>SERSEÑAL</v>
          </cell>
          <cell r="B20372" t="str">
            <v>202-00000-000-0000</v>
          </cell>
          <cell r="J20372">
            <v>-335500</v>
          </cell>
        </row>
        <row r="20373">
          <cell r="A20373" t="str">
            <v>SERSEÑAL</v>
          </cell>
          <cell r="B20373" t="str">
            <v>202-00001-000-0000</v>
          </cell>
          <cell r="J20373">
            <v>-335500</v>
          </cell>
        </row>
        <row r="20374">
          <cell r="A20374" t="str">
            <v>SERSEÑAL</v>
          </cell>
          <cell r="B20374" t="str">
            <v>202-00001-009-0000</v>
          </cell>
          <cell r="J20374">
            <v>-335500</v>
          </cell>
        </row>
        <row r="20375">
          <cell r="A20375" t="str">
            <v>SERSEÑAL</v>
          </cell>
          <cell r="B20375" t="str">
            <v>202-00001-009-1149</v>
          </cell>
          <cell r="J20375">
            <v>-305500</v>
          </cell>
        </row>
        <row r="20376">
          <cell r="A20376" t="str">
            <v>SERSEÑAL</v>
          </cell>
          <cell r="B20376" t="str">
            <v>202-00001-009-2300</v>
          </cell>
          <cell r="J20376">
            <v>-30000</v>
          </cell>
        </row>
        <row r="20377">
          <cell r="A20377" t="str">
            <v>SERSEÑAL</v>
          </cell>
          <cell r="B20377" t="str">
            <v>301-00000-000-0000</v>
          </cell>
          <cell r="J20377">
            <v>328200.59000000003</v>
          </cell>
        </row>
        <row r="20378">
          <cell r="A20378" t="str">
            <v>SERSEÑAL</v>
          </cell>
          <cell r="B20378" t="str">
            <v>301-00001-000-0000</v>
          </cell>
          <cell r="J20378">
            <v>-120000</v>
          </cell>
        </row>
        <row r="20379">
          <cell r="A20379" t="str">
            <v>SERSEÑAL</v>
          </cell>
          <cell r="B20379" t="str">
            <v>301-00001-001-0000</v>
          </cell>
          <cell r="J20379">
            <v>-50000</v>
          </cell>
        </row>
        <row r="20380">
          <cell r="A20380" t="str">
            <v>SERSEÑAL</v>
          </cell>
          <cell r="B20380" t="str">
            <v>301-00001-004-0000</v>
          </cell>
          <cell r="J20380">
            <v>-70000</v>
          </cell>
        </row>
        <row r="20381">
          <cell r="A20381" t="str">
            <v>SERSEÑAL</v>
          </cell>
          <cell r="B20381" t="str">
            <v>301-00001-004-0332</v>
          </cell>
          <cell r="J20381">
            <v>-70000</v>
          </cell>
        </row>
        <row r="20382">
          <cell r="A20382" t="str">
            <v>SERSEÑAL</v>
          </cell>
          <cell r="B20382" t="str">
            <v>301-00004-000-0000</v>
          </cell>
          <cell r="J20382">
            <v>448200.59</v>
          </cell>
        </row>
        <row r="20383">
          <cell r="A20383" t="str">
            <v>SERSEÑAL</v>
          </cell>
          <cell r="B20383" t="str">
            <v>301-00004-009-0000</v>
          </cell>
          <cell r="J20383">
            <v>42280.56</v>
          </cell>
        </row>
        <row r="20384">
          <cell r="A20384" t="str">
            <v>SERSEÑAL</v>
          </cell>
          <cell r="B20384" t="str">
            <v>301-00004-010-0000</v>
          </cell>
          <cell r="J20384">
            <v>-89510.47</v>
          </cell>
        </row>
        <row r="20385">
          <cell r="A20385" t="str">
            <v>SERSEÑAL</v>
          </cell>
          <cell r="B20385" t="str">
            <v>301-00004-011-0000</v>
          </cell>
          <cell r="J20385">
            <v>134903.29999999999</v>
          </cell>
        </row>
        <row r="20386">
          <cell r="A20386" t="str">
            <v>SERSEÑAL</v>
          </cell>
          <cell r="B20386" t="str">
            <v>301-00004-012-0000</v>
          </cell>
          <cell r="J20386">
            <v>151788.9</v>
          </cell>
        </row>
        <row r="20387">
          <cell r="A20387" t="str">
            <v>SERSEÑAL</v>
          </cell>
          <cell r="B20387" t="str">
            <v>301-00004-013-0000</v>
          </cell>
          <cell r="J20387">
            <v>127752.99</v>
          </cell>
        </row>
        <row r="20388">
          <cell r="A20388" t="str">
            <v>SERSEÑAL</v>
          </cell>
          <cell r="B20388" t="str">
            <v>301-00004-014-0000</v>
          </cell>
          <cell r="J20388">
            <v>-1205.42</v>
          </cell>
        </row>
        <row r="20389">
          <cell r="A20389" t="str">
            <v>SERSEÑAL</v>
          </cell>
          <cell r="B20389" t="str">
            <v>301-00004-015-0000</v>
          </cell>
          <cell r="J20389">
            <v>90328.6</v>
          </cell>
        </row>
        <row r="20390">
          <cell r="A20390" t="str">
            <v>SERSEÑAL</v>
          </cell>
          <cell r="B20390" t="str">
            <v>301-00004-016-0000</v>
          </cell>
          <cell r="J20390">
            <v>12530.17</v>
          </cell>
        </row>
        <row r="20391">
          <cell r="A20391" t="str">
            <v>SERSEÑAL</v>
          </cell>
          <cell r="B20391" t="str">
            <v>301-00004-017-0000</v>
          </cell>
          <cell r="J20391">
            <v>-20668.04</v>
          </cell>
        </row>
        <row r="20392">
          <cell r="A20392" t="str">
            <v>SERSEÑAL</v>
          </cell>
          <cell r="B20392" t="str">
            <v>650-00000-000-0000</v>
          </cell>
          <cell r="J20392">
            <v>0.44</v>
          </cell>
        </row>
        <row r="20393">
          <cell r="A20393" t="str">
            <v>SERSEÑAL</v>
          </cell>
          <cell r="B20393" t="str">
            <v>650-99999-000-0000</v>
          </cell>
          <cell r="J20393">
            <v>0.44</v>
          </cell>
        </row>
        <row r="20394">
          <cell r="A20394" t="str">
            <v>SERSEÑAL</v>
          </cell>
          <cell r="B20394" t="str">
            <v>650-99999-025-0000</v>
          </cell>
          <cell r="J20394">
            <v>0.44</v>
          </cell>
        </row>
        <row r="20395">
          <cell r="A20395" t="str">
            <v>SERSEÑAL</v>
          </cell>
          <cell r="B20395" t="str">
            <v>650-99999-025-0001</v>
          </cell>
          <cell r="J20395">
            <v>0.44</v>
          </cell>
        </row>
        <row r="20396">
          <cell r="A20396" t="str">
            <v>SERSEÑAL</v>
          </cell>
          <cell r="J20396">
            <v>0</v>
          </cell>
        </row>
        <row r="20397">
          <cell r="A20397" t="str">
            <v>SERSEÑAL</v>
          </cell>
          <cell r="J20397">
            <v>0</v>
          </cell>
        </row>
        <row r="20398">
          <cell r="A20398" t="str">
            <v>SERSEÑAL</v>
          </cell>
          <cell r="J20398">
            <v>0</v>
          </cell>
        </row>
        <row r="20399">
          <cell r="A20399" t="str">
            <v>SERSEÑAL</v>
          </cell>
          <cell r="J20399">
            <v>0</v>
          </cell>
        </row>
        <row r="20400">
          <cell r="A20400" t="str">
            <v>SERSEÑAL</v>
          </cell>
          <cell r="J20400">
            <v>0</v>
          </cell>
        </row>
        <row r="20401">
          <cell r="A20401" t="str">
            <v>SERSEÑAL</v>
          </cell>
          <cell r="J20401">
            <v>0</v>
          </cell>
        </row>
        <row r="20402">
          <cell r="A20402" t="str">
            <v>SERSEÑAL</v>
          </cell>
          <cell r="J20402">
            <v>0</v>
          </cell>
        </row>
        <row r="20403">
          <cell r="A20403" t="str">
            <v>SERSEÑAL</v>
          </cell>
          <cell r="J20403">
            <v>0</v>
          </cell>
        </row>
        <row r="20404">
          <cell r="A20404" t="str">
            <v>SERSEÑAL</v>
          </cell>
          <cell r="J20404">
            <v>0</v>
          </cell>
        </row>
        <row r="20405">
          <cell r="A20405" t="str">
            <v>SERSEÑAL</v>
          </cell>
          <cell r="J20405">
            <v>0</v>
          </cell>
        </row>
        <row r="20406">
          <cell r="A20406" t="str">
            <v>SERSEÑAL</v>
          </cell>
          <cell r="J20406">
            <v>0</v>
          </cell>
        </row>
        <row r="20407">
          <cell r="A20407" t="str">
            <v>SERSEÑAL</v>
          </cell>
          <cell r="J20407">
            <v>0</v>
          </cell>
        </row>
        <row r="20408">
          <cell r="A20408" t="str">
            <v>SERSEÑAL</v>
          </cell>
          <cell r="J20408">
            <v>0</v>
          </cell>
        </row>
        <row r="20409">
          <cell r="A20409" t="str">
            <v>SERSEÑAL</v>
          </cell>
          <cell r="J20409">
            <v>0</v>
          </cell>
        </row>
        <row r="20410">
          <cell r="A20410" t="str">
            <v>SERSEÑAL</v>
          </cell>
          <cell r="J20410">
            <v>0</v>
          </cell>
        </row>
        <row r="20411">
          <cell r="A20411" t="str">
            <v>SERSEÑAL</v>
          </cell>
          <cell r="J20411">
            <v>0</v>
          </cell>
        </row>
        <row r="20412">
          <cell r="A20412" t="str">
            <v>SERSEÑAL</v>
          </cell>
          <cell r="J20412">
            <v>0</v>
          </cell>
        </row>
        <row r="20413">
          <cell r="A20413" t="str">
            <v>SERSEÑAL</v>
          </cell>
          <cell r="J20413">
            <v>0</v>
          </cell>
        </row>
        <row r="20414">
          <cell r="A20414" t="str">
            <v>SERSEÑAL</v>
          </cell>
          <cell r="J20414">
            <v>0</v>
          </cell>
        </row>
        <row r="20415">
          <cell r="A20415" t="str">
            <v>SERSEÑAL</v>
          </cell>
          <cell r="J20415">
            <v>0</v>
          </cell>
        </row>
        <row r="20416">
          <cell r="A20416" t="str">
            <v>SERSEÑAL</v>
          </cell>
          <cell r="J20416">
            <v>0</v>
          </cell>
        </row>
        <row r="20417">
          <cell r="A20417" t="str">
            <v>SERSEÑAL</v>
          </cell>
          <cell r="J20417">
            <v>0</v>
          </cell>
        </row>
        <row r="20418">
          <cell r="A20418" t="str">
            <v>SERSEÑAL</v>
          </cell>
          <cell r="J20418">
            <v>0</v>
          </cell>
        </row>
        <row r="20419">
          <cell r="A20419" t="str">
            <v>SERSEÑAL</v>
          </cell>
          <cell r="J20419">
            <v>0</v>
          </cell>
        </row>
        <row r="20420">
          <cell r="A20420" t="str">
            <v>SERSEÑAL</v>
          </cell>
          <cell r="J20420">
            <v>0</v>
          </cell>
        </row>
        <row r="20421">
          <cell r="A20421" t="str">
            <v>SERSEÑAL</v>
          </cell>
          <cell r="J20421">
            <v>0</v>
          </cell>
        </row>
        <row r="20422">
          <cell r="A20422" t="str">
            <v>SERSEÑAL</v>
          </cell>
          <cell r="J20422">
            <v>0</v>
          </cell>
        </row>
        <row r="20423">
          <cell r="A20423" t="str">
            <v>SERSEÑAL</v>
          </cell>
          <cell r="J20423">
            <v>0</v>
          </cell>
        </row>
        <row r="20424">
          <cell r="A20424" t="str">
            <v>SERSEÑAL</v>
          </cell>
          <cell r="J20424">
            <v>0</v>
          </cell>
        </row>
        <row r="20425">
          <cell r="A20425" t="str">
            <v>SERSEÑAL</v>
          </cell>
          <cell r="J20425">
            <v>0</v>
          </cell>
        </row>
        <row r="20426">
          <cell r="A20426" t="str">
            <v>SERSEÑAL</v>
          </cell>
          <cell r="J20426">
            <v>0</v>
          </cell>
        </row>
        <row r="20427">
          <cell r="A20427" t="str">
            <v>SERSEÑAL</v>
          </cell>
          <cell r="J20427">
            <v>0</v>
          </cell>
        </row>
        <row r="20428">
          <cell r="A20428" t="str">
            <v>SERSEÑAL</v>
          </cell>
          <cell r="J20428">
            <v>0</v>
          </cell>
        </row>
        <row r="20429">
          <cell r="A20429" t="str">
            <v>SERSEÑAL</v>
          </cell>
          <cell r="J20429">
            <v>0</v>
          </cell>
        </row>
        <row r="20430">
          <cell r="A20430" t="str">
            <v>SERSEÑAL</v>
          </cell>
          <cell r="J20430">
            <v>0</v>
          </cell>
        </row>
        <row r="20431">
          <cell r="A20431" t="str">
            <v>SERSEÑAL</v>
          </cell>
          <cell r="J20431">
            <v>0</v>
          </cell>
        </row>
        <row r="20432">
          <cell r="A20432" t="str">
            <v>SERSEÑAL</v>
          </cell>
          <cell r="J20432">
            <v>0</v>
          </cell>
        </row>
        <row r="20433">
          <cell r="A20433" t="str">
            <v>SERSEÑAL</v>
          </cell>
          <cell r="J20433">
            <v>0</v>
          </cell>
        </row>
        <row r="20434">
          <cell r="A20434" t="str">
            <v>SERSEÑAL</v>
          </cell>
          <cell r="J20434">
            <v>0</v>
          </cell>
        </row>
        <row r="20435">
          <cell r="A20435" t="str">
            <v>SERSEÑAL</v>
          </cell>
          <cell r="J20435">
            <v>0</v>
          </cell>
        </row>
        <row r="20436">
          <cell r="A20436" t="str">
            <v>SERSEÑAL</v>
          </cell>
          <cell r="J20436">
            <v>0</v>
          </cell>
        </row>
        <row r="20437">
          <cell r="A20437" t="str">
            <v>SERSEÑAL</v>
          </cell>
          <cell r="J20437">
            <v>0</v>
          </cell>
        </row>
        <row r="20438">
          <cell r="A20438" t="str">
            <v>SERSEÑAL</v>
          </cell>
          <cell r="J20438">
            <v>0</v>
          </cell>
        </row>
        <row r="20439">
          <cell r="A20439" t="str">
            <v>SERSEÑAL</v>
          </cell>
          <cell r="J20439">
            <v>0</v>
          </cell>
        </row>
        <row r="20440">
          <cell r="A20440" t="str">
            <v>SERSEÑAL</v>
          </cell>
          <cell r="J20440">
            <v>0</v>
          </cell>
        </row>
        <row r="20441">
          <cell r="A20441" t="str">
            <v>SERSEÑAL</v>
          </cell>
          <cell r="J20441">
            <v>0</v>
          </cell>
        </row>
        <row r="20442">
          <cell r="A20442" t="str">
            <v>SERSEÑAL</v>
          </cell>
          <cell r="J20442">
            <v>0</v>
          </cell>
        </row>
        <row r="20443">
          <cell r="A20443" t="str">
            <v>SERSEÑAL</v>
          </cell>
          <cell r="J20443">
            <v>0</v>
          </cell>
        </row>
        <row r="20444">
          <cell r="A20444" t="str">
            <v>SERSEÑAL</v>
          </cell>
          <cell r="J20444">
            <v>0</v>
          </cell>
        </row>
        <row r="20445">
          <cell r="A20445" t="str">
            <v>SERSEÑAL</v>
          </cell>
          <cell r="J20445">
            <v>0</v>
          </cell>
        </row>
        <row r="20446">
          <cell r="A20446" t="str">
            <v>SERSEÑAL</v>
          </cell>
          <cell r="J20446">
            <v>0</v>
          </cell>
        </row>
        <row r="20447">
          <cell r="A20447" t="str">
            <v>SERSEÑAL</v>
          </cell>
          <cell r="J20447">
            <v>0</v>
          </cell>
        </row>
        <row r="20448">
          <cell r="A20448" t="str">
            <v>SERSEÑAL</v>
          </cell>
          <cell r="J20448">
            <v>0</v>
          </cell>
        </row>
        <row r="20449">
          <cell r="A20449" t="str">
            <v>SERSEÑAL</v>
          </cell>
          <cell r="J20449">
            <v>0</v>
          </cell>
        </row>
        <row r="20450">
          <cell r="A20450" t="str">
            <v>SERSEÑAL</v>
          </cell>
          <cell r="J20450">
            <v>0</v>
          </cell>
        </row>
        <row r="20451">
          <cell r="A20451" t="str">
            <v>SERSEÑAL</v>
          </cell>
          <cell r="J20451">
            <v>0</v>
          </cell>
        </row>
        <row r="20452">
          <cell r="A20452" t="str">
            <v>SERSEÑAL</v>
          </cell>
          <cell r="J20452">
            <v>0</v>
          </cell>
        </row>
        <row r="20453">
          <cell r="A20453" t="str">
            <v>SERSEÑAL</v>
          </cell>
          <cell r="J20453">
            <v>0</v>
          </cell>
        </row>
        <row r="20454">
          <cell r="A20454" t="str">
            <v>SERSEÑAL</v>
          </cell>
          <cell r="J20454">
            <v>0</v>
          </cell>
        </row>
        <row r="20455">
          <cell r="A20455" t="str">
            <v>SERSEÑAL</v>
          </cell>
          <cell r="J20455">
            <v>0</v>
          </cell>
        </row>
        <row r="20456">
          <cell r="A20456" t="str">
            <v>SERSEÑAL</v>
          </cell>
          <cell r="J20456">
            <v>0</v>
          </cell>
        </row>
        <row r="20457">
          <cell r="A20457" t="str">
            <v>SERSEÑAL</v>
          </cell>
          <cell r="J20457">
            <v>0</v>
          </cell>
        </row>
        <row r="20458">
          <cell r="A20458" t="str">
            <v>SERSEÑAL</v>
          </cell>
          <cell r="J20458">
            <v>0</v>
          </cell>
        </row>
        <row r="20459">
          <cell r="A20459" t="str">
            <v>SERSEÑAL</v>
          </cell>
          <cell r="J20459">
            <v>0</v>
          </cell>
        </row>
        <row r="20460">
          <cell r="A20460" t="str">
            <v>SERSEÑAL</v>
          </cell>
          <cell r="J20460">
            <v>0</v>
          </cell>
        </row>
        <row r="20461">
          <cell r="A20461" t="str">
            <v>SERSEÑAL</v>
          </cell>
          <cell r="J20461">
            <v>0</v>
          </cell>
        </row>
        <row r="20462">
          <cell r="A20462" t="str">
            <v>SERSEÑAL</v>
          </cell>
          <cell r="J20462">
            <v>0</v>
          </cell>
        </row>
        <row r="20463">
          <cell r="A20463" t="str">
            <v>SERSEÑAL</v>
          </cell>
          <cell r="J20463">
            <v>0</v>
          </cell>
        </row>
        <row r="20464">
          <cell r="A20464" t="str">
            <v>SERSEÑAL</v>
          </cell>
          <cell r="J20464">
            <v>0</v>
          </cell>
        </row>
        <row r="20465">
          <cell r="A20465" t="str">
            <v>SERSEÑAL</v>
          </cell>
          <cell r="J20465">
            <v>0</v>
          </cell>
        </row>
        <row r="20466">
          <cell r="A20466" t="str">
            <v>SERSEÑAL</v>
          </cell>
          <cell r="J20466">
            <v>0</v>
          </cell>
        </row>
        <row r="20467">
          <cell r="A20467" t="str">
            <v>SERSEÑAL</v>
          </cell>
          <cell r="J20467">
            <v>0</v>
          </cell>
        </row>
        <row r="20468">
          <cell r="A20468" t="str">
            <v>SERSEÑAL</v>
          </cell>
          <cell r="J20468">
            <v>0</v>
          </cell>
        </row>
        <row r="20469">
          <cell r="A20469" t="str">
            <v>SERSEÑAL</v>
          </cell>
          <cell r="J20469">
            <v>0</v>
          </cell>
        </row>
        <row r="20470">
          <cell r="A20470" t="str">
            <v>SERSEÑAL</v>
          </cell>
          <cell r="J20470">
            <v>0</v>
          </cell>
        </row>
        <row r="20471">
          <cell r="A20471" t="str">
            <v>SERSEÑAL</v>
          </cell>
          <cell r="J20471">
            <v>0</v>
          </cell>
        </row>
        <row r="20472">
          <cell r="A20472" t="str">
            <v>SERSEÑAL</v>
          </cell>
          <cell r="J20472">
            <v>0</v>
          </cell>
        </row>
        <row r="20473">
          <cell r="A20473" t="str">
            <v>SERSEÑAL</v>
          </cell>
          <cell r="J20473">
            <v>0</v>
          </cell>
        </row>
        <row r="20474">
          <cell r="A20474" t="str">
            <v>SERSEÑAL</v>
          </cell>
          <cell r="J20474">
            <v>0</v>
          </cell>
        </row>
        <row r="20475">
          <cell r="A20475" t="str">
            <v>SERSEÑAL</v>
          </cell>
          <cell r="J20475">
            <v>0</v>
          </cell>
        </row>
        <row r="20476">
          <cell r="A20476" t="str">
            <v>SERSEÑAL</v>
          </cell>
          <cell r="J20476">
            <v>0</v>
          </cell>
        </row>
        <row r="20477">
          <cell r="A20477" t="str">
            <v>SERSEÑAL</v>
          </cell>
          <cell r="J20477">
            <v>0</v>
          </cell>
        </row>
        <row r="20478">
          <cell r="A20478" t="str">
            <v>SERSEÑAL</v>
          </cell>
          <cell r="J20478">
            <v>0</v>
          </cell>
        </row>
        <row r="20479">
          <cell r="A20479" t="str">
            <v>SERSEÑAL</v>
          </cell>
          <cell r="J20479">
            <v>0</v>
          </cell>
        </row>
        <row r="20480">
          <cell r="A20480" t="str">
            <v>SERSEÑAL</v>
          </cell>
          <cell r="J20480">
            <v>0</v>
          </cell>
        </row>
        <row r="20481">
          <cell r="A20481" t="str">
            <v>SERSEÑAL</v>
          </cell>
          <cell r="J20481">
            <v>0</v>
          </cell>
        </row>
        <row r="20482">
          <cell r="A20482" t="str">
            <v>SERSEÑAL</v>
          </cell>
          <cell r="J20482">
            <v>0</v>
          </cell>
        </row>
        <row r="20483">
          <cell r="A20483" t="str">
            <v>SERSEÑAL</v>
          </cell>
          <cell r="J20483">
            <v>0</v>
          </cell>
        </row>
        <row r="20484">
          <cell r="A20484" t="str">
            <v>SERSEÑAL</v>
          </cell>
          <cell r="J20484">
            <v>0</v>
          </cell>
        </row>
        <row r="20485">
          <cell r="A20485" t="str">
            <v>SERSEÑAL</v>
          </cell>
          <cell r="J20485">
            <v>0</v>
          </cell>
        </row>
        <row r="20486">
          <cell r="A20486" t="str">
            <v>SERSEÑAL</v>
          </cell>
          <cell r="J20486">
            <v>0</v>
          </cell>
        </row>
        <row r="20487">
          <cell r="A20487" t="str">
            <v>SERSEÑAL</v>
          </cell>
          <cell r="J20487">
            <v>0</v>
          </cell>
        </row>
        <row r="20488">
          <cell r="A20488" t="str">
            <v>SERSEÑAL</v>
          </cell>
          <cell r="J20488">
            <v>0</v>
          </cell>
        </row>
        <row r="20489">
          <cell r="A20489" t="str">
            <v>SERSEÑAL</v>
          </cell>
          <cell r="J20489">
            <v>0</v>
          </cell>
        </row>
        <row r="20490">
          <cell r="A20490" t="str">
            <v>SERSEÑAL</v>
          </cell>
          <cell r="J20490">
            <v>0</v>
          </cell>
        </row>
        <row r="20491">
          <cell r="A20491" t="str">
            <v>SERSEÑAL</v>
          </cell>
          <cell r="J20491">
            <v>0</v>
          </cell>
        </row>
        <row r="20492">
          <cell r="A20492" t="str">
            <v>SERSEÑAL</v>
          </cell>
          <cell r="J20492">
            <v>0</v>
          </cell>
        </row>
        <row r="20493">
          <cell r="A20493" t="str">
            <v>SERSEÑAL</v>
          </cell>
          <cell r="J20493">
            <v>0</v>
          </cell>
        </row>
        <row r="20494">
          <cell r="A20494" t="str">
            <v>SERSEÑAL</v>
          </cell>
          <cell r="J20494">
            <v>0</v>
          </cell>
        </row>
        <row r="20495">
          <cell r="A20495" t="str">
            <v>SERSEÑAL</v>
          </cell>
          <cell r="J20495">
            <v>0</v>
          </cell>
        </row>
        <row r="20496">
          <cell r="A20496" t="str">
            <v>SERSEÑAL</v>
          </cell>
          <cell r="J20496">
            <v>0</v>
          </cell>
        </row>
        <row r="20497">
          <cell r="A20497" t="str">
            <v>SERSEÑAL</v>
          </cell>
          <cell r="J20497">
            <v>0</v>
          </cell>
        </row>
        <row r="20498">
          <cell r="A20498" t="str">
            <v>SERSEÑAL</v>
          </cell>
          <cell r="J20498">
            <v>0</v>
          </cell>
        </row>
        <row r="20499">
          <cell r="A20499" t="str">
            <v>SERSEÑAL</v>
          </cell>
          <cell r="J20499">
            <v>0</v>
          </cell>
        </row>
        <row r="20500">
          <cell r="A20500" t="str">
            <v>SERSEÑAL</v>
          </cell>
          <cell r="J20500">
            <v>0</v>
          </cell>
        </row>
        <row r="20501">
          <cell r="A20501" t="str">
            <v>SERSEÑAL</v>
          </cell>
          <cell r="J20501">
            <v>0</v>
          </cell>
        </row>
        <row r="20502">
          <cell r="A20502" t="str">
            <v>SERSEÑAL</v>
          </cell>
          <cell r="J20502">
            <v>0</v>
          </cell>
        </row>
        <row r="20503">
          <cell r="A20503" t="str">
            <v>SERSEÑAL</v>
          </cell>
          <cell r="J20503">
            <v>0</v>
          </cell>
        </row>
        <row r="20504">
          <cell r="A20504" t="str">
            <v>SERSEÑAL</v>
          </cell>
          <cell r="J20504">
            <v>0</v>
          </cell>
        </row>
        <row r="20505">
          <cell r="A20505" t="str">
            <v>SERSEÑAL</v>
          </cell>
          <cell r="J20505">
            <v>0</v>
          </cell>
        </row>
        <row r="20506">
          <cell r="A20506" t="str">
            <v>SERSEÑAL</v>
          </cell>
          <cell r="J20506">
            <v>0</v>
          </cell>
        </row>
        <row r="20507">
          <cell r="A20507" t="str">
            <v>SERSEÑAL</v>
          </cell>
          <cell r="J20507">
            <v>0</v>
          </cell>
        </row>
        <row r="20508">
          <cell r="A20508" t="str">
            <v>SERSEÑAL</v>
          </cell>
          <cell r="J20508">
            <v>0</v>
          </cell>
        </row>
        <row r="20509">
          <cell r="A20509" t="str">
            <v>SERSEÑAL</v>
          </cell>
          <cell r="J20509">
            <v>0</v>
          </cell>
        </row>
        <row r="20510">
          <cell r="A20510" t="str">
            <v>SERSEÑAL</v>
          </cell>
          <cell r="J20510">
            <v>0</v>
          </cell>
        </row>
        <row r="20511">
          <cell r="A20511" t="str">
            <v>SERSEÑAL</v>
          </cell>
          <cell r="J20511">
            <v>0</v>
          </cell>
        </row>
        <row r="20512">
          <cell r="A20512" t="str">
            <v>SERSEÑAL</v>
          </cell>
          <cell r="J20512">
            <v>0</v>
          </cell>
        </row>
        <row r="20513">
          <cell r="A20513" t="str">
            <v>SERSEÑAL</v>
          </cell>
          <cell r="J20513">
            <v>0</v>
          </cell>
        </row>
        <row r="20514">
          <cell r="A20514" t="str">
            <v>SERSEÑAL</v>
          </cell>
          <cell r="J20514">
            <v>0</v>
          </cell>
        </row>
        <row r="20515">
          <cell r="A20515" t="str">
            <v>SERSEÑAL</v>
          </cell>
          <cell r="J20515">
            <v>0</v>
          </cell>
        </row>
        <row r="20516">
          <cell r="A20516" t="str">
            <v>SERSEÑAL</v>
          </cell>
          <cell r="J20516">
            <v>0</v>
          </cell>
        </row>
        <row r="20517">
          <cell r="A20517" t="str">
            <v>SERSEÑAL</v>
          </cell>
          <cell r="J20517">
            <v>0</v>
          </cell>
        </row>
        <row r="20518">
          <cell r="A20518" t="str">
            <v>SERSEÑAL</v>
          </cell>
          <cell r="J20518">
            <v>0</v>
          </cell>
        </row>
        <row r="20519">
          <cell r="A20519" t="str">
            <v>SERSEÑAL</v>
          </cell>
          <cell r="J20519">
            <v>0</v>
          </cell>
        </row>
        <row r="20520">
          <cell r="A20520" t="str">
            <v>SERSEÑAL</v>
          </cell>
          <cell r="J20520">
            <v>0</v>
          </cell>
        </row>
        <row r="20521">
          <cell r="A20521" t="str">
            <v>SERSEÑAL</v>
          </cell>
          <cell r="J20521">
            <v>0</v>
          </cell>
        </row>
        <row r="20522">
          <cell r="A20522" t="str">
            <v>SERSEÑAL</v>
          </cell>
          <cell r="J20522">
            <v>0</v>
          </cell>
        </row>
        <row r="20523">
          <cell r="A20523" t="str">
            <v>SERSEÑAL</v>
          </cell>
          <cell r="J20523">
            <v>0</v>
          </cell>
        </row>
        <row r="20524">
          <cell r="A20524" t="str">
            <v>SERSEÑAL</v>
          </cell>
          <cell r="J20524">
            <v>0</v>
          </cell>
        </row>
        <row r="20525">
          <cell r="A20525" t="str">
            <v>SERSEÑAL</v>
          </cell>
          <cell r="J20525">
            <v>0</v>
          </cell>
        </row>
        <row r="20526">
          <cell r="A20526" t="str">
            <v>SERSEÑAL</v>
          </cell>
          <cell r="J20526">
            <v>0</v>
          </cell>
        </row>
        <row r="20527">
          <cell r="A20527" t="str">
            <v>SERSEÑAL</v>
          </cell>
          <cell r="J20527">
            <v>0</v>
          </cell>
        </row>
        <row r="20528">
          <cell r="A20528" t="str">
            <v>SERSEÑAL</v>
          </cell>
          <cell r="J20528">
            <v>0</v>
          </cell>
        </row>
        <row r="20529">
          <cell r="A20529" t="str">
            <v>SERSEÑAL</v>
          </cell>
          <cell r="J20529">
            <v>0</v>
          </cell>
        </row>
        <row r="20530">
          <cell r="A20530" t="str">
            <v>SERSEÑAL</v>
          </cell>
          <cell r="J20530">
            <v>0</v>
          </cell>
        </row>
        <row r="20531">
          <cell r="A20531" t="str">
            <v>SERSEÑAL</v>
          </cell>
          <cell r="J20531">
            <v>0</v>
          </cell>
        </row>
        <row r="20532">
          <cell r="A20532" t="str">
            <v>SERSEÑAL</v>
          </cell>
          <cell r="J20532">
            <v>0</v>
          </cell>
        </row>
        <row r="20533">
          <cell r="A20533" t="str">
            <v>SERSEÑAL</v>
          </cell>
          <cell r="J20533">
            <v>0</v>
          </cell>
        </row>
        <row r="20534">
          <cell r="A20534" t="str">
            <v>SERSEÑAL</v>
          </cell>
          <cell r="J20534">
            <v>0</v>
          </cell>
        </row>
        <row r="20535">
          <cell r="A20535" t="str">
            <v>SERSEÑAL</v>
          </cell>
          <cell r="J20535">
            <v>0</v>
          </cell>
        </row>
        <row r="20536">
          <cell r="A20536" t="str">
            <v>SERSEÑAL</v>
          </cell>
          <cell r="J20536">
            <v>0</v>
          </cell>
        </row>
        <row r="20537">
          <cell r="A20537" t="str">
            <v>SERSEÑAL</v>
          </cell>
          <cell r="J20537">
            <v>0</v>
          </cell>
        </row>
        <row r="20538">
          <cell r="J20538">
            <v>0</v>
          </cell>
        </row>
        <row r="20539">
          <cell r="J20539">
            <v>0</v>
          </cell>
        </row>
        <row r="20540">
          <cell r="J20540">
            <v>0</v>
          </cell>
        </row>
        <row r="20541">
          <cell r="A20541" t="str">
            <v>INMOBILIARIA PSZ</v>
          </cell>
          <cell r="B20541" t="str">
            <v>101-00000-000-0000</v>
          </cell>
          <cell r="J20541">
            <v>7335371.8399999999</v>
          </cell>
        </row>
        <row r="20542">
          <cell r="A20542" t="str">
            <v>INMOBILIARIA PSZ</v>
          </cell>
          <cell r="B20542" t="str">
            <v>101-00001-000-0000</v>
          </cell>
          <cell r="J20542">
            <v>20000</v>
          </cell>
        </row>
        <row r="20543">
          <cell r="A20543" t="str">
            <v>INMOBILIARIA PSZ</v>
          </cell>
          <cell r="B20543" t="str">
            <v>101-00001-001-0000</v>
          </cell>
          <cell r="J20543">
            <v>20000</v>
          </cell>
        </row>
        <row r="20544">
          <cell r="A20544" t="str">
            <v>INMOBILIARIA PSZ</v>
          </cell>
          <cell r="B20544" t="str">
            <v>101-00001-001-1613</v>
          </cell>
          <cell r="J20544">
            <v>20000</v>
          </cell>
        </row>
        <row r="20545">
          <cell r="A20545" t="str">
            <v>INMOBILIARIA PSZ</v>
          </cell>
          <cell r="B20545" t="str">
            <v>101-00002-000-0000</v>
          </cell>
          <cell r="J20545">
            <v>116661.95</v>
          </cell>
        </row>
        <row r="20546">
          <cell r="A20546" t="str">
            <v>INMOBILIARIA PSZ</v>
          </cell>
          <cell r="B20546" t="str">
            <v>101-00002-003-0000</v>
          </cell>
          <cell r="J20546">
            <v>103763.95</v>
          </cell>
        </row>
        <row r="20547">
          <cell r="A20547" t="str">
            <v>INMOBILIARIA PSZ</v>
          </cell>
          <cell r="B20547" t="str">
            <v>101-00002-003-0010</v>
          </cell>
          <cell r="J20547">
            <v>69158.789999999994</v>
          </cell>
        </row>
        <row r="20548">
          <cell r="A20548" t="str">
            <v>INMOBILIARIA PSZ</v>
          </cell>
          <cell r="B20548" t="str">
            <v>101-00002-003-0056</v>
          </cell>
          <cell r="J20548">
            <v>7707.56</v>
          </cell>
        </row>
        <row r="20549">
          <cell r="A20549" t="str">
            <v>INMOBILIARIA PSZ</v>
          </cell>
          <cell r="B20549" t="str">
            <v>101-00002-003-1550</v>
          </cell>
          <cell r="J20549">
            <v>26897.599999999999</v>
          </cell>
        </row>
        <row r="20550">
          <cell r="A20550" t="str">
            <v>INMOBILIARIA PSZ</v>
          </cell>
          <cell r="B20550" t="str">
            <v>101-00002-009-0000</v>
          </cell>
          <cell r="J20550">
            <v>12898</v>
          </cell>
        </row>
        <row r="20551">
          <cell r="A20551" t="str">
            <v>INMOBILIARIA PSZ</v>
          </cell>
          <cell r="B20551" t="str">
            <v>101-00002-009-0006</v>
          </cell>
          <cell r="J20551">
            <v>12898</v>
          </cell>
        </row>
        <row r="20552">
          <cell r="A20552" t="str">
            <v>INMOBILIARIA PSZ</v>
          </cell>
          <cell r="B20552" t="str">
            <v>101-00004-000-0000</v>
          </cell>
          <cell r="J20552">
            <v>6723640.9000000004</v>
          </cell>
        </row>
        <row r="20553">
          <cell r="A20553" t="str">
            <v>INMOBILIARIA PSZ</v>
          </cell>
          <cell r="B20553" t="str">
            <v>101-00004-002-0000</v>
          </cell>
          <cell r="J20553">
            <v>162399.9</v>
          </cell>
        </row>
        <row r="20554">
          <cell r="A20554" t="str">
            <v>INMOBILIARIA PSZ</v>
          </cell>
          <cell r="B20554" t="str">
            <v>101-00004-002-0066</v>
          </cell>
          <cell r="J20554">
            <v>-0.1</v>
          </cell>
        </row>
        <row r="20555">
          <cell r="A20555" t="str">
            <v>INMOBILIARIA PSZ</v>
          </cell>
          <cell r="B20555" t="str">
            <v>101-00004-002-2982</v>
          </cell>
          <cell r="J20555">
            <v>162400</v>
          </cell>
        </row>
        <row r="20556">
          <cell r="A20556" t="str">
            <v>INMOBILIARIA PSZ</v>
          </cell>
          <cell r="B20556" t="str">
            <v>101-00004-004-0000</v>
          </cell>
          <cell r="J20556">
            <v>6561241</v>
          </cell>
        </row>
        <row r="20557">
          <cell r="A20557" t="str">
            <v>INMOBILIARIA PSZ</v>
          </cell>
          <cell r="B20557" t="str">
            <v>101-00004-004-0468</v>
          </cell>
          <cell r="J20557">
            <v>6561241</v>
          </cell>
        </row>
        <row r="20558">
          <cell r="A20558" t="str">
            <v>INMOBILIARIA PSZ</v>
          </cell>
          <cell r="B20558" t="str">
            <v>101-00006-000-0000</v>
          </cell>
          <cell r="J20558">
            <v>24775.85</v>
          </cell>
        </row>
        <row r="20559">
          <cell r="A20559" t="str">
            <v>INMOBILIARIA PSZ</v>
          </cell>
          <cell r="B20559" t="str">
            <v>101-00006-001-0000</v>
          </cell>
          <cell r="J20559">
            <v>24775.85</v>
          </cell>
        </row>
        <row r="20560">
          <cell r="A20560" t="str">
            <v>INMOBILIARIA PSZ</v>
          </cell>
          <cell r="B20560" t="str">
            <v>101-00006-001-0557</v>
          </cell>
          <cell r="J20560">
            <v>20000</v>
          </cell>
        </row>
        <row r="20561">
          <cell r="A20561" t="str">
            <v>INMOBILIARIA PSZ</v>
          </cell>
          <cell r="B20561" t="str">
            <v>101-00006-001-0711</v>
          </cell>
          <cell r="J20561">
            <v>525.85</v>
          </cell>
        </row>
        <row r="20562">
          <cell r="A20562" t="str">
            <v>INMOBILIARIA PSZ</v>
          </cell>
          <cell r="B20562" t="str">
            <v>101-00006-001-1136</v>
          </cell>
          <cell r="J20562">
            <v>4250</v>
          </cell>
        </row>
        <row r="20563">
          <cell r="A20563" t="str">
            <v>INMOBILIARIA PSZ</v>
          </cell>
          <cell r="B20563" t="str">
            <v>101-00008-000-0000</v>
          </cell>
          <cell r="J20563">
            <v>70297.5</v>
          </cell>
        </row>
        <row r="20564">
          <cell r="A20564" t="str">
            <v>INMOBILIARIA PSZ</v>
          </cell>
          <cell r="B20564" t="str">
            <v>101-00008-001-0000</v>
          </cell>
          <cell r="J20564">
            <v>4168.5</v>
          </cell>
        </row>
        <row r="20565">
          <cell r="A20565" t="str">
            <v>INMOBILIARIA PSZ</v>
          </cell>
          <cell r="B20565" t="str">
            <v>101-00008-002-0000</v>
          </cell>
          <cell r="J20565">
            <v>30475</v>
          </cell>
        </row>
        <row r="20566">
          <cell r="A20566" t="str">
            <v>INMOBILIARIA PSZ</v>
          </cell>
          <cell r="B20566" t="str">
            <v>101-00008-012-0000</v>
          </cell>
          <cell r="J20566">
            <v>35654</v>
          </cell>
        </row>
        <row r="20567">
          <cell r="A20567" t="str">
            <v>INMOBILIARIA PSZ</v>
          </cell>
          <cell r="B20567" t="str">
            <v>101-00008-012-0004</v>
          </cell>
          <cell r="J20567">
            <v>34305</v>
          </cell>
        </row>
        <row r="20568">
          <cell r="A20568" t="str">
            <v>INMOBILIARIA PSZ</v>
          </cell>
          <cell r="B20568" t="str">
            <v>101-00008-012-0005</v>
          </cell>
          <cell r="J20568">
            <v>712</v>
          </cell>
        </row>
        <row r="20569">
          <cell r="A20569" t="str">
            <v>INMOBILIARIA PSZ</v>
          </cell>
          <cell r="B20569" t="str">
            <v>101-00008-012-0006</v>
          </cell>
          <cell r="J20569">
            <v>637</v>
          </cell>
        </row>
        <row r="20570">
          <cell r="A20570" t="str">
            <v>INMOBILIARIA PSZ</v>
          </cell>
          <cell r="B20570" t="str">
            <v>101-00010-000-0000</v>
          </cell>
          <cell r="J20570">
            <v>9956.7800000000007</v>
          </cell>
        </row>
        <row r="20571">
          <cell r="A20571" t="str">
            <v>INMOBILIARIA PSZ</v>
          </cell>
          <cell r="B20571" t="str">
            <v>101-00010-001-0000</v>
          </cell>
          <cell r="J20571">
            <v>9956.7800000000007</v>
          </cell>
        </row>
        <row r="20572">
          <cell r="A20572" t="str">
            <v>INMOBILIARIA PSZ</v>
          </cell>
          <cell r="B20572" t="str">
            <v>101-00011-000-0000</v>
          </cell>
          <cell r="J20572">
            <v>20038.86</v>
          </cell>
        </row>
        <row r="20573">
          <cell r="A20573" t="str">
            <v>INMOBILIARIA PSZ</v>
          </cell>
          <cell r="B20573" t="str">
            <v>101-00011-001-0000</v>
          </cell>
          <cell r="J20573">
            <v>20038.86</v>
          </cell>
        </row>
        <row r="20574">
          <cell r="A20574" t="str">
            <v>INMOBILIARIA PSZ</v>
          </cell>
          <cell r="B20574" t="str">
            <v>101-00015-000-0000</v>
          </cell>
          <cell r="J20574">
            <v>350000</v>
          </cell>
        </row>
        <row r="20575">
          <cell r="A20575" t="str">
            <v>INMOBILIARIA PSZ</v>
          </cell>
          <cell r="B20575" t="str">
            <v>101-00015-001-0000</v>
          </cell>
          <cell r="J20575">
            <v>350000</v>
          </cell>
        </row>
        <row r="20576">
          <cell r="A20576" t="str">
            <v>INMOBILIARIA PSZ</v>
          </cell>
          <cell r="B20576" t="str">
            <v>101-00015-001-0468</v>
          </cell>
          <cell r="J20576">
            <v>0</v>
          </cell>
        </row>
        <row r="20577">
          <cell r="A20577" t="str">
            <v>INMOBILIARIA PSZ</v>
          </cell>
          <cell r="B20577" t="str">
            <v>101-00015-001-2300</v>
          </cell>
          <cell r="J20577">
            <v>200000</v>
          </cell>
        </row>
        <row r="20578">
          <cell r="A20578" t="str">
            <v>INMOBILIARIA PSZ</v>
          </cell>
          <cell r="B20578" t="str">
            <v>101-00015-001-3330</v>
          </cell>
          <cell r="J20578">
            <v>150000</v>
          </cell>
        </row>
        <row r="20579">
          <cell r="A20579" t="str">
            <v>INMOBILIARIA PSZ</v>
          </cell>
          <cell r="B20579" t="str">
            <v>102-00000-000-0000</v>
          </cell>
          <cell r="J20579">
            <v>51342223.420000002</v>
          </cell>
        </row>
        <row r="20580">
          <cell r="A20580" t="str">
            <v>INMOBILIARIA PSZ</v>
          </cell>
          <cell r="B20580" t="str">
            <v>102-00008-000-0000</v>
          </cell>
          <cell r="J20580">
            <v>51342223.420000002</v>
          </cell>
        </row>
        <row r="20581">
          <cell r="A20581" t="str">
            <v>INMOBILIARIA PSZ</v>
          </cell>
          <cell r="B20581" t="str">
            <v>102-00008-001-0000</v>
          </cell>
          <cell r="J20581">
            <v>85570372.469999999</v>
          </cell>
        </row>
        <row r="20582">
          <cell r="A20582" t="str">
            <v>INMOBILIARIA PSZ</v>
          </cell>
          <cell r="B20582" t="str">
            <v>102-00008-001-0001</v>
          </cell>
          <cell r="J20582">
            <v>8999371.6099999994</v>
          </cell>
        </row>
        <row r="20583">
          <cell r="A20583" t="str">
            <v>INMOBILIARIA PSZ</v>
          </cell>
          <cell r="B20583" t="str">
            <v>102-00008-001-0002</v>
          </cell>
          <cell r="J20583">
            <v>76571000.859999999</v>
          </cell>
        </row>
        <row r="20584">
          <cell r="A20584" t="str">
            <v>INMOBILIARIA PSZ</v>
          </cell>
          <cell r="B20584" t="str">
            <v>102-00008-002-0000</v>
          </cell>
          <cell r="J20584">
            <v>-34228149.049999997</v>
          </cell>
        </row>
        <row r="20585">
          <cell r="A20585" t="str">
            <v>INMOBILIARIA PSZ</v>
          </cell>
          <cell r="B20585" t="str">
            <v>102-00008-002-0001</v>
          </cell>
          <cell r="J20585">
            <v>-3599748.24</v>
          </cell>
        </row>
        <row r="20586">
          <cell r="A20586" t="str">
            <v>INMOBILIARIA PSZ</v>
          </cell>
          <cell r="B20586" t="str">
            <v>102-00008-002-0002</v>
          </cell>
          <cell r="J20586">
            <v>-30628400.809999999</v>
          </cell>
        </row>
        <row r="20587">
          <cell r="A20587" t="str">
            <v>INMOBILIARIA PSZ</v>
          </cell>
          <cell r="B20587" t="str">
            <v>103-00000-000-0000</v>
          </cell>
          <cell r="J20587">
            <v>3234173.64</v>
          </cell>
        </row>
        <row r="20588">
          <cell r="A20588" t="str">
            <v>INMOBILIARIA PSZ</v>
          </cell>
          <cell r="B20588" t="str">
            <v>103-00001-000-0000</v>
          </cell>
          <cell r="J20588">
            <v>2721547.64</v>
          </cell>
        </row>
        <row r="20589">
          <cell r="A20589" t="str">
            <v>INMOBILIARIA PSZ</v>
          </cell>
          <cell r="B20589" t="str">
            <v>103-00001-001-0000</v>
          </cell>
          <cell r="J20589">
            <v>4158272.93</v>
          </cell>
        </row>
        <row r="20590">
          <cell r="A20590" t="str">
            <v>INMOBILIARIA PSZ</v>
          </cell>
          <cell r="B20590" t="str">
            <v>103-00001-002-0000</v>
          </cell>
          <cell r="J20590">
            <v>-1436725.29</v>
          </cell>
        </row>
        <row r="20591">
          <cell r="A20591" t="str">
            <v>INMOBILIARIA PSZ</v>
          </cell>
          <cell r="B20591" t="str">
            <v>103-00002-000-0000</v>
          </cell>
          <cell r="J20591">
            <v>512626</v>
          </cell>
        </row>
        <row r="20592">
          <cell r="A20592" t="str">
            <v>INMOBILIARIA PSZ</v>
          </cell>
          <cell r="B20592" t="str">
            <v>103-00002-001-0000</v>
          </cell>
          <cell r="J20592">
            <v>512626</v>
          </cell>
        </row>
        <row r="20593">
          <cell r="A20593" t="str">
            <v>INMOBILIARIA PSZ</v>
          </cell>
          <cell r="B20593" t="str">
            <v>201-00000-000-0000</v>
          </cell>
          <cell r="J20593">
            <v>-1051205.8600000001</v>
          </cell>
        </row>
        <row r="20594">
          <cell r="A20594" t="str">
            <v>INMOBILIARIA PSZ</v>
          </cell>
          <cell r="B20594" t="str">
            <v>201-00002-000-0000</v>
          </cell>
          <cell r="J20594">
            <v>-99082.79</v>
          </cell>
        </row>
        <row r="20595">
          <cell r="A20595" t="str">
            <v>INMOBILIARIA PSZ</v>
          </cell>
          <cell r="B20595" t="str">
            <v>201-00002-002-0000</v>
          </cell>
          <cell r="J20595">
            <v>-99082.79</v>
          </cell>
        </row>
        <row r="20596">
          <cell r="A20596" t="str">
            <v>INMOBILIARIA PSZ</v>
          </cell>
          <cell r="B20596" t="str">
            <v>201-00002-002-0009</v>
          </cell>
          <cell r="J20596">
            <v>0</v>
          </cell>
        </row>
        <row r="20597">
          <cell r="A20597" t="str">
            <v>INMOBILIARIA PSZ</v>
          </cell>
          <cell r="B20597" t="str">
            <v>201-00002-002-0066</v>
          </cell>
          <cell r="J20597">
            <v>-63154.18</v>
          </cell>
        </row>
        <row r="20598">
          <cell r="A20598" t="str">
            <v>INMOBILIARIA PSZ</v>
          </cell>
          <cell r="B20598" t="str">
            <v>201-00002-002-0144</v>
          </cell>
          <cell r="J20598">
            <v>-7136</v>
          </cell>
        </row>
        <row r="20599">
          <cell r="A20599" t="str">
            <v>INMOBILIARIA PSZ</v>
          </cell>
          <cell r="B20599" t="str">
            <v>201-00002-002-0306</v>
          </cell>
          <cell r="J20599">
            <v>0</v>
          </cell>
        </row>
        <row r="20600">
          <cell r="A20600" t="str">
            <v>INMOBILIARIA PSZ</v>
          </cell>
          <cell r="B20600" t="str">
            <v>201-00002-002-1025</v>
          </cell>
          <cell r="J20600">
            <v>0</v>
          </cell>
        </row>
        <row r="20601">
          <cell r="A20601" t="str">
            <v>INMOBILIARIA PSZ</v>
          </cell>
          <cell r="B20601" t="str">
            <v>201-00002-002-1026</v>
          </cell>
          <cell r="J20601">
            <v>0</v>
          </cell>
        </row>
        <row r="20602">
          <cell r="A20602" t="str">
            <v>INMOBILIARIA PSZ</v>
          </cell>
          <cell r="B20602" t="str">
            <v>201-00002-002-1340</v>
          </cell>
          <cell r="J20602">
            <v>-232.84</v>
          </cell>
        </row>
        <row r="20603">
          <cell r="A20603" t="str">
            <v>INMOBILIARIA PSZ</v>
          </cell>
          <cell r="B20603" t="str">
            <v>201-00002-002-2261</v>
          </cell>
          <cell r="J20603">
            <v>-10000</v>
          </cell>
        </row>
        <row r="20604">
          <cell r="A20604" t="str">
            <v>INMOBILIARIA PSZ</v>
          </cell>
          <cell r="B20604" t="str">
            <v>201-00002-002-2579</v>
          </cell>
          <cell r="J20604">
            <v>-9279.77</v>
          </cell>
        </row>
        <row r="20605">
          <cell r="A20605" t="str">
            <v>INMOBILIARIA PSZ</v>
          </cell>
          <cell r="B20605" t="str">
            <v>201-00002-002-3308</v>
          </cell>
          <cell r="J20605">
            <v>-9280</v>
          </cell>
        </row>
        <row r="20606">
          <cell r="A20606" t="str">
            <v>INMOBILIARIA PSZ</v>
          </cell>
          <cell r="B20606" t="str">
            <v>201-00005-000-0000</v>
          </cell>
          <cell r="J20606">
            <v>163</v>
          </cell>
        </row>
        <row r="20607">
          <cell r="A20607" t="str">
            <v>INMOBILIARIA PSZ</v>
          </cell>
          <cell r="B20607" t="str">
            <v>201-00005-001-0000</v>
          </cell>
          <cell r="J20607">
            <v>163</v>
          </cell>
        </row>
        <row r="20608">
          <cell r="A20608" t="str">
            <v>INMOBILIARIA PSZ</v>
          </cell>
          <cell r="B20608" t="str">
            <v>201-00006-000-0000</v>
          </cell>
          <cell r="J20608">
            <v>-345.32</v>
          </cell>
        </row>
        <row r="20609">
          <cell r="A20609" t="str">
            <v>INMOBILIARIA PSZ</v>
          </cell>
          <cell r="B20609" t="str">
            <v>201-00006-005-0000</v>
          </cell>
          <cell r="J20609">
            <v>1316</v>
          </cell>
        </row>
        <row r="20610">
          <cell r="A20610" t="str">
            <v>INMOBILIARIA PSZ</v>
          </cell>
          <cell r="B20610" t="str">
            <v>201-00006-008-0000</v>
          </cell>
          <cell r="J20610">
            <v>155.31</v>
          </cell>
        </row>
        <row r="20611">
          <cell r="A20611" t="str">
            <v>INMOBILIARIA PSZ</v>
          </cell>
          <cell r="B20611" t="str">
            <v>201-00006-011-0000</v>
          </cell>
          <cell r="J20611">
            <v>-1816.63</v>
          </cell>
        </row>
        <row r="20612">
          <cell r="A20612" t="str">
            <v>INMOBILIARIA PSZ</v>
          </cell>
          <cell r="B20612" t="str">
            <v>201-00009-000-0000</v>
          </cell>
          <cell r="J20612">
            <v>-927105.06</v>
          </cell>
        </row>
        <row r="20613">
          <cell r="A20613" t="str">
            <v>INMOBILIARIA PSZ</v>
          </cell>
          <cell r="B20613" t="str">
            <v>201-00009-001-0000</v>
          </cell>
          <cell r="J20613">
            <v>-927105.06</v>
          </cell>
        </row>
        <row r="20614">
          <cell r="A20614" t="str">
            <v>INMOBILIARIA PSZ</v>
          </cell>
          <cell r="B20614" t="str">
            <v>201-00010-000-0000</v>
          </cell>
          <cell r="J20614">
            <v>-24835.69</v>
          </cell>
        </row>
        <row r="20615">
          <cell r="A20615" t="str">
            <v>INMOBILIARIA PSZ</v>
          </cell>
          <cell r="B20615" t="str">
            <v>201-00010-001-0000</v>
          </cell>
          <cell r="J20615">
            <v>-24835.69</v>
          </cell>
        </row>
        <row r="20616">
          <cell r="A20616" t="str">
            <v>INMOBILIARIA PSZ</v>
          </cell>
          <cell r="B20616" t="str">
            <v>202-00000-000-0000</v>
          </cell>
          <cell r="J20616">
            <v>-6485.85</v>
          </cell>
        </row>
        <row r="20617">
          <cell r="A20617" t="str">
            <v>INMOBILIARIA PSZ</v>
          </cell>
          <cell r="B20617" t="str">
            <v>202-00001-000-0000</v>
          </cell>
          <cell r="J20617">
            <v>-6485.85</v>
          </cell>
        </row>
        <row r="20618">
          <cell r="A20618" t="str">
            <v>INMOBILIARIA PSZ</v>
          </cell>
          <cell r="B20618" t="str">
            <v>202-00001-009-0000</v>
          </cell>
          <cell r="J20618">
            <v>-6485.85</v>
          </cell>
        </row>
        <row r="20619">
          <cell r="A20619" t="str">
            <v>INMOBILIARIA PSZ</v>
          </cell>
          <cell r="B20619" t="str">
            <v>202-00001-009-2300</v>
          </cell>
          <cell r="J20619">
            <v>-6485.85</v>
          </cell>
        </row>
        <row r="20620">
          <cell r="A20620" t="str">
            <v>INMOBILIARIA PSZ</v>
          </cell>
          <cell r="B20620" t="str">
            <v>301-00000-000-0000</v>
          </cell>
          <cell r="J20620">
            <v>-64517764.369999997</v>
          </cell>
        </row>
        <row r="20621">
          <cell r="A20621" t="str">
            <v>INMOBILIARIA PSZ</v>
          </cell>
          <cell r="B20621" t="str">
            <v>301-00001-000-0000</v>
          </cell>
          <cell r="J20621">
            <v>-39510000</v>
          </cell>
        </row>
        <row r="20622">
          <cell r="A20622" t="str">
            <v>INMOBILIARIA PSZ</v>
          </cell>
          <cell r="B20622" t="str">
            <v>301-00001-001-0000</v>
          </cell>
          <cell r="J20622">
            <v>-50000</v>
          </cell>
        </row>
        <row r="20623">
          <cell r="A20623" t="str">
            <v>INMOBILIARIA PSZ</v>
          </cell>
          <cell r="B20623" t="str">
            <v>301-00001-002-0000</v>
          </cell>
          <cell r="J20623">
            <v>-39460000</v>
          </cell>
        </row>
        <row r="20624">
          <cell r="A20624" t="str">
            <v>INMOBILIARIA PSZ</v>
          </cell>
          <cell r="B20624" t="str">
            <v>301-00004-000-0000</v>
          </cell>
          <cell r="J20624">
            <v>-25007764.370000001</v>
          </cell>
        </row>
        <row r="20625">
          <cell r="A20625" t="str">
            <v>INMOBILIARIA PSZ</v>
          </cell>
          <cell r="B20625" t="str">
            <v>301-00004-010-0000</v>
          </cell>
          <cell r="J20625">
            <v>-56095659.579999998</v>
          </cell>
        </row>
        <row r="20626">
          <cell r="A20626" t="str">
            <v>INMOBILIARIA PSZ</v>
          </cell>
          <cell r="B20626" t="str">
            <v>301-00004-011-0000</v>
          </cell>
          <cell r="J20626">
            <v>-1114034.5</v>
          </cell>
        </row>
        <row r="20627">
          <cell r="A20627" t="str">
            <v>INMOBILIARIA PSZ</v>
          </cell>
          <cell r="B20627" t="str">
            <v>301-00004-012-0000</v>
          </cell>
          <cell r="J20627">
            <v>6791770.5300000003</v>
          </cell>
        </row>
        <row r="20628">
          <cell r="A20628" t="str">
            <v>INMOBILIARIA PSZ</v>
          </cell>
          <cell r="B20628" t="str">
            <v>301-00004-013-0000</v>
          </cell>
          <cell r="J20628">
            <v>3244610.92</v>
          </cell>
        </row>
        <row r="20629">
          <cell r="A20629" t="str">
            <v>INMOBILIARIA PSZ</v>
          </cell>
          <cell r="B20629" t="str">
            <v>301-00004-014-0000</v>
          </cell>
          <cell r="J20629">
            <v>5122603.8600000003</v>
          </cell>
        </row>
        <row r="20630">
          <cell r="A20630" t="str">
            <v>INMOBILIARIA PSZ</v>
          </cell>
          <cell r="B20630" t="str">
            <v>301-00004-015-0000</v>
          </cell>
          <cell r="J20630">
            <v>6740160.9800000004</v>
          </cell>
        </row>
        <row r="20631">
          <cell r="A20631" t="str">
            <v>INMOBILIARIA PSZ</v>
          </cell>
          <cell r="B20631" t="str">
            <v>301-00004-016-0000</v>
          </cell>
          <cell r="J20631">
            <v>5072336.3499999996</v>
          </cell>
        </row>
        <row r="20632">
          <cell r="A20632" t="str">
            <v>INMOBILIARIA PSZ</v>
          </cell>
          <cell r="B20632" t="str">
            <v>301-00004-017-0000</v>
          </cell>
          <cell r="J20632">
            <v>5230447.07</v>
          </cell>
        </row>
        <row r="20633">
          <cell r="A20633" t="str">
            <v>INMOBILIARIA PSZ</v>
          </cell>
          <cell r="B20633" t="str">
            <v>410-00000-000-0000</v>
          </cell>
          <cell r="J20633">
            <v>-706913</v>
          </cell>
        </row>
        <row r="20634">
          <cell r="A20634" t="str">
            <v>INMOBILIARIA PSZ</v>
          </cell>
          <cell r="B20634" t="str">
            <v>410-26798-000-0000</v>
          </cell>
          <cell r="J20634">
            <v>-566913</v>
          </cell>
        </row>
        <row r="20635">
          <cell r="A20635" t="str">
            <v>INMOBILIARIA PSZ</v>
          </cell>
          <cell r="B20635" t="str">
            <v>410-26798-004-0000</v>
          </cell>
          <cell r="J20635">
            <v>-566913</v>
          </cell>
        </row>
        <row r="20636">
          <cell r="A20636" t="str">
            <v>INMOBILIARIA PSZ</v>
          </cell>
          <cell r="B20636" t="str">
            <v>410-26798-004-0066</v>
          </cell>
          <cell r="J20636">
            <v>-566913</v>
          </cell>
        </row>
        <row r="20637">
          <cell r="A20637" t="str">
            <v>INMOBILIARIA PSZ</v>
          </cell>
          <cell r="B20637" t="str">
            <v>410-99999-000-0000</v>
          </cell>
          <cell r="J20637">
            <v>-140000</v>
          </cell>
        </row>
        <row r="20638">
          <cell r="A20638" t="str">
            <v>INMOBILIARIA PSZ</v>
          </cell>
          <cell r="B20638" t="str">
            <v>410-99999-004-0000</v>
          </cell>
          <cell r="J20638">
            <v>-140000</v>
          </cell>
        </row>
        <row r="20639">
          <cell r="A20639" t="str">
            <v>INMOBILIARIA PSZ</v>
          </cell>
          <cell r="B20639" t="str">
            <v>410-99999-004-2982</v>
          </cell>
          <cell r="J20639">
            <v>-140000</v>
          </cell>
        </row>
        <row r="20640">
          <cell r="A20640" t="str">
            <v>INMOBILIARIA PSZ</v>
          </cell>
          <cell r="B20640" t="str">
            <v>720-00000-000-0000</v>
          </cell>
          <cell r="J20640">
            <v>-5451</v>
          </cell>
        </row>
        <row r="20641">
          <cell r="A20641" t="str">
            <v>INMOBILIARIA PSZ</v>
          </cell>
          <cell r="B20641" t="str">
            <v>720-99999-000-0000</v>
          </cell>
          <cell r="J20641">
            <v>-5451</v>
          </cell>
        </row>
        <row r="20642">
          <cell r="A20642" t="str">
            <v>INMOBILIARIA PSZ</v>
          </cell>
          <cell r="B20642" t="str">
            <v>720-99999-001-0000</v>
          </cell>
          <cell r="J20642">
            <v>-5451</v>
          </cell>
        </row>
        <row r="20643">
          <cell r="A20643" t="str">
            <v>INMOBILIARIA PSZ</v>
          </cell>
          <cell r="B20643" t="str">
            <v>720-99999-001-0001</v>
          </cell>
          <cell r="J20643">
            <v>-5451</v>
          </cell>
        </row>
        <row r="20644">
          <cell r="A20644" t="str">
            <v>INMOBILIARIA PSZ</v>
          </cell>
          <cell r="B20644" t="str">
            <v>730-00000-000-0000</v>
          </cell>
          <cell r="J20644">
            <v>-7641.37</v>
          </cell>
        </row>
        <row r="20645">
          <cell r="A20645" t="str">
            <v>INMOBILIARIA PSZ</v>
          </cell>
          <cell r="B20645" t="str">
            <v>730-99999-000-0000</v>
          </cell>
          <cell r="J20645">
            <v>-7641.37</v>
          </cell>
        </row>
        <row r="20646">
          <cell r="A20646" t="str">
            <v>INMOBILIARIA PSZ</v>
          </cell>
          <cell r="B20646" t="str">
            <v>730-99999-002-0000</v>
          </cell>
          <cell r="J20646">
            <v>-7641.37</v>
          </cell>
        </row>
        <row r="20647">
          <cell r="A20647" t="str">
            <v>INMOBILIARIA PSZ</v>
          </cell>
          <cell r="B20647" t="str">
            <v>650-00000-000-0000</v>
          </cell>
          <cell r="J20647">
            <v>1230742.2</v>
          </cell>
        </row>
        <row r="20648">
          <cell r="A20648" t="str">
            <v>INMOBILIARIA PSZ</v>
          </cell>
          <cell r="B20648" t="str">
            <v>650-99999-000-0000</v>
          </cell>
          <cell r="J20648">
            <v>1230742.2</v>
          </cell>
        </row>
        <row r="20649">
          <cell r="A20649" t="str">
            <v>INMOBILIARIA PSZ</v>
          </cell>
          <cell r="B20649" t="str">
            <v>650-99999-008-0000</v>
          </cell>
          <cell r="J20649">
            <v>195698.33</v>
          </cell>
        </row>
        <row r="20650">
          <cell r="A20650" t="str">
            <v>INMOBILIARIA PSZ</v>
          </cell>
          <cell r="B20650" t="str">
            <v>650-99999-008-0001</v>
          </cell>
          <cell r="J20650">
            <v>195698.33</v>
          </cell>
        </row>
        <row r="20651">
          <cell r="A20651" t="str">
            <v>INMOBILIARIA PSZ</v>
          </cell>
          <cell r="B20651" t="str">
            <v>650-99999-013-0000</v>
          </cell>
          <cell r="J20651">
            <v>138330</v>
          </cell>
        </row>
        <row r="20652">
          <cell r="A20652" t="str">
            <v>INMOBILIARIA PSZ</v>
          </cell>
          <cell r="B20652" t="str">
            <v>650-99999-013-0001</v>
          </cell>
          <cell r="J20652">
            <v>75330</v>
          </cell>
        </row>
        <row r="20653">
          <cell r="A20653" t="str">
            <v>INMOBILIARIA PSZ</v>
          </cell>
          <cell r="B20653" t="str">
            <v>650-99999-013-0002</v>
          </cell>
          <cell r="J20653">
            <v>63000</v>
          </cell>
        </row>
        <row r="20654">
          <cell r="A20654" t="str">
            <v>INMOBILIARIA PSZ</v>
          </cell>
          <cell r="B20654" t="str">
            <v>650-99999-023-0000</v>
          </cell>
          <cell r="J20654">
            <v>831445.63</v>
          </cell>
        </row>
        <row r="20655">
          <cell r="A20655" t="str">
            <v>INMOBILIARIA PSZ</v>
          </cell>
          <cell r="B20655" t="str">
            <v>650-99999-025-0000</v>
          </cell>
          <cell r="J20655">
            <v>9.98</v>
          </cell>
        </row>
        <row r="20656">
          <cell r="A20656" t="str">
            <v>INMOBILIARIA PSZ</v>
          </cell>
          <cell r="B20656" t="str">
            <v>650-99999-025-0001</v>
          </cell>
          <cell r="J20656">
            <v>9.98</v>
          </cell>
        </row>
        <row r="20657">
          <cell r="A20657" t="str">
            <v>INMOBILIARIA PSZ</v>
          </cell>
          <cell r="B20657" t="str">
            <v>650-99999-060-0000</v>
          </cell>
          <cell r="J20657">
            <v>65258.26</v>
          </cell>
        </row>
        <row r="20658">
          <cell r="A20658" t="str">
            <v>INMOBILIARIA PSZ</v>
          </cell>
          <cell r="B20658" t="str">
            <v>660-00000-000-0000</v>
          </cell>
          <cell r="J20658">
            <v>2990954.88</v>
          </cell>
        </row>
        <row r="20659">
          <cell r="A20659" t="str">
            <v>INMOBILIARIA PSZ</v>
          </cell>
          <cell r="B20659" t="str">
            <v>660-99999-000-0000</v>
          </cell>
          <cell r="J20659">
            <v>2990954.88</v>
          </cell>
        </row>
        <row r="20660">
          <cell r="A20660" t="str">
            <v>INMOBILIARIA PSZ</v>
          </cell>
          <cell r="B20660" t="str">
            <v>660-99999-034-0000</v>
          </cell>
          <cell r="J20660">
            <v>2852345.76</v>
          </cell>
        </row>
        <row r="20661">
          <cell r="A20661" t="str">
            <v>INMOBILIARIA PSZ</v>
          </cell>
          <cell r="B20661" t="str">
            <v>660-99999-034-0008</v>
          </cell>
          <cell r="J20661">
            <v>2852345.76</v>
          </cell>
        </row>
        <row r="20662">
          <cell r="A20662" t="str">
            <v>INMOBILIARIA PSZ</v>
          </cell>
          <cell r="B20662" t="str">
            <v>660-99999-035-0000</v>
          </cell>
          <cell r="J20662">
            <v>138609.12</v>
          </cell>
        </row>
        <row r="20663">
          <cell r="A20663" t="str">
            <v>INMOBILIARIA PSZ</v>
          </cell>
          <cell r="B20663" t="str">
            <v>660-99999-035-0001</v>
          </cell>
          <cell r="J20663">
            <v>138609.12</v>
          </cell>
        </row>
        <row r="20664">
          <cell r="A20664" t="str">
            <v>INMOBILIARIA PSZ</v>
          </cell>
          <cell r="B20664" t="str">
            <v>710-00000-000-0000</v>
          </cell>
          <cell r="J20664">
            <v>144578.47</v>
          </cell>
        </row>
        <row r="20665">
          <cell r="A20665" t="str">
            <v>INMOBILIARIA PSZ</v>
          </cell>
          <cell r="B20665" t="str">
            <v>710-99999-000-0000</v>
          </cell>
          <cell r="J20665">
            <v>144578.47</v>
          </cell>
        </row>
        <row r="20666">
          <cell r="A20666" t="str">
            <v>INMOBILIARIA PSZ</v>
          </cell>
          <cell r="B20666" t="str">
            <v>710-99999-002-0000</v>
          </cell>
          <cell r="J20666">
            <v>144578.47</v>
          </cell>
        </row>
        <row r="20667">
          <cell r="A20667" t="str">
            <v>INMOBILIARIA PSZ</v>
          </cell>
          <cell r="B20667" t="str">
            <v>710-99999-002-0001</v>
          </cell>
          <cell r="J20667">
            <v>144578.47</v>
          </cell>
        </row>
        <row r="20668">
          <cell r="A20668" t="str">
            <v>INMOBILIARIA PSZ</v>
          </cell>
          <cell r="B20668" t="str">
            <v>740-00000-000-0000</v>
          </cell>
          <cell r="J20668">
            <v>17417</v>
          </cell>
        </row>
        <row r="20669">
          <cell r="A20669" t="str">
            <v>INMOBILIARIA PSZ</v>
          </cell>
          <cell r="B20669" t="str">
            <v>740-99999-000-0000</v>
          </cell>
          <cell r="J20669">
            <v>17417</v>
          </cell>
        </row>
        <row r="20670">
          <cell r="A20670" t="str">
            <v>INMOBILIARIA PSZ</v>
          </cell>
          <cell r="B20670" t="str">
            <v>740-99999-001-0000</v>
          </cell>
          <cell r="J20670">
            <v>17417</v>
          </cell>
        </row>
        <row r="20671">
          <cell r="A20671" t="str">
            <v>INMOBILIARIA PSZ</v>
          </cell>
          <cell r="J20671">
            <v>0</v>
          </cell>
        </row>
        <row r="20672">
          <cell r="A20672" t="str">
            <v>INMOBILIARIA PSZ</v>
          </cell>
          <cell r="J20672">
            <v>0</v>
          </cell>
        </row>
        <row r="20673">
          <cell r="A20673" t="str">
            <v>INMOBILIARIA PSZ</v>
          </cell>
          <cell r="J20673">
            <v>0</v>
          </cell>
        </row>
        <row r="20674">
          <cell r="A20674" t="str">
            <v>INMOBILIARIA PSZ</v>
          </cell>
          <cell r="J20674">
            <v>0</v>
          </cell>
        </row>
        <row r="20675">
          <cell r="A20675" t="str">
            <v>INMOBILIARIA PSZ</v>
          </cell>
          <cell r="J20675">
            <v>0</v>
          </cell>
        </row>
        <row r="20676">
          <cell r="A20676" t="str">
            <v>INMOBILIARIA PSZ</v>
          </cell>
          <cell r="J20676">
            <v>0</v>
          </cell>
        </row>
        <row r="20677">
          <cell r="A20677" t="str">
            <v>INMOBILIARIA PSZ</v>
          </cell>
          <cell r="J20677">
            <v>0</v>
          </cell>
        </row>
        <row r="20678">
          <cell r="A20678" t="str">
            <v>INMOBILIARIA PSZ</v>
          </cell>
          <cell r="J20678">
            <v>0</v>
          </cell>
        </row>
        <row r="20679">
          <cell r="A20679" t="str">
            <v>INMOBILIARIA PSZ</v>
          </cell>
          <cell r="J20679">
            <v>0</v>
          </cell>
        </row>
        <row r="20680">
          <cell r="A20680" t="str">
            <v>INMOBILIARIA PSZ</v>
          </cell>
          <cell r="J20680">
            <v>0</v>
          </cell>
        </row>
        <row r="20681">
          <cell r="A20681" t="str">
            <v>INMOBILIARIA PSZ</v>
          </cell>
          <cell r="J20681">
            <v>0</v>
          </cell>
        </row>
        <row r="20682">
          <cell r="A20682" t="str">
            <v>INMOBILIARIA PSZ</v>
          </cell>
          <cell r="J20682">
            <v>0</v>
          </cell>
        </row>
        <row r="20683">
          <cell r="A20683" t="str">
            <v>INMOBILIARIA PSZ</v>
          </cell>
          <cell r="J20683">
            <v>0</v>
          </cell>
        </row>
        <row r="20684">
          <cell r="A20684" t="str">
            <v>INMOBILIARIA PSZ</v>
          </cell>
          <cell r="J20684">
            <v>0</v>
          </cell>
        </row>
        <row r="20685">
          <cell r="A20685" t="str">
            <v>INMOBILIARIA PSZ</v>
          </cell>
          <cell r="J20685">
            <v>0</v>
          </cell>
        </row>
        <row r="20686">
          <cell r="A20686" t="str">
            <v>INMOBILIARIA PSZ</v>
          </cell>
          <cell r="J20686">
            <v>0</v>
          </cell>
        </row>
        <row r="20687">
          <cell r="A20687" t="str">
            <v>INMOBILIARIA PSZ</v>
          </cell>
          <cell r="J20687">
            <v>0</v>
          </cell>
        </row>
        <row r="20688">
          <cell r="A20688" t="str">
            <v>INMOBILIARIA PSZ</v>
          </cell>
          <cell r="J20688">
            <v>0</v>
          </cell>
        </row>
        <row r="20689">
          <cell r="A20689" t="str">
            <v>INMOBILIARIA PSZ</v>
          </cell>
          <cell r="J20689">
            <v>0</v>
          </cell>
        </row>
        <row r="20690">
          <cell r="A20690" t="str">
            <v>INMOBILIARIA PSZ</v>
          </cell>
          <cell r="J20690">
            <v>0</v>
          </cell>
        </row>
        <row r="20691">
          <cell r="A20691" t="str">
            <v>INMOBILIARIA PSZ</v>
          </cell>
          <cell r="J20691">
            <v>0</v>
          </cell>
        </row>
        <row r="20692">
          <cell r="A20692" t="str">
            <v>INMOBILIARIA PSZ</v>
          </cell>
          <cell r="J20692">
            <v>0</v>
          </cell>
        </row>
        <row r="20693">
          <cell r="A20693" t="str">
            <v>INMOBILIARIA PSZ</v>
          </cell>
          <cell r="J20693">
            <v>0</v>
          </cell>
        </row>
        <row r="20694">
          <cell r="A20694" t="str">
            <v>INMOBILIARIA PSZ</v>
          </cell>
          <cell r="J20694">
            <v>0</v>
          </cell>
        </row>
        <row r="20695">
          <cell r="A20695" t="str">
            <v>INMOBILIARIA PSZ</v>
          </cell>
          <cell r="J20695">
            <v>0</v>
          </cell>
        </row>
        <row r="20696">
          <cell r="A20696" t="str">
            <v>INMOBILIARIA PSZ</v>
          </cell>
          <cell r="J20696">
            <v>0</v>
          </cell>
        </row>
        <row r="20697">
          <cell r="A20697" t="str">
            <v>INMOBILIARIA PSZ</v>
          </cell>
          <cell r="J20697">
            <v>0</v>
          </cell>
        </row>
        <row r="20698">
          <cell r="A20698" t="str">
            <v>INMOBILIARIA PSZ</v>
          </cell>
          <cell r="J20698">
            <v>0</v>
          </cell>
        </row>
        <row r="20699">
          <cell r="A20699" t="str">
            <v>INMOBILIARIA PSZ</v>
          </cell>
          <cell r="J20699">
            <v>0</v>
          </cell>
        </row>
        <row r="20700">
          <cell r="A20700" t="str">
            <v>INMOBILIARIA PSZ</v>
          </cell>
          <cell r="J20700">
            <v>0</v>
          </cell>
        </row>
        <row r="20701">
          <cell r="A20701" t="str">
            <v>INMOBILIARIA PSZ</v>
          </cell>
          <cell r="J20701">
            <v>0</v>
          </cell>
        </row>
        <row r="20702">
          <cell r="A20702" t="str">
            <v>INMOBILIARIA PSZ</v>
          </cell>
          <cell r="J20702">
            <v>0</v>
          </cell>
        </row>
        <row r="20703">
          <cell r="A20703" t="str">
            <v>INMOBILIARIA PSZ</v>
          </cell>
          <cell r="J20703">
            <v>0</v>
          </cell>
        </row>
        <row r="20704">
          <cell r="A20704" t="str">
            <v>INMOBILIARIA PSZ</v>
          </cell>
          <cell r="J20704">
            <v>0</v>
          </cell>
        </row>
        <row r="20705">
          <cell r="A20705" t="str">
            <v>INMOBILIARIA PSZ</v>
          </cell>
          <cell r="J20705">
            <v>0</v>
          </cell>
        </row>
        <row r="20706">
          <cell r="A20706" t="str">
            <v>INMOBILIARIA PSZ</v>
          </cell>
          <cell r="J20706">
            <v>0</v>
          </cell>
        </row>
        <row r="20707">
          <cell r="A20707" t="str">
            <v>INMOBILIARIA PSZ</v>
          </cell>
          <cell r="J20707">
            <v>0</v>
          </cell>
        </row>
        <row r="20708">
          <cell r="A20708" t="str">
            <v>INMOBILIARIA PSZ</v>
          </cell>
          <cell r="J20708">
            <v>0</v>
          </cell>
        </row>
        <row r="20709">
          <cell r="A20709" t="str">
            <v>INMOBILIARIA PSZ</v>
          </cell>
          <cell r="J20709">
            <v>0</v>
          </cell>
        </row>
        <row r="20710">
          <cell r="A20710" t="str">
            <v>INMOBILIARIA PSZ</v>
          </cell>
          <cell r="J20710">
            <v>0</v>
          </cell>
        </row>
        <row r="20711">
          <cell r="A20711" t="str">
            <v>INMOBILIARIA PSZ</v>
          </cell>
          <cell r="J20711">
            <v>0</v>
          </cell>
        </row>
        <row r="20712">
          <cell r="A20712" t="str">
            <v>INMOBILIARIA PSZ</v>
          </cell>
          <cell r="J20712">
            <v>0</v>
          </cell>
        </row>
        <row r="20713">
          <cell r="A20713" t="str">
            <v>INMOBILIARIA PSZ</v>
          </cell>
          <cell r="J20713">
            <v>0</v>
          </cell>
        </row>
        <row r="20714">
          <cell r="A20714" t="str">
            <v>INMOBILIARIA PSZ</v>
          </cell>
          <cell r="J20714">
            <v>0</v>
          </cell>
        </row>
        <row r="20715">
          <cell r="A20715" t="str">
            <v>INMOBILIARIA PSZ</v>
          </cell>
          <cell r="J20715">
            <v>0</v>
          </cell>
        </row>
        <row r="20716">
          <cell r="A20716" t="str">
            <v>INMOBILIARIA PSZ</v>
          </cell>
          <cell r="J20716">
            <v>0</v>
          </cell>
        </row>
        <row r="20717">
          <cell r="A20717" t="str">
            <v>INMOBILIARIA PSZ</v>
          </cell>
          <cell r="J20717">
            <v>0</v>
          </cell>
        </row>
        <row r="20718">
          <cell r="A20718" t="str">
            <v>INMOBILIARIA PSZ</v>
          </cell>
          <cell r="J20718">
            <v>0</v>
          </cell>
        </row>
        <row r="20719">
          <cell r="A20719" t="str">
            <v>INMOBILIARIA PSZ</v>
          </cell>
          <cell r="J20719">
            <v>0</v>
          </cell>
        </row>
        <row r="20720">
          <cell r="A20720" t="str">
            <v>INMOBILIARIA PSZ</v>
          </cell>
          <cell r="J20720">
            <v>0</v>
          </cell>
        </row>
        <row r="20721">
          <cell r="A20721" t="str">
            <v>INMOBILIARIA PSZ</v>
          </cell>
          <cell r="J20721">
            <v>0</v>
          </cell>
        </row>
        <row r="20722">
          <cell r="A20722" t="str">
            <v>INMOBILIARIA PSZ</v>
          </cell>
          <cell r="J20722">
            <v>0</v>
          </cell>
        </row>
        <row r="20723">
          <cell r="A20723" t="str">
            <v>INMOBILIARIA PSZ</v>
          </cell>
          <cell r="J20723">
            <v>0</v>
          </cell>
        </row>
        <row r="20724">
          <cell r="A20724" t="str">
            <v>INMOBILIARIA PSZ</v>
          </cell>
          <cell r="J20724">
            <v>0</v>
          </cell>
        </row>
        <row r="20725">
          <cell r="A20725" t="str">
            <v>INMOBILIARIA PSZ</v>
          </cell>
          <cell r="J20725">
            <v>0</v>
          </cell>
        </row>
        <row r="20726">
          <cell r="A20726" t="str">
            <v>INMOBILIARIA PSZ</v>
          </cell>
          <cell r="J20726">
            <v>0</v>
          </cell>
        </row>
        <row r="20727">
          <cell r="A20727" t="str">
            <v>INMOBILIARIA PSZ</v>
          </cell>
          <cell r="J20727">
            <v>0</v>
          </cell>
        </row>
        <row r="20728">
          <cell r="A20728" t="str">
            <v>INMOBILIARIA PSZ</v>
          </cell>
          <cell r="J20728">
            <v>0</v>
          </cell>
        </row>
        <row r="20729">
          <cell r="A20729" t="str">
            <v>INMOBILIARIA PSZ</v>
          </cell>
          <cell r="J20729">
            <v>0</v>
          </cell>
        </row>
        <row r="20730">
          <cell r="A20730" t="str">
            <v>INMOBILIARIA PSZ</v>
          </cell>
          <cell r="J20730">
            <v>0</v>
          </cell>
        </row>
        <row r="20731">
          <cell r="A20731" t="str">
            <v>INMOBILIARIA PSZ</v>
          </cell>
          <cell r="J20731">
            <v>0</v>
          </cell>
        </row>
        <row r="20732">
          <cell r="A20732" t="str">
            <v>INMOBILIARIA PSZ</v>
          </cell>
          <cell r="J20732">
            <v>0</v>
          </cell>
        </row>
        <row r="20733">
          <cell r="A20733" t="str">
            <v>INMOBILIARIA PSZ</v>
          </cell>
          <cell r="J20733">
            <v>0</v>
          </cell>
        </row>
        <row r="20734">
          <cell r="A20734" t="str">
            <v>INMOBILIARIA PSZ</v>
          </cell>
          <cell r="J20734">
            <v>0</v>
          </cell>
        </row>
        <row r="20735">
          <cell r="A20735" t="str">
            <v>INMOBILIARIA PSZ</v>
          </cell>
          <cell r="J20735">
            <v>0</v>
          </cell>
        </row>
        <row r="20736">
          <cell r="A20736" t="str">
            <v>INMOBILIARIA PSZ</v>
          </cell>
          <cell r="J20736">
            <v>0</v>
          </cell>
        </row>
        <row r="20737">
          <cell r="A20737" t="str">
            <v>INMOBILIARIA PSZ</v>
          </cell>
          <cell r="J20737">
            <v>0</v>
          </cell>
        </row>
        <row r="20738">
          <cell r="A20738" t="str">
            <v>INMOBILIARIA PSZ</v>
          </cell>
          <cell r="J20738">
            <v>0</v>
          </cell>
        </row>
        <row r="20739">
          <cell r="A20739" t="str">
            <v>INMOBILIARIA PSZ</v>
          </cell>
          <cell r="J20739">
            <v>0</v>
          </cell>
        </row>
        <row r="20740">
          <cell r="A20740" t="str">
            <v>INMOBILIARIA PSZ</v>
          </cell>
          <cell r="J20740">
            <v>0</v>
          </cell>
        </row>
        <row r="20741">
          <cell r="A20741" t="str">
            <v>INMOBILIARIA PSZ</v>
          </cell>
          <cell r="J20741">
            <v>0</v>
          </cell>
        </row>
        <row r="20742">
          <cell r="A20742" t="str">
            <v>INMOBILIARIA PSZ</v>
          </cell>
          <cell r="J20742">
            <v>0</v>
          </cell>
        </row>
        <row r="20743">
          <cell r="A20743" t="str">
            <v>INMOBILIARIA PSZ</v>
          </cell>
          <cell r="J20743">
            <v>0</v>
          </cell>
        </row>
        <row r="20744">
          <cell r="A20744" t="str">
            <v>INMOBILIARIA PSZ</v>
          </cell>
          <cell r="J20744">
            <v>0</v>
          </cell>
        </row>
        <row r="20745">
          <cell r="A20745" t="str">
            <v>INMOBILIARIA PSZ</v>
          </cell>
          <cell r="J20745">
            <v>0</v>
          </cell>
        </row>
        <row r="20746">
          <cell r="A20746" t="str">
            <v>INMOBILIARIA PSZ</v>
          </cell>
          <cell r="J20746">
            <v>0</v>
          </cell>
        </row>
        <row r="20747">
          <cell r="A20747" t="str">
            <v>INMOBILIARIA PSZ</v>
          </cell>
          <cell r="J20747">
            <v>0</v>
          </cell>
        </row>
        <row r="20748">
          <cell r="A20748" t="str">
            <v>INMOBILIARIA PSZ</v>
          </cell>
          <cell r="J20748">
            <v>0</v>
          </cell>
        </row>
        <row r="20749">
          <cell r="A20749" t="str">
            <v>INMOBILIARIA PSZ</v>
          </cell>
          <cell r="J20749">
            <v>0</v>
          </cell>
        </row>
        <row r="20750">
          <cell r="A20750" t="str">
            <v>INMOBILIARIA PSZ</v>
          </cell>
          <cell r="J20750">
            <v>0</v>
          </cell>
        </row>
        <row r="20751">
          <cell r="A20751" t="str">
            <v>INMOBILIARIA PSZ</v>
          </cell>
          <cell r="J20751">
            <v>0</v>
          </cell>
        </row>
        <row r="20752">
          <cell r="A20752" t="str">
            <v>INMOBILIARIA PSZ</v>
          </cell>
          <cell r="J20752">
            <v>0</v>
          </cell>
        </row>
        <row r="20753">
          <cell r="A20753" t="str">
            <v>INMOBILIARIA PSZ</v>
          </cell>
          <cell r="J20753">
            <v>0</v>
          </cell>
        </row>
        <row r="20754">
          <cell r="A20754" t="str">
            <v>INMOBILIARIA PSZ</v>
          </cell>
          <cell r="J20754">
            <v>0</v>
          </cell>
        </row>
        <row r="20755">
          <cell r="A20755" t="str">
            <v>INMOBILIARIA PSZ</v>
          </cell>
          <cell r="J20755">
            <v>0</v>
          </cell>
        </row>
        <row r="20756">
          <cell r="A20756" t="str">
            <v>INMOBILIARIA PSZ</v>
          </cell>
          <cell r="J20756">
            <v>0</v>
          </cell>
        </row>
        <row r="20757">
          <cell r="A20757" t="str">
            <v>INMOBILIARIA PSZ</v>
          </cell>
          <cell r="J20757">
            <v>0</v>
          </cell>
        </row>
        <row r="20758">
          <cell r="A20758" t="str">
            <v>INMOBILIARIA PSZ</v>
          </cell>
          <cell r="J20758">
            <v>0</v>
          </cell>
        </row>
        <row r="20759">
          <cell r="A20759" t="str">
            <v>INMOBILIARIA PSZ</v>
          </cell>
          <cell r="J20759">
            <v>0</v>
          </cell>
        </row>
        <row r="20760">
          <cell r="A20760" t="str">
            <v>INMOBILIARIA PSZ</v>
          </cell>
          <cell r="J20760">
            <v>0</v>
          </cell>
        </row>
        <row r="20761">
          <cell r="A20761" t="str">
            <v>INMOBILIARIA PSZ</v>
          </cell>
          <cell r="J20761">
            <v>0</v>
          </cell>
        </row>
        <row r="20762">
          <cell r="A20762" t="str">
            <v>INMOBILIARIA PSZ</v>
          </cell>
          <cell r="J20762">
            <v>0</v>
          </cell>
        </row>
        <row r="20763">
          <cell r="A20763" t="str">
            <v>INMOBILIARIA PSZ</v>
          </cell>
          <cell r="J20763">
            <v>0</v>
          </cell>
        </row>
        <row r="20764">
          <cell r="A20764" t="str">
            <v>INMOBILIARIA PSZ</v>
          </cell>
          <cell r="J20764">
            <v>0</v>
          </cell>
        </row>
        <row r="20765">
          <cell r="A20765" t="str">
            <v>INMOBILIARIA PSZ</v>
          </cell>
          <cell r="J20765">
            <v>0</v>
          </cell>
        </row>
        <row r="20766">
          <cell r="A20766" t="str">
            <v>INMOBILIARIA PSZ</v>
          </cell>
          <cell r="J20766">
            <v>0</v>
          </cell>
        </row>
        <row r="20767">
          <cell r="A20767" t="str">
            <v>INMOBILIARIA PSZ</v>
          </cell>
          <cell r="J20767">
            <v>0</v>
          </cell>
        </row>
        <row r="20768">
          <cell r="A20768" t="str">
            <v>INMOBILIARIA PSZ</v>
          </cell>
          <cell r="J20768">
            <v>0</v>
          </cell>
        </row>
        <row r="20769">
          <cell r="A20769" t="str">
            <v>INMOBILIARIA PSZ</v>
          </cell>
          <cell r="J20769">
            <v>0</v>
          </cell>
        </row>
        <row r="20770">
          <cell r="A20770" t="str">
            <v>INMOBILIARIA PSZ</v>
          </cell>
          <cell r="J20770">
            <v>0</v>
          </cell>
        </row>
        <row r="20771">
          <cell r="A20771" t="str">
            <v>INMOBILIARIA PSZ</v>
          </cell>
          <cell r="J20771">
            <v>0</v>
          </cell>
        </row>
        <row r="20772">
          <cell r="A20772" t="str">
            <v>INMOBILIARIA PSZ</v>
          </cell>
          <cell r="J20772">
            <v>0</v>
          </cell>
        </row>
        <row r="20773">
          <cell r="A20773" t="str">
            <v>INMOBILIARIA PSZ</v>
          </cell>
          <cell r="J20773">
            <v>0</v>
          </cell>
        </row>
        <row r="20774">
          <cell r="A20774" t="str">
            <v>INMOBILIARIA PSZ</v>
          </cell>
          <cell r="J20774">
            <v>0</v>
          </cell>
        </row>
        <row r="20775">
          <cell r="A20775" t="str">
            <v>INMOBILIARIA PSZ</v>
          </cell>
          <cell r="J20775">
            <v>0</v>
          </cell>
        </row>
        <row r="20776">
          <cell r="A20776" t="str">
            <v>INMOBILIARIA PSZ</v>
          </cell>
          <cell r="J20776">
            <v>0</v>
          </cell>
        </row>
        <row r="20777">
          <cell r="A20777" t="str">
            <v>INMOBILIARIA PSZ</v>
          </cell>
          <cell r="J20777">
            <v>0</v>
          </cell>
        </row>
        <row r="20778">
          <cell r="A20778" t="str">
            <v>INMOBILIARIA PSZ</v>
          </cell>
          <cell r="J20778">
            <v>0</v>
          </cell>
        </row>
        <row r="20779">
          <cell r="A20779" t="str">
            <v>INMOBILIARIA PSZ</v>
          </cell>
          <cell r="J20779">
            <v>0</v>
          </cell>
        </row>
        <row r="20780">
          <cell r="A20780" t="str">
            <v>INMOBILIARIA PSZ</v>
          </cell>
          <cell r="J20780">
            <v>0</v>
          </cell>
        </row>
        <row r="20781">
          <cell r="A20781" t="str">
            <v>INMOBILIARIA PSZ</v>
          </cell>
          <cell r="J20781">
            <v>0</v>
          </cell>
        </row>
        <row r="20782">
          <cell r="A20782" t="str">
            <v>INMOBILIARIA PSZ</v>
          </cell>
          <cell r="J20782">
            <v>0</v>
          </cell>
        </row>
        <row r="20783">
          <cell r="A20783" t="str">
            <v>INMOBILIARIA PSZ</v>
          </cell>
          <cell r="J20783">
            <v>0</v>
          </cell>
        </row>
        <row r="20784">
          <cell r="A20784" t="str">
            <v>INMOBILIARIA PSZ</v>
          </cell>
          <cell r="J20784">
            <v>0</v>
          </cell>
        </row>
        <row r="20785">
          <cell r="A20785" t="str">
            <v>INMOBILIARIA PSZ</v>
          </cell>
          <cell r="J20785">
            <v>0</v>
          </cell>
        </row>
        <row r="20786">
          <cell r="A20786" t="str">
            <v>INMOBILIARIA PSZ</v>
          </cell>
          <cell r="J20786">
            <v>0</v>
          </cell>
        </row>
        <row r="20787">
          <cell r="A20787" t="str">
            <v>INMOBILIARIA PSZ</v>
          </cell>
          <cell r="J20787">
            <v>0</v>
          </cell>
        </row>
        <row r="20788">
          <cell r="A20788" t="str">
            <v>INMOBILIARIA PSZ</v>
          </cell>
          <cell r="J20788">
            <v>0</v>
          </cell>
        </row>
        <row r="20789">
          <cell r="A20789" t="str">
            <v>INMOBILIARIA PSZ</v>
          </cell>
          <cell r="J20789">
            <v>0</v>
          </cell>
        </row>
        <row r="20790">
          <cell r="A20790" t="str">
            <v>INMOBILIARIA PSZ</v>
          </cell>
          <cell r="J20790">
            <v>0</v>
          </cell>
        </row>
        <row r="20791">
          <cell r="A20791" t="str">
            <v>INMOBILIARIA PSZ</v>
          </cell>
          <cell r="J20791">
            <v>0</v>
          </cell>
        </row>
        <row r="20792">
          <cell r="A20792" t="str">
            <v>INMOBILIARIA PSZ</v>
          </cell>
          <cell r="J20792">
            <v>0</v>
          </cell>
        </row>
        <row r="20793">
          <cell r="A20793" t="str">
            <v>INMOBILIARIA PSZ</v>
          </cell>
          <cell r="J20793">
            <v>0</v>
          </cell>
        </row>
        <row r="20794">
          <cell r="A20794" t="str">
            <v>INMOBILIARIA PSZ</v>
          </cell>
          <cell r="J20794">
            <v>0</v>
          </cell>
        </row>
        <row r="20795">
          <cell r="A20795" t="str">
            <v>INMOBILIARIA PSZ</v>
          </cell>
          <cell r="J20795">
            <v>0</v>
          </cell>
        </row>
        <row r="20796">
          <cell r="A20796" t="str">
            <v>INMOBILIARIA PSZ</v>
          </cell>
          <cell r="J20796">
            <v>0</v>
          </cell>
        </row>
        <row r="20797">
          <cell r="A20797" t="str">
            <v>INMOBILIARIA PSZ</v>
          </cell>
          <cell r="J20797">
            <v>0</v>
          </cell>
        </row>
        <row r="20798">
          <cell r="A20798" t="str">
            <v>INMOBILIARIA PSZ</v>
          </cell>
          <cell r="J20798">
            <v>0</v>
          </cell>
        </row>
        <row r="20799">
          <cell r="A20799" t="str">
            <v>INMOBILIARIA PSZ</v>
          </cell>
          <cell r="J20799">
            <v>0</v>
          </cell>
        </row>
        <row r="20800">
          <cell r="A20800" t="str">
            <v>INMOBILIARIA PSZ</v>
          </cell>
          <cell r="J20800">
            <v>0</v>
          </cell>
        </row>
        <row r="20801">
          <cell r="A20801" t="str">
            <v>INMOBILIARIA PSZ</v>
          </cell>
          <cell r="J20801">
            <v>0</v>
          </cell>
        </row>
        <row r="20802">
          <cell r="A20802" t="str">
            <v>INMOBILIARIA PSZ</v>
          </cell>
          <cell r="J20802">
            <v>0</v>
          </cell>
        </row>
        <row r="20803">
          <cell r="A20803" t="str">
            <v>INMOBILIARIA PSZ</v>
          </cell>
          <cell r="J20803">
            <v>0</v>
          </cell>
        </row>
        <row r="20804">
          <cell r="A20804" t="str">
            <v>INMOBILIARIA PSZ</v>
          </cell>
          <cell r="J20804">
            <v>0</v>
          </cell>
        </row>
        <row r="20805">
          <cell r="A20805" t="str">
            <v>INMOBILIARIA PSZ</v>
          </cell>
          <cell r="J20805">
            <v>0</v>
          </cell>
        </row>
        <row r="20806">
          <cell r="A20806" t="str">
            <v>INMOBILIARIA PSZ</v>
          </cell>
          <cell r="J20806">
            <v>0</v>
          </cell>
        </row>
        <row r="20807">
          <cell r="A20807" t="str">
            <v>INMOBILIARIA PSZ</v>
          </cell>
          <cell r="J20807">
            <v>0</v>
          </cell>
        </row>
        <row r="20808">
          <cell r="A20808" t="str">
            <v>INMOBILIARIA PSZ</v>
          </cell>
          <cell r="J20808">
            <v>0</v>
          </cell>
        </row>
        <row r="20809">
          <cell r="A20809" t="str">
            <v>INMOBILIARIA PSZ</v>
          </cell>
          <cell r="J20809">
            <v>0</v>
          </cell>
        </row>
        <row r="20810">
          <cell r="A20810" t="str">
            <v>INMOBILIARIA PSZ</v>
          </cell>
          <cell r="J20810">
            <v>0</v>
          </cell>
        </row>
        <row r="20811">
          <cell r="A20811" t="str">
            <v>INMOBILIARIA PSZ</v>
          </cell>
          <cell r="J20811">
            <v>0</v>
          </cell>
        </row>
        <row r="20812">
          <cell r="A20812" t="str">
            <v>INMOBILIARIA PSZ</v>
          </cell>
          <cell r="J20812">
            <v>0</v>
          </cell>
        </row>
        <row r="20813">
          <cell r="A20813" t="str">
            <v>INMOBILIARIA PSZ</v>
          </cell>
          <cell r="J20813">
            <v>0</v>
          </cell>
        </row>
        <row r="20814">
          <cell r="A20814" t="str">
            <v>INMOBILIARIA PSZ</v>
          </cell>
          <cell r="J20814">
            <v>0</v>
          </cell>
        </row>
        <row r="20815">
          <cell r="A20815" t="str">
            <v>INMOBILIARIA PSZ</v>
          </cell>
          <cell r="J20815">
            <v>0</v>
          </cell>
        </row>
        <row r="20816">
          <cell r="A20816" t="str">
            <v>INMOBILIARIA PSZ</v>
          </cell>
          <cell r="J20816">
            <v>0</v>
          </cell>
        </row>
        <row r="20817">
          <cell r="A20817" t="str">
            <v>INMOBILIARIA PSZ</v>
          </cell>
          <cell r="J20817">
            <v>0</v>
          </cell>
        </row>
        <row r="20818">
          <cell r="A20818" t="str">
            <v>INMOBILIARIA PSZ</v>
          </cell>
          <cell r="J20818">
            <v>0</v>
          </cell>
        </row>
        <row r="20819">
          <cell r="A20819" t="str">
            <v>INMOBILIARIA PSZ</v>
          </cell>
          <cell r="J20819">
            <v>0</v>
          </cell>
        </row>
        <row r="20820">
          <cell r="A20820" t="str">
            <v>INMOBILIARIA PSZ</v>
          </cell>
          <cell r="J20820">
            <v>0</v>
          </cell>
        </row>
        <row r="20821">
          <cell r="A20821" t="str">
            <v>INMOBILIARIA PSZ</v>
          </cell>
          <cell r="J20821">
            <v>0</v>
          </cell>
        </row>
        <row r="20822">
          <cell r="A20822" t="str">
            <v>INMOBILIARIA PSZ</v>
          </cell>
          <cell r="J20822">
            <v>0</v>
          </cell>
        </row>
        <row r="20823">
          <cell r="A20823" t="str">
            <v>INMOBILIARIA PSZ</v>
          </cell>
          <cell r="J20823">
            <v>0</v>
          </cell>
        </row>
        <row r="20824">
          <cell r="A20824" t="str">
            <v>INMOBILIARIA PSZ</v>
          </cell>
          <cell r="J20824">
            <v>0</v>
          </cell>
        </row>
        <row r="20825">
          <cell r="A20825" t="str">
            <v>INMOBILIARIA PSZ</v>
          </cell>
          <cell r="J20825">
            <v>0</v>
          </cell>
        </row>
        <row r="20826">
          <cell r="A20826" t="str">
            <v>INMOBILIARIA PSZ</v>
          </cell>
          <cell r="J20826">
            <v>0</v>
          </cell>
        </row>
        <row r="20827">
          <cell r="A20827" t="str">
            <v>INMOBILIARIA PSZ</v>
          </cell>
          <cell r="J20827">
            <v>0</v>
          </cell>
        </row>
        <row r="20828">
          <cell r="A20828" t="str">
            <v>INMOBILIARIA PSZ</v>
          </cell>
          <cell r="J20828">
            <v>0</v>
          </cell>
        </row>
        <row r="20829">
          <cell r="A20829" t="str">
            <v>INMOBILIARIA PSZ</v>
          </cell>
          <cell r="J20829">
            <v>0</v>
          </cell>
        </row>
        <row r="20830">
          <cell r="A20830" t="str">
            <v>INMOBILIARIA PSZ</v>
          </cell>
          <cell r="J20830">
            <v>0</v>
          </cell>
        </row>
        <row r="20831">
          <cell r="A20831" t="str">
            <v>INMOBILIARIA PSZ</v>
          </cell>
          <cell r="J20831">
            <v>0</v>
          </cell>
        </row>
        <row r="20832">
          <cell r="A20832" t="str">
            <v>INMOBILIARIA PSZ</v>
          </cell>
          <cell r="J20832">
            <v>0</v>
          </cell>
        </row>
        <row r="20833">
          <cell r="A20833" t="str">
            <v>INMOBILIARIA PSZ</v>
          </cell>
          <cell r="J20833">
            <v>0</v>
          </cell>
        </row>
        <row r="20834">
          <cell r="A20834" t="str">
            <v>INMOBILIARIA PSZ</v>
          </cell>
          <cell r="J20834">
            <v>0</v>
          </cell>
        </row>
        <row r="20835">
          <cell r="A20835" t="str">
            <v>INMOBILIARIA PSZ</v>
          </cell>
          <cell r="J20835">
            <v>0</v>
          </cell>
        </row>
        <row r="20836">
          <cell r="A20836" t="str">
            <v>INMOBILIARIA PSZ</v>
          </cell>
          <cell r="J20836">
            <v>0</v>
          </cell>
        </row>
        <row r="20837">
          <cell r="A20837" t="str">
            <v>INMOBILIARIA PSZ</v>
          </cell>
          <cell r="J20837">
            <v>0</v>
          </cell>
        </row>
        <row r="20838">
          <cell r="A20838" t="str">
            <v>INMOBILIARIA PSZ</v>
          </cell>
          <cell r="J20838">
            <v>0</v>
          </cell>
        </row>
        <row r="20839">
          <cell r="A20839" t="str">
            <v>INMOBILIARIA PSZ</v>
          </cell>
          <cell r="J20839">
            <v>0</v>
          </cell>
        </row>
        <row r="20840">
          <cell r="A20840" t="str">
            <v>INMOBILIARIA PSZ</v>
          </cell>
          <cell r="J20840">
            <v>0</v>
          </cell>
        </row>
        <row r="20841">
          <cell r="A20841" t="str">
            <v>INMOBILIARIA PSZ</v>
          </cell>
          <cell r="J20841">
            <v>0</v>
          </cell>
        </row>
        <row r="20842">
          <cell r="A20842" t="str">
            <v>INMOBILIARIA PSZ</v>
          </cell>
          <cell r="J20842">
            <v>0</v>
          </cell>
        </row>
        <row r="20843">
          <cell r="A20843" t="str">
            <v>INMOBILIARIA PSZ</v>
          </cell>
          <cell r="J20843">
            <v>0</v>
          </cell>
        </row>
        <row r="20844">
          <cell r="A20844" t="str">
            <v>INMOBILIARIA PSZ</v>
          </cell>
          <cell r="J20844">
            <v>0</v>
          </cell>
        </row>
        <row r="20845">
          <cell r="A20845" t="str">
            <v>INMOBILIARIA PSZ</v>
          </cell>
          <cell r="J20845">
            <v>0</v>
          </cell>
        </row>
        <row r="20846">
          <cell r="A20846" t="str">
            <v>INMOBILIARIA PSZ</v>
          </cell>
          <cell r="J20846">
            <v>0</v>
          </cell>
        </row>
        <row r="20847">
          <cell r="A20847" t="str">
            <v>INMOBILIARIA PSZ</v>
          </cell>
          <cell r="J20847">
            <v>0</v>
          </cell>
        </row>
        <row r="20848">
          <cell r="A20848" t="str">
            <v>INMOBILIARIA PSZ</v>
          </cell>
          <cell r="J20848">
            <v>0</v>
          </cell>
        </row>
        <row r="20849">
          <cell r="A20849" t="str">
            <v>INMOBILIARIA PSZ</v>
          </cell>
          <cell r="J20849">
            <v>0</v>
          </cell>
        </row>
        <row r="20850">
          <cell r="A20850" t="str">
            <v>INMOBILIARIA PSZ</v>
          </cell>
          <cell r="J20850">
            <v>0</v>
          </cell>
        </row>
        <row r="20851">
          <cell r="A20851" t="str">
            <v>INMOBILIARIA PSZ</v>
          </cell>
          <cell r="J20851">
            <v>0</v>
          </cell>
        </row>
        <row r="20852">
          <cell r="A20852" t="str">
            <v>INMOBILIARIA PSZ</v>
          </cell>
          <cell r="J20852">
            <v>0</v>
          </cell>
        </row>
        <row r="20853">
          <cell r="A20853" t="str">
            <v>INMOBILIARIA PSZ</v>
          </cell>
          <cell r="J20853">
            <v>0</v>
          </cell>
        </row>
        <row r="20854">
          <cell r="A20854" t="str">
            <v>INMOBILIARIA PSZ</v>
          </cell>
          <cell r="J20854">
            <v>0</v>
          </cell>
        </row>
        <row r="20855">
          <cell r="A20855" t="str">
            <v>INMOBILIARIA PSZ</v>
          </cell>
          <cell r="J20855">
            <v>0</v>
          </cell>
        </row>
        <row r="20856">
          <cell r="A20856" t="str">
            <v>INMOBILIARIA PSZ</v>
          </cell>
          <cell r="J20856">
            <v>0</v>
          </cell>
        </row>
        <row r="20857">
          <cell r="A20857" t="str">
            <v>INMOBILIARIA PSZ</v>
          </cell>
          <cell r="J20857">
            <v>0</v>
          </cell>
        </row>
        <row r="20858">
          <cell r="A20858" t="str">
            <v>INMOBILIARIA PSZ</v>
          </cell>
          <cell r="J20858">
            <v>0</v>
          </cell>
        </row>
        <row r="20859">
          <cell r="A20859" t="str">
            <v>INMOBILIARIA PSZ</v>
          </cell>
          <cell r="J20859">
            <v>0</v>
          </cell>
        </row>
        <row r="20860">
          <cell r="A20860" t="str">
            <v>INMOBILIARIA PSZ</v>
          </cell>
          <cell r="J20860">
            <v>0</v>
          </cell>
        </row>
        <row r="20861">
          <cell r="A20861" t="str">
            <v>INMOBILIARIA PSZ</v>
          </cell>
          <cell r="J20861">
            <v>0</v>
          </cell>
        </row>
        <row r="20862">
          <cell r="A20862" t="str">
            <v>INMOBILIARIA PSZ</v>
          </cell>
          <cell r="J20862">
            <v>0</v>
          </cell>
        </row>
        <row r="20863">
          <cell r="A20863" t="str">
            <v>INMOBILIARIA PSZ</v>
          </cell>
          <cell r="J20863">
            <v>0</v>
          </cell>
        </row>
        <row r="20864">
          <cell r="A20864" t="str">
            <v>INMOBILIARIA PSZ</v>
          </cell>
          <cell r="J20864">
            <v>0</v>
          </cell>
        </row>
        <row r="20865">
          <cell r="A20865" t="str">
            <v>INMOBILIARIA PSZ</v>
          </cell>
          <cell r="J20865">
            <v>0</v>
          </cell>
        </row>
        <row r="20866">
          <cell r="A20866" t="str">
            <v>INMOBILIARIA PSZ</v>
          </cell>
          <cell r="J20866">
            <v>0</v>
          </cell>
        </row>
        <row r="20867">
          <cell r="A20867" t="str">
            <v>INMOBILIARIA PSZ</v>
          </cell>
          <cell r="J20867">
            <v>0</v>
          </cell>
        </row>
        <row r="20868">
          <cell r="A20868" t="str">
            <v>INMOBILIARIA PSZ</v>
          </cell>
          <cell r="J20868">
            <v>0</v>
          </cell>
        </row>
        <row r="20869">
          <cell r="A20869" t="str">
            <v>INMOBILIARIA PSZ</v>
          </cell>
          <cell r="J20869">
            <v>0</v>
          </cell>
        </row>
        <row r="20870">
          <cell r="A20870" t="str">
            <v>INMOBILIARIA PSZ</v>
          </cell>
          <cell r="J20870">
            <v>0</v>
          </cell>
        </row>
        <row r="20871">
          <cell r="A20871" t="str">
            <v>INMOBILIARIA PSZ</v>
          </cell>
          <cell r="J20871">
            <v>0</v>
          </cell>
        </row>
        <row r="20872">
          <cell r="A20872" t="str">
            <v>INMOBILIARIA PSZ</v>
          </cell>
          <cell r="J20872">
            <v>0</v>
          </cell>
        </row>
        <row r="20873">
          <cell r="A20873" t="str">
            <v>INMOBILIARIA PSZ</v>
          </cell>
          <cell r="J20873">
            <v>0</v>
          </cell>
        </row>
        <row r="20874">
          <cell r="A20874" t="str">
            <v>INMOBILIARIA PSZ</v>
          </cell>
          <cell r="J20874">
            <v>0</v>
          </cell>
        </row>
        <row r="20875">
          <cell r="A20875" t="str">
            <v>INMOBILIARIA PSZ</v>
          </cell>
          <cell r="J20875">
            <v>0</v>
          </cell>
        </row>
        <row r="20876">
          <cell r="A20876" t="str">
            <v>INMOBILIARIA PSZ</v>
          </cell>
          <cell r="J20876">
            <v>0</v>
          </cell>
        </row>
        <row r="20877">
          <cell r="A20877" t="str">
            <v>INMOBILIARIA PSZ</v>
          </cell>
          <cell r="J20877">
            <v>0</v>
          </cell>
        </row>
        <row r="20878">
          <cell r="A20878" t="str">
            <v>INMOBILIARIA PSZ</v>
          </cell>
          <cell r="J20878">
            <v>0</v>
          </cell>
        </row>
        <row r="20879">
          <cell r="A20879" t="str">
            <v>INMOBILIARIA PSZ</v>
          </cell>
          <cell r="J20879">
            <v>0</v>
          </cell>
        </row>
        <row r="20880">
          <cell r="A20880" t="str">
            <v>INMOBILIARIA PSZ</v>
          </cell>
          <cell r="J20880">
            <v>0</v>
          </cell>
        </row>
        <row r="20881">
          <cell r="A20881" t="str">
            <v>INMOBILIARIA PSZ</v>
          </cell>
          <cell r="J20881">
            <v>0</v>
          </cell>
        </row>
        <row r="20882">
          <cell r="A20882" t="str">
            <v>INMOBILIARIA PSZ</v>
          </cell>
          <cell r="J20882">
            <v>0</v>
          </cell>
        </row>
        <row r="20883">
          <cell r="J20883">
            <v>0</v>
          </cell>
        </row>
        <row r="20884">
          <cell r="J20884">
            <v>0</v>
          </cell>
        </row>
        <row r="20885">
          <cell r="J20885">
            <v>0</v>
          </cell>
        </row>
        <row r="20886">
          <cell r="J20886">
            <v>0</v>
          </cell>
        </row>
        <row r="20887">
          <cell r="A20887" t="str">
            <v>VIALTECNO</v>
          </cell>
          <cell r="B20887" t="str">
            <v>101-00000-000-0000</v>
          </cell>
          <cell r="J20887">
            <v>7811046.2999999998</v>
          </cell>
        </row>
        <row r="20888">
          <cell r="A20888" t="str">
            <v>VIALTECNO</v>
          </cell>
          <cell r="B20888" t="str">
            <v>101-00004-000-0000</v>
          </cell>
          <cell r="J20888">
            <v>7540000</v>
          </cell>
        </row>
        <row r="20889">
          <cell r="A20889" t="str">
            <v>VIALTECNO</v>
          </cell>
          <cell r="B20889" t="str">
            <v>101-00004-002-0000</v>
          </cell>
          <cell r="J20889">
            <v>7540000</v>
          </cell>
        </row>
        <row r="20890">
          <cell r="A20890" t="str">
            <v>VIALTECNO</v>
          </cell>
          <cell r="B20890" t="str">
            <v>101-00004-002-0468</v>
          </cell>
          <cell r="J20890">
            <v>7540000</v>
          </cell>
        </row>
        <row r="20891">
          <cell r="A20891" t="str">
            <v>VIALTECNO</v>
          </cell>
          <cell r="B20891" t="str">
            <v>101-00008-000-0000</v>
          </cell>
          <cell r="J20891">
            <v>228580.32</v>
          </cell>
        </row>
        <row r="20892">
          <cell r="A20892" t="str">
            <v>VIALTECNO</v>
          </cell>
          <cell r="B20892" t="str">
            <v>101-00008-001-0000</v>
          </cell>
          <cell r="J20892">
            <v>62345.45</v>
          </cell>
        </row>
        <row r="20893">
          <cell r="A20893" t="str">
            <v>VIALTECNO</v>
          </cell>
          <cell r="B20893" t="str">
            <v>101-00008-002-0000</v>
          </cell>
          <cell r="J20893">
            <v>90535.82</v>
          </cell>
        </row>
        <row r="20894">
          <cell r="A20894" t="str">
            <v>VIALTECNO</v>
          </cell>
          <cell r="B20894" t="str">
            <v>101-00008-003-0000</v>
          </cell>
          <cell r="J20894">
            <v>684.05</v>
          </cell>
        </row>
        <row r="20895">
          <cell r="A20895" t="str">
            <v>VIALTECNO</v>
          </cell>
          <cell r="B20895" t="str">
            <v>101-00008-003-0002</v>
          </cell>
          <cell r="J20895">
            <v>684.05</v>
          </cell>
        </row>
        <row r="20896">
          <cell r="A20896" t="str">
            <v>VIALTECNO</v>
          </cell>
          <cell r="B20896" t="str">
            <v>101-00008-012-0000</v>
          </cell>
          <cell r="J20896">
            <v>75015</v>
          </cell>
        </row>
        <row r="20897">
          <cell r="A20897" t="str">
            <v>VIALTECNO</v>
          </cell>
          <cell r="B20897" t="str">
            <v>101-00008-012-0004</v>
          </cell>
          <cell r="J20897">
            <v>75015</v>
          </cell>
        </row>
        <row r="20898">
          <cell r="A20898" t="str">
            <v>VIALTECNO</v>
          </cell>
          <cell r="B20898" t="str">
            <v>101-00010-000-0000</v>
          </cell>
          <cell r="J20898">
            <v>996.24</v>
          </cell>
        </row>
        <row r="20899">
          <cell r="A20899" t="str">
            <v>VIALTECNO</v>
          </cell>
          <cell r="B20899" t="str">
            <v>101-00010-001-0000</v>
          </cell>
          <cell r="J20899">
            <v>996.24</v>
          </cell>
        </row>
        <row r="20900">
          <cell r="A20900" t="str">
            <v>VIALTECNO</v>
          </cell>
          <cell r="B20900" t="str">
            <v>101-00011-000-0000</v>
          </cell>
          <cell r="J20900">
            <v>605.84</v>
          </cell>
        </row>
        <row r="20901">
          <cell r="A20901" t="str">
            <v>VIALTECNO</v>
          </cell>
          <cell r="B20901" t="str">
            <v>101-00011-001-0000</v>
          </cell>
          <cell r="J20901">
            <v>605.84</v>
          </cell>
        </row>
        <row r="20902">
          <cell r="A20902" t="str">
            <v>VIALTECNO</v>
          </cell>
          <cell r="B20902" t="str">
            <v>101-00015-000-0000</v>
          </cell>
          <cell r="J20902">
            <v>40863.9</v>
          </cell>
        </row>
        <row r="20903">
          <cell r="A20903" t="str">
            <v>VIALTECNO</v>
          </cell>
          <cell r="B20903" t="str">
            <v>101-00015-001-0000</v>
          </cell>
          <cell r="J20903">
            <v>40863.9</v>
          </cell>
        </row>
        <row r="20904">
          <cell r="A20904" t="str">
            <v>VIALTECNO</v>
          </cell>
          <cell r="B20904" t="str">
            <v>101-00015-001-0468</v>
          </cell>
          <cell r="J20904">
            <v>40863.9</v>
          </cell>
        </row>
        <row r="20905">
          <cell r="A20905" t="str">
            <v>VIALTECNO</v>
          </cell>
          <cell r="B20905" t="str">
            <v>201-00000-000-0000</v>
          </cell>
          <cell r="J20905">
            <v>-1040000</v>
          </cell>
        </row>
        <row r="20906">
          <cell r="A20906" t="str">
            <v>VIALTECNO</v>
          </cell>
          <cell r="B20906" t="str">
            <v>201-00009-000-0000</v>
          </cell>
          <cell r="J20906">
            <v>-1040000</v>
          </cell>
        </row>
        <row r="20907">
          <cell r="A20907" t="str">
            <v>VIALTECNO</v>
          </cell>
          <cell r="B20907" t="str">
            <v>201-00009-001-0000</v>
          </cell>
          <cell r="J20907">
            <v>-1040000</v>
          </cell>
        </row>
        <row r="20908">
          <cell r="A20908" t="str">
            <v>VIALTECNO</v>
          </cell>
          <cell r="B20908" t="str">
            <v>301-00000-000-0000</v>
          </cell>
          <cell r="J20908">
            <v>-6771046.2999999998</v>
          </cell>
        </row>
        <row r="20909">
          <cell r="A20909" t="str">
            <v>VIALTECNO</v>
          </cell>
          <cell r="B20909" t="str">
            <v>301-00001-000-0000</v>
          </cell>
          <cell r="J20909">
            <v>-50000</v>
          </cell>
        </row>
        <row r="20910">
          <cell r="A20910" t="str">
            <v>VIALTECNO</v>
          </cell>
          <cell r="B20910" t="str">
            <v>301-00001-001-0000</v>
          </cell>
          <cell r="J20910">
            <v>-50000</v>
          </cell>
        </row>
        <row r="20911">
          <cell r="A20911" t="str">
            <v>VIALTECNO</v>
          </cell>
          <cell r="B20911" t="str">
            <v>301-00004-000-0000</v>
          </cell>
          <cell r="J20911">
            <v>-6721046.2999999998</v>
          </cell>
        </row>
        <row r="20912">
          <cell r="A20912" t="str">
            <v>VIALTECNO</v>
          </cell>
          <cell r="B20912" t="str">
            <v>301-00004-009-0000</v>
          </cell>
          <cell r="J20912">
            <v>38327.21</v>
          </cell>
        </row>
        <row r="20913">
          <cell r="A20913" t="str">
            <v>VIALTECNO</v>
          </cell>
          <cell r="B20913" t="str">
            <v>301-00004-010-0000</v>
          </cell>
          <cell r="J20913">
            <v>-408640.49</v>
          </cell>
        </row>
        <row r="20914">
          <cell r="A20914" t="str">
            <v>VIALTECNO</v>
          </cell>
          <cell r="B20914" t="str">
            <v>301-00004-011-0000</v>
          </cell>
          <cell r="J20914">
            <v>-2934.5</v>
          </cell>
        </row>
        <row r="20915">
          <cell r="A20915" t="str">
            <v>VIALTECNO</v>
          </cell>
          <cell r="B20915" t="str">
            <v>301-00004-012-0000</v>
          </cell>
          <cell r="J20915">
            <v>-491998.47</v>
          </cell>
        </row>
        <row r="20916">
          <cell r="A20916" t="str">
            <v>VIALTECNO</v>
          </cell>
          <cell r="B20916" t="str">
            <v>301-00004-013-0000</v>
          </cell>
          <cell r="J20916">
            <v>-6866558.2199999997</v>
          </cell>
        </row>
        <row r="20917">
          <cell r="A20917" t="str">
            <v>VIALTECNO</v>
          </cell>
          <cell r="B20917" t="str">
            <v>301-00004-014-0000</v>
          </cell>
          <cell r="J20917">
            <v>248271.47</v>
          </cell>
        </row>
        <row r="20918">
          <cell r="A20918" t="str">
            <v>VIALTECNO</v>
          </cell>
          <cell r="B20918" t="str">
            <v>301-00004-015-0000</v>
          </cell>
          <cell r="J20918">
            <v>584463.93000000005</v>
          </cell>
        </row>
        <row r="20919">
          <cell r="A20919" t="str">
            <v>VIALTECNO</v>
          </cell>
          <cell r="B20919" t="str">
            <v>301-00004-016-0000</v>
          </cell>
          <cell r="J20919">
            <v>174765.67</v>
          </cell>
        </row>
        <row r="20920">
          <cell r="A20920" t="str">
            <v>VIALTECNO</v>
          </cell>
          <cell r="B20920" t="str">
            <v>301-00004-017-0000</v>
          </cell>
          <cell r="J20920">
            <v>3257.1</v>
          </cell>
        </row>
        <row r="20921">
          <cell r="A20921" t="str">
            <v>VIALTECNO</v>
          </cell>
          <cell r="J20921">
            <v>0</v>
          </cell>
        </row>
        <row r="20922">
          <cell r="A20922" t="str">
            <v>VIALTECNO</v>
          </cell>
          <cell r="J20922">
            <v>0</v>
          </cell>
        </row>
        <row r="20923">
          <cell r="A20923" t="str">
            <v>VIALTECNO</v>
          </cell>
          <cell r="J20923">
            <v>0</v>
          </cell>
        </row>
        <row r="20924">
          <cell r="A20924" t="str">
            <v>VIALTECNO</v>
          </cell>
          <cell r="J20924">
            <v>0</v>
          </cell>
        </row>
        <row r="20925">
          <cell r="A20925" t="str">
            <v>VIALTECNO</v>
          </cell>
          <cell r="J20925">
            <v>0</v>
          </cell>
        </row>
        <row r="20926">
          <cell r="A20926" t="str">
            <v>VIALTECNO</v>
          </cell>
          <cell r="J20926">
            <v>0</v>
          </cell>
        </row>
        <row r="20927">
          <cell r="A20927" t="str">
            <v>VIALTECNO</v>
          </cell>
          <cell r="J20927">
            <v>0</v>
          </cell>
        </row>
        <row r="20928">
          <cell r="A20928" t="str">
            <v>VIALTECNO</v>
          </cell>
          <cell r="J20928">
            <v>0</v>
          </cell>
        </row>
        <row r="20929">
          <cell r="A20929" t="str">
            <v>VIALTECNO</v>
          </cell>
          <cell r="J20929">
            <v>0</v>
          </cell>
        </row>
        <row r="20930">
          <cell r="A20930" t="str">
            <v>VIALTECNO</v>
          </cell>
          <cell r="J20930">
            <v>0</v>
          </cell>
        </row>
        <row r="20931">
          <cell r="A20931" t="str">
            <v>VIALTECNO</v>
          </cell>
          <cell r="J20931">
            <v>0</v>
          </cell>
        </row>
        <row r="20932">
          <cell r="A20932" t="str">
            <v>VIALTECNO</v>
          </cell>
          <cell r="J20932">
            <v>0</v>
          </cell>
        </row>
        <row r="20933">
          <cell r="A20933" t="str">
            <v>VIALTECNO</v>
          </cell>
          <cell r="J20933">
            <v>0</v>
          </cell>
        </row>
        <row r="20934">
          <cell r="A20934" t="str">
            <v>VIALTECNO</v>
          </cell>
          <cell r="J20934">
            <v>0</v>
          </cell>
        </row>
        <row r="20935">
          <cell r="A20935" t="str">
            <v>VIALTECNO</v>
          </cell>
          <cell r="J20935">
            <v>0</v>
          </cell>
        </row>
        <row r="20936">
          <cell r="A20936" t="str">
            <v>VIALTECNO</v>
          </cell>
          <cell r="J20936">
            <v>0</v>
          </cell>
        </row>
        <row r="20937">
          <cell r="A20937" t="str">
            <v>VIALTECNO</v>
          </cell>
          <cell r="J20937">
            <v>0</v>
          </cell>
        </row>
        <row r="20938">
          <cell r="A20938" t="str">
            <v>VIALTECNO</v>
          </cell>
          <cell r="J20938">
            <v>0</v>
          </cell>
        </row>
        <row r="20939">
          <cell r="A20939" t="str">
            <v>VIALTECNO</v>
          </cell>
          <cell r="J20939">
            <v>0</v>
          </cell>
        </row>
        <row r="20940">
          <cell r="A20940" t="str">
            <v>VIALTECNO</v>
          </cell>
          <cell r="J20940">
            <v>0</v>
          </cell>
        </row>
        <row r="20941">
          <cell r="A20941" t="str">
            <v>VIALTECNO</v>
          </cell>
          <cell r="J20941">
            <v>0</v>
          </cell>
        </row>
        <row r="20942">
          <cell r="A20942" t="str">
            <v>VIALTECNO</v>
          </cell>
          <cell r="J20942">
            <v>0</v>
          </cell>
        </row>
        <row r="20943">
          <cell r="A20943" t="str">
            <v>VIALTECNO</v>
          </cell>
          <cell r="J20943">
            <v>0</v>
          </cell>
        </row>
        <row r="20944">
          <cell r="A20944" t="str">
            <v>VIALTECNO</v>
          </cell>
          <cell r="J20944">
            <v>0</v>
          </cell>
        </row>
        <row r="20945">
          <cell r="A20945" t="str">
            <v>VIALTECNO</v>
          </cell>
          <cell r="J20945">
            <v>0</v>
          </cell>
        </row>
        <row r="20946">
          <cell r="A20946" t="str">
            <v>VIALTECNO</v>
          </cell>
          <cell r="J20946">
            <v>0</v>
          </cell>
        </row>
        <row r="20947">
          <cell r="A20947" t="str">
            <v>VIALTECNO</v>
          </cell>
          <cell r="J20947">
            <v>0</v>
          </cell>
        </row>
        <row r="20948">
          <cell r="A20948" t="str">
            <v>VIALTECNO</v>
          </cell>
          <cell r="J20948">
            <v>0</v>
          </cell>
        </row>
        <row r="20949">
          <cell r="A20949" t="str">
            <v>VIALTECNO</v>
          </cell>
          <cell r="J20949">
            <v>0</v>
          </cell>
        </row>
        <row r="20950">
          <cell r="A20950" t="str">
            <v>VIALTECNO</v>
          </cell>
          <cell r="J20950">
            <v>0</v>
          </cell>
        </row>
        <row r="20951">
          <cell r="A20951" t="str">
            <v>VIALTECNO</v>
          </cell>
          <cell r="J20951">
            <v>0</v>
          </cell>
        </row>
        <row r="20952">
          <cell r="A20952" t="str">
            <v>VIALTECNO</v>
          </cell>
          <cell r="J20952">
            <v>0</v>
          </cell>
        </row>
        <row r="20953">
          <cell r="A20953" t="str">
            <v>VIALTECNO</v>
          </cell>
          <cell r="J20953">
            <v>0</v>
          </cell>
        </row>
        <row r="20954">
          <cell r="A20954" t="str">
            <v>VIALTECNO</v>
          </cell>
          <cell r="J20954">
            <v>0</v>
          </cell>
        </row>
        <row r="20955">
          <cell r="A20955" t="str">
            <v>VIALTECNO</v>
          </cell>
          <cell r="J20955">
            <v>0</v>
          </cell>
        </row>
        <row r="20956">
          <cell r="A20956" t="str">
            <v>VIALTECNO</v>
          </cell>
          <cell r="J20956">
            <v>0</v>
          </cell>
        </row>
        <row r="20957">
          <cell r="A20957" t="str">
            <v>VIALTECNO</v>
          </cell>
          <cell r="J20957">
            <v>0</v>
          </cell>
        </row>
        <row r="20958">
          <cell r="A20958" t="str">
            <v>VIALTECNO</v>
          </cell>
          <cell r="J20958">
            <v>0</v>
          </cell>
        </row>
        <row r="20959">
          <cell r="A20959" t="str">
            <v>VIALTECNO</v>
          </cell>
          <cell r="J20959">
            <v>0</v>
          </cell>
        </row>
        <row r="20960">
          <cell r="A20960" t="str">
            <v>VIALTECNO</v>
          </cell>
          <cell r="J20960">
            <v>0</v>
          </cell>
        </row>
        <row r="20961">
          <cell r="A20961" t="str">
            <v>VIALTECNO</v>
          </cell>
          <cell r="J20961">
            <v>0</v>
          </cell>
        </row>
        <row r="20962">
          <cell r="A20962" t="str">
            <v>VIALTECNO</v>
          </cell>
          <cell r="J20962">
            <v>0</v>
          </cell>
        </row>
        <row r="20963">
          <cell r="A20963" t="str">
            <v>VIALTECNO</v>
          </cell>
          <cell r="J20963">
            <v>0</v>
          </cell>
        </row>
        <row r="20964">
          <cell r="A20964" t="str">
            <v>VIALTECNO</v>
          </cell>
          <cell r="J20964">
            <v>0</v>
          </cell>
        </row>
        <row r="20965">
          <cell r="A20965" t="str">
            <v>VIALTECNO</v>
          </cell>
          <cell r="J20965">
            <v>0</v>
          </cell>
        </row>
        <row r="20966">
          <cell r="A20966" t="str">
            <v>VIALTECNO</v>
          </cell>
          <cell r="J20966">
            <v>0</v>
          </cell>
        </row>
        <row r="20967">
          <cell r="A20967" t="str">
            <v>VIALTECNO</v>
          </cell>
          <cell r="J20967">
            <v>0</v>
          </cell>
        </row>
        <row r="20968">
          <cell r="A20968" t="str">
            <v>VIALTECNO</v>
          </cell>
          <cell r="J20968">
            <v>0</v>
          </cell>
        </row>
        <row r="20969">
          <cell r="A20969" t="str">
            <v>VIALTECNO</v>
          </cell>
          <cell r="J20969">
            <v>0</v>
          </cell>
        </row>
        <row r="20970">
          <cell r="A20970" t="str">
            <v>VIALTECNO</v>
          </cell>
          <cell r="J20970">
            <v>0</v>
          </cell>
        </row>
        <row r="20971">
          <cell r="A20971" t="str">
            <v>VIALTECNO</v>
          </cell>
          <cell r="J20971">
            <v>0</v>
          </cell>
        </row>
        <row r="20972">
          <cell r="A20972" t="str">
            <v>VIALTECNO</v>
          </cell>
          <cell r="J20972">
            <v>0</v>
          </cell>
        </row>
        <row r="20973">
          <cell r="A20973" t="str">
            <v>VIALTECNO</v>
          </cell>
          <cell r="J20973">
            <v>0</v>
          </cell>
        </row>
        <row r="20974">
          <cell r="A20974" t="str">
            <v>VIALTECNO</v>
          </cell>
          <cell r="J20974">
            <v>0</v>
          </cell>
        </row>
        <row r="20975">
          <cell r="A20975" t="str">
            <v>VIALTECNO</v>
          </cell>
          <cell r="J20975">
            <v>0</v>
          </cell>
        </row>
        <row r="20976">
          <cell r="A20976" t="str">
            <v>VIALTECNO</v>
          </cell>
          <cell r="J20976">
            <v>0</v>
          </cell>
        </row>
        <row r="20977">
          <cell r="A20977" t="str">
            <v>VIALTECNO</v>
          </cell>
          <cell r="J20977">
            <v>0</v>
          </cell>
        </row>
        <row r="20978">
          <cell r="A20978" t="str">
            <v>VIALTECNO</v>
          </cell>
          <cell r="J20978">
            <v>0</v>
          </cell>
        </row>
        <row r="20979">
          <cell r="A20979" t="str">
            <v>VIALTECNO</v>
          </cell>
          <cell r="J20979">
            <v>0</v>
          </cell>
        </row>
        <row r="20980">
          <cell r="A20980" t="str">
            <v>VIALTECNO</v>
          </cell>
          <cell r="J20980">
            <v>0</v>
          </cell>
        </row>
        <row r="20981">
          <cell r="A20981" t="str">
            <v>VIALTECNO</v>
          </cell>
          <cell r="J20981">
            <v>0</v>
          </cell>
        </row>
        <row r="20982">
          <cell r="A20982" t="str">
            <v>VIALTECNO</v>
          </cell>
          <cell r="J20982">
            <v>0</v>
          </cell>
        </row>
        <row r="20983">
          <cell r="A20983" t="str">
            <v>VIALTECNO</v>
          </cell>
          <cell r="J20983">
            <v>0</v>
          </cell>
        </row>
        <row r="20984">
          <cell r="A20984" t="str">
            <v>VIALTECNO</v>
          </cell>
          <cell r="J20984">
            <v>0</v>
          </cell>
        </row>
        <row r="20985">
          <cell r="A20985" t="str">
            <v>VIALTECNO</v>
          </cell>
          <cell r="J20985">
            <v>0</v>
          </cell>
        </row>
        <row r="20986">
          <cell r="A20986" t="str">
            <v>VIALTECNO</v>
          </cell>
          <cell r="J20986">
            <v>0</v>
          </cell>
        </row>
        <row r="20987">
          <cell r="A20987" t="str">
            <v>VIALTECNO</v>
          </cell>
          <cell r="J20987">
            <v>0</v>
          </cell>
        </row>
        <row r="20988">
          <cell r="A20988" t="str">
            <v>VIALTECNO</v>
          </cell>
          <cell r="J20988">
            <v>0</v>
          </cell>
        </row>
        <row r="20989">
          <cell r="A20989" t="str">
            <v>VIALTECNO</v>
          </cell>
          <cell r="J20989">
            <v>0</v>
          </cell>
        </row>
        <row r="20990">
          <cell r="A20990" t="str">
            <v>VIALTECNO</v>
          </cell>
          <cell r="J20990">
            <v>0</v>
          </cell>
        </row>
        <row r="20991">
          <cell r="A20991" t="str">
            <v>VIALTECNO</v>
          </cell>
          <cell r="J20991">
            <v>0</v>
          </cell>
        </row>
        <row r="20992">
          <cell r="A20992" t="str">
            <v>VIALTECNO</v>
          </cell>
          <cell r="J20992">
            <v>0</v>
          </cell>
        </row>
        <row r="20993">
          <cell r="A20993" t="str">
            <v>VIALTECNO</v>
          </cell>
          <cell r="J20993">
            <v>0</v>
          </cell>
        </row>
        <row r="20994">
          <cell r="A20994" t="str">
            <v>VIALTECNO</v>
          </cell>
          <cell r="J20994">
            <v>0</v>
          </cell>
        </row>
        <row r="20995">
          <cell r="A20995" t="str">
            <v>VIALTECNO</v>
          </cell>
          <cell r="J20995">
            <v>0</v>
          </cell>
        </row>
        <row r="20996">
          <cell r="A20996" t="str">
            <v>VIALTECNO</v>
          </cell>
          <cell r="J20996">
            <v>0</v>
          </cell>
        </row>
        <row r="20997">
          <cell r="A20997" t="str">
            <v>VIALTECNO</v>
          </cell>
          <cell r="J20997">
            <v>0</v>
          </cell>
        </row>
        <row r="20998">
          <cell r="A20998" t="str">
            <v>VIALTECNO</v>
          </cell>
          <cell r="J20998">
            <v>0</v>
          </cell>
        </row>
        <row r="20999">
          <cell r="A20999" t="str">
            <v>VIALTECNO</v>
          </cell>
          <cell r="J20999">
            <v>0</v>
          </cell>
        </row>
        <row r="21000">
          <cell r="A21000" t="str">
            <v>VIALTECNO</v>
          </cell>
          <cell r="J21000">
            <v>0</v>
          </cell>
        </row>
        <row r="21001">
          <cell r="A21001" t="str">
            <v>VIALTECNO</v>
          </cell>
          <cell r="J21001">
            <v>0</v>
          </cell>
        </row>
        <row r="21002">
          <cell r="A21002" t="str">
            <v>VIALTECNO</v>
          </cell>
          <cell r="J21002">
            <v>0</v>
          </cell>
        </row>
        <row r="21003">
          <cell r="A21003" t="str">
            <v>VIALTECNO</v>
          </cell>
          <cell r="J21003">
            <v>0</v>
          </cell>
        </row>
        <row r="21004">
          <cell r="A21004" t="str">
            <v>VIALTECNO</v>
          </cell>
          <cell r="J21004">
            <v>0</v>
          </cell>
        </row>
        <row r="21005">
          <cell r="A21005" t="str">
            <v>VIALTECNO</v>
          </cell>
          <cell r="J21005">
            <v>0</v>
          </cell>
        </row>
        <row r="21006">
          <cell r="A21006" t="str">
            <v>VIALTECNO</v>
          </cell>
          <cell r="J21006">
            <v>0</v>
          </cell>
        </row>
        <row r="21007">
          <cell r="A21007" t="str">
            <v>VIALTECNO</v>
          </cell>
          <cell r="J21007">
            <v>0</v>
          </cell>
        </row>
        <row r="21008">
          <cell r="A21008" t="str">
            <v>VIALTECNO</v>
          </cell>
          <cell r="J21008">
            <v>0</v>
          </cell>
        </row>
        <row r="21009">
          <cell r="A21009" t="str">
            <v>VIALTECNO</v>
          </cell>
          <cell r="J21009">
            <v>0</v>
          </cell>
        </row>
        <row r="21010">
          <cell r="A21010" t="str">
            <v>VIALTECNO</v>
          </cell>
          <cell r="J21010">
            <v>0</v>
          </cell>
        </row>
        <row r="21011">
          <cell r="A21011" t="str">
            <v>VIALTECNO</v>
          </cell>
          <cell r="J21011">
            <v>0</v>
          </cell>
        </row>
        <row r="21012">
          <cell r="A21012" t="str">
            <v>VIALTECNO</v>
          </cell>
          <cell r="J21012">
            <v>0</v>
          </cell>
        </row>
        <row r="21013">
          <cell r="A21013" t="str">
            <v>VIALTECNO</v>
          </cell>
          <cell r="J21013">
            <v>0</v>
          </cell>
        </row>
        <row r="21014">
          <cell r="A21014" t="str">
            <v>VIALTECNO</v>
          </cell>
          <cell r="J21014">
            <v>0</v>
          </cell>
        </row>
        <row r="21015">
          <cell r="A21015" t="str">
            <v>VIALTECNO</v>
          </cell>
          <cell r="J21015">
            <v>0</v>
          </cell>
        </row>
        <row r="21016">
          <cell r="A21016" t="str">
            <v>VIALTECNO</v>
          </cell>
          <cell r="J21016">
            <v>0</v>
          </cell>
        </row>
        <row r="21017">
          <cell r="A21017" t="str">
            <v>VIALTECNO</v>
          </cell>
          <cell r="J21017">
            <v>0</v>
          </cell>
        </row>
        <row r="21018">
          <cell r="A21018" t="str">
            <v>VIALTECNO</v>
          </cell>
          <cell r="J21018">
            <v>0</v>
          </cell>
        </row>
        <row r="21019">
          <cell r="A21019" t="str">
            <v>VIALTECNO</v>
          </cell>
          <cell r="J21019">
            <v>0</v>
          </cell>
        </row>
        <row r="21020">
          <cell r="A21020" t="str">
            <v>VIALTECNO</v>
          </cell>
          <cell r="J21020">
            <v>0</v>
          </cell>
        </row>
        <row r="21021">
          <cell r="A21021" t="str">
            <v>VIALTECNO</v>
          </cell>
          <cell r="J21021">
            <v>0</v>
          </cell>
        </row>
        <row r="21022">
          <cell r="A21022" t="str">
            <v>VIALTECNO</v>
          </cell>
          <cell r="J21022">
            <v>0</v>
          </cell>
        </row>
        <row r="21023">
          <cell r="A21023" t="str">
            <v>VIALTECNO</v>
          </cell>
          <cell r="J21023">
            <v>0</v>
          </cell>
        </row>
        <row r="21024">
          <cell r="A21024" t="str">
            <v>VIALTECNO</v>
          </cell>
          <cell r="J21024">
            <v>0</v>
          </cell>
        </row>
        <row r="21025">
          <cell r="A21025" t="str">
            <v>VIALTECNO</v>
          </cell>
          <cell r="J21025">
            <v>0</v>
          </cell>
        </row>
        <row r="21026">
          <cell r="A21026" t="str">
            <v>VIALTECNO</v>
          </cell>
          <cell r="J21026">
            <v>0</v>
          </cell>
        </row>
        <row r="21027">
          <cell r="A21027" t="str">
            <v>VIALTECNO</v>
          </cell>
          <cell r="J21027">
            <v>0</v>
          </cell>
        </row>
        <row r="21028">
          <cell r="A21028" t="str">
            <v>VIALTECNO</v>
          </cell>
          <cell r="J21028">
            <v>0</v>
          </cell>
        </row>
        <row r="21029">
          <cell r="A21029" t="str">
            <v>VIALTECNO</v>
          </cell>
          <cell r="J21029">
            <v>0</v>
          </cell>
        </row>
        <row r="21030">
          <cell r="A21030" t="str">
            <v>VIALTECNO</v>
          </cell>
          <cell r="J21030">
            <v>0</v>
          </cell>
        </row>
        <row r="21031">
          <cell r="A21031" t="str">
            <v>VIALTECNO</v>
          </cell>
          <cell r="J21031">
            <v>0</v>
          </cell>
        </row>
        <row r="21032">
          <cell r="A21032" t="str">
            <v>VIALTECNO</v>
          </cell>
          <cell r="J21032">
            <v>0</v>
          </cell>
        </row>
        <row r="21033">
          <cell r="A21033" t="str">
            <v>VIALTECNO</v>
          </cell>
          <cell r="J21033">
            <v>0</v>
          </cell>
        </row>
        <row r="21034">
          <cell r="A21034" t="str">
            <v>VIALTECNO</v>
          </cell>
          <cell r="J21034">
            <v>0</v>
          </cell>
        </row>
        <row r="21035">
          <cell r="A21035" t="str">
            <v>VIALTECNO</v>
          </cell>
          <cell r="J21035">
            <v>0</v>
          </cell>
        </row>
        <row r="21036">
          <cell r="A21036" t="str">
            <v>VIALTECNO</v>
          </cell>
          <cell r="J21036">
            <v>0</v>
          </cell>
        </row>
        <row r="21037">
          <cell r="A21037" t="str">
            <v>VIALTECNO</v>
          </cell>
          <cell r="J21037">
            <v>0</v>
          </cell>
        </row>
        <row r="21038">
          <cell r="A21038" t="str">
            <v>VIALTECNO</v>
          </cell>
          <cell r="J21038">
            <v>0</v>
          </cell>
        </row>
        <row r="21039">
          <cell r="A21039" t="str">
            <v>VIALTECNO</v>
          </cell>
          <cell r="J21039">
            <v>0</v>
          </cell>
        </row>
        <row r="21040">
          <cell r="A21040" t="str">
            <v>VIALTECNO</v>
          </cell>
          <cell r="J21040">
            <v>0</v>
          </cell>
        </row>
        <row r="21041">
          <cell r="A21041" t="str">
            <v>VIALTECNO</v>
          </cell>
          <cell r="J21041">
            <v>0</v>
          </cell>
        </row>
        <row r="21042">
          <cell r="A21042" t="str">
            <v>VIALTECNO</v>
          </cell>
          <cell r="J21042">
            <v>0</v>
          </cell>
        </row>
        <row r="21043">
          <cell r="A21043" t="str">
            <v>VIALTECNO</v>
          </cell>
          <cell r="J21043">
            <v>0</v>
          </cell>
        </row>
        <row r="21044">
          <cell r="A21044" t="str">
            <v>VIALTECNO</v>
          </cell>
          <cell r="J21044">
            <v>0</v>
          </cell>
        </row>
        <row r="21045">
          <cell r="A21045" t="str">
            <v>VIALTECNO</v>
          </cell>
          <cell r="J21045">
            <v>0</v>
          </cell>
        </row>
        <row r="21046">
          <cell r="A21046" t="str">
            <v>VIALTECNO</v>
          </cell>
          <cell r="J21046">
            <v>0</v>
          </cell>
        </row>
        <row r="21047">
          <cell r="A21047" t="str">
            <v>VIALTECNO</v>
          </cell>
          <cell r="J21047">
            <v>0</v>
          </cell>
        </row>
        <row r="21048">
          <cell r="A21048" t="str">
            <v>VIALTECNO</v>
          </cell>
          <cell r="J21048">
            <v>0</v>
          </cell>
        </row>
        <row r="21049">
          <cell r="A21049" t="str">
            <v>VIALTECNO</v>
          </cell>
          <cell r="J21049">
            <v>0</v>
          </cell>
        </row>
        <row r="21050">
          <cell r="A21050" t="str">
            <v>VIALTECNO</v>
          </cell>
          <cell r="J21050">
            <v>0</v>
          </cell>
        </row>
        <row r="21051">
          <cell r="A21051" t="str">
            <v>VIALTECNO</v>
          </cell>
          <cell r="J21051">
            <v>0</v>
          </cell>
        </row>
        <row r="21052">
          <cell r="A21052" t="str">
            <v>VIALTECNO</v>
          </cell>
          <cell r="J21052">
            <v>0</v>
          </cell>
        </row>
        <row r="21053">
          <cell r="A21053" t="str">
            <v>VIALTECNO</v>
          </cell>
          <cell r="J21053">
            <v>0</v>
          </cell>
        </row>
        <row r="21054">
          <cell r="A21054" t="str">
            <v>VIALTECNO</v>
          </cell>
          <cell r="J21054">
            <v>0</v>
          </cell>
        </row>
        <row r="21055">
          <cell r="A21055" t="str">
            <v>VIALTECNO</v>
          </cell>
          <cell r="J21055">
            <v>0</v>
          </cell>
        </row>
        <row r="21056">
          <cell r="A21056" t="str">
            <v>VIALTECNO</v>
          </cell>
          <cell r="J21056">
            <v>0</v>
          </cell>
        </row>
        <row r="21057">
          <cell r="A21057" t="str">
            <v>VIALTECNO</v>
          </cell>
          <cell r="J21057">
            <v>0</v>
          </cell>
        </row>
        <row r="21058">
          <cell r="A21058" t="str">
            <v>VIALTECNO</v>
          </cell>
          <cell r="J21058">
            <v>0</v>
          </cell>
        </row>
        <row r="21059">
          <cell r="A21059" t="str">
            <v>VIALTECNO</v>
          </cell>
          <cell r="J21059">
            <v>0</v>
          </cell>
        </row>
        <row r="21060">
          <cell r="A21060" t="str">
            <v>VIALTECNO</v>
          </cell>
          <cell r="J21060">
            <v>0</v>
          </cell>
        </row>
        <row r="21061">
          <cell r="A21061" t="str">
            <v>VIALTECNO</v>
          </cell>
          <cell r="J21061">
            <v>0</v>
          </cell>
        </row>
        <row r="21062">
          <cell r="A21062" t="str">
            <v>VIALTECNO</v>
          </cell>
          <cell r="J21062">
            <v>0</v>
          </cell>
        </row>
        <row r="21063">
          <cell r="A21063" t="str">
            <v>VIALTECNO</v>
          </cell>
          <cell r="J21063">
            <v>0</v>
          </cell>
        </row>
        <row r="21064">
          <cell r="A21064" t="str">
            <v>VIALTECNO</v>
          </cell>
          <cell r="J21064">
            <v>0</v>
          </cell>
        </row>
        <row r="21065">
          <cell r="A21065" t="str">
            <v>VIALTECNO</v>
          </cell>
          <cell r="J21065">
            <v>0</v>
          </cell>
        </row>
        <row r="21066">
          <cell r="A21066" t="str">
            <v>VIALTECNO</v>
          </cell>
          <cell r="J21066">
            <v>0</v>
          </cell>
        </row>
        <row r="21067">
          <cell r="A21067" t="str">
            <v>VIALTECNO</v>
          </cell>
          <cell r="J21067">
            <v>0</v>
          </cell>
        </row>
        <row r="21068">
          <cell r="A21068" t="str">
            <v>VIALTECNO</v>
          </cell>
          <cell r="J21068">
            <v>0</v>
          </cell>
        </row>
        <row r="21069">
          <cell r="A21069" t="str">
            <v>VIALTECNO</v>
          </cell>
          <cell r="J21069">
            <v>0</v>
          </cell>
        </row>
        <row r="21070">
          <cell r="A21070" t="str">
            <v>VIALTECNO</v>
          </cell>
          <cell r="J21070">
            <v>0</v>
          </cell>
        </row>
        <row r="21071">
          <cell r="A21071" t="str">
            <v>VIALTECNO</v>
          </cell>
          <cell r="J21071">
            <v>0</v>
          </cell>
        </row>
        <row r="21072">
          <cell r="A21072" t="str">
            <v>VIALTECNO</v>
          </cell>
          <cell r="J21072">
            <v>0</v>
          </cell>
        </row>
        <row r="21073">
          <cell r="A21073" t="str">
            <v>VIALTECNO</v>
          </cell>
          <cell r="J21073">
            <v>0</v>
          </cell>
        </row>
        <row r="21074">
          <cell r="A21074" t="str">
            <v>VIALTECNO</v>
          </cell>
          <cell r="J21074">
            <v>0</v>
          </cell>
        </row>
        <row r="21075">
          <cell r="A21075" t="str">
            <v>VIALTECNO</v>
          </cell>
          <cell r="J21075">
            <v>0</v>
          </cell>
        </row>
        <row r="21076">
          <cell r="A21076" t="str">
            <v>VIALTECNO</v>
          </cell>
          <cell r="J21076">
            <v>0</v>
          </cell>
        </row>
        <row r="21077">
          <cell r="A21077" t="str">
            <v>VIALTECNO</v>
          </cell>
          <cell r="J21077">
            <v>0</v>
          </cell>
        </row>
        <row r="21078">
          <cell r="A21078" t="str">
            <v>VIALTECNO</v>
          </cell>
          <cell r="J21078">
            <v>0</v>
          </cell>
        </row>
        <row r="21079">
          <cell r="A21079" t="str">
            <v>VIALTECNO</v>
          </cell>
          <cell r="J21079">
            <v>0</v>
          </cell>
        </row>
        <row r="21080">
          <cell r="A21080" t="str">
            <v>VIALTECNO</v>
          </cell>
          <cell r="J21080">
            <v>0</v>
          </cell>
        </row>
        <row r="21081">
          <cell r="A21081" t="str">
            <v>VIALTECNO</v>
          </cell>
          <cell r="J21081">
            <v>0</v>
          </cell>
        </row>
        <row r="21082">
          <cell r="A21082" t="str">
            <v>VIALTECNO</v>
          </cell>
          <cell r="J21082">
            <v>0</v>
          </cell>
        </row>
        <row r="21083">
          <cell r="A21083" t="str">
            <v>VIALTECNO</v>
          </cell>
          <cell r="J21083">
            <v>0</v>
          </cell>
        </row>
        <row r="21084">
          <cell r="A21084" t="str">
            <v>VIALTECNO</v>
          </cell>
          <cell r="J21084">
            <v>0</v>
          </cell>
        </row>
        <row r="21085">
          <cell r="A21085" t="str">
            <v>VIALTECNO</v>
          </cell>
          <cell r="J21085">
            <v>0</v>
          </cell>
        </row>
        <row r="21086">
          <cell r="A21086" t="str">
            <v>VIALTECNO</v>
          </cell>
          <cell r="J21086">
            <v>0</v>
          </cell>
        </row>
        <row r="21087">
          <cell r="A21087" t="str">
            <v>VIALTECNO</v>
          </cell>
          <cell r="J21087">
            <v>0</v>
          </cell>
        </row>
        <row r="21088">
          <cell r="A21088" t="str">
            <v>VIALTECNO</v>
          </cell>
          <cell r="J21088">
            <v>0</v>
          </cell>
        </row>
        <row r="21089">
          <cell r="A21089" t="str">
            <v>VIALTECNO</v>
          </cell>
          <cell r="J21089">
            <v>0</v>
          </cell>
        </row>
        <row r="21090">
          <cell r="A21090" t="str">
            <v>VIALTECNO</v>
          </cell>
          <cell r="J21090">
            <v>0</v>
          </cell>
        </row>
        <row r="21091">
          <cell r="A21091" t="str">
            <v>VIALTECNO</v>
          </cell>
          <cell r="J21091">
            <v>0</v>
          </cell>
        </row>
        <row r="21092">
          <cell r="A21092" t="str">
            <v>VIALTECNO</v>
          </cell>
          <cell r="J21092">
            <v>0</v>
          </cell>
        </row>
        <row r="21093">
          <cell r="A21093" t="str">
            <v>VIALTECNO</v>
          </cell>
          <cell r="J21093">
            <v>0</v>
          </cell>
        </row>
        <row r="21094">
          <cell r="A21094" t="str">
            <v>VIALTECNO</v>
          </cell>
          <cell r="J21094">
            <v>0</v>
          </cell>
        </row>
        <row r="21095">
          <cell r="A21095" t="str">
            <v>VIALTECNO</v>
          </cell>
          <cell r="J21095">
            <v>0</v>
          </cell>
        </row>
        <row r="21096">
          <cell r="A21096" t="str">
            <v>VIALTECNO</v>
          </cell>
          <cell r="J21096">
            <v>0</v>
          </cell>
        </row>
        <row r="21097">
          <cell r="A21097" t="str">
            <v>VIALTECNO</v>
          </cell>
          <cell r="J21097">
            <v>0</v>
          </cell>
        </row>
        <row r="21098">
          <cell r="A21098" t="str">
            <v>VIALTECNO</v>
          </cell>
          <cell r="J21098">
            <v>0</v>
          </cell>
        </row>
        <row r="21099">
          <cell r="A21099" t="str">
            <v>VIALTECNO</v>
          </cell>
          <cell r="J21099">
            <v>0</v>
          </cell>
        </row>
        <row r="21100">
          <cell r="A21100" t="str">
            <v>VIALTECNO</v>
          </cell>
          <cell r="J21100">
            <v>0</v>
          </cell>
        </row>
        <row r="21101">
          <cell r="A21101" t="str">
            <v>VIALTECNO</v>
          </cell>
          <cell r="J21101">
            <v>0</v>
          </cell>
        </row>
        <row r="21102">
          <cell r="A21102" t="str">
            <v>VIALTECNO</v>
          </cell>
          <cell r="J21102">
            <v>0</v>
          </cell>
        </row>
        <row r="21103">
          <cell r="A21103" t="str">
            <v>VIALTECNO</v>
          </cell>
          <cell r="J21103">
            <v>0</v>
          </cell>
        </row>
        <row r="21104">
          <cell r="A21104" t="str">
            <v>VIALTECNO</v>
          </cell>
          <cell r="J21104">
            <v>0</v>
          </cell>
        </row>
        <row r="21105">
          <cell r="A21105" t="str">
            <v>VIALTECNO</v>
          </cell>
          <cell r="J21105">
            <v>0</v>
          </cell>
        </row>
        <row r="21106">
          <cell r="A21106" t="str">
            <v>VIALTECNO</v>
          </cell>
          <cell r="J21106">
            <v>0</v>
          </cell>
        </row>
        <row r="21107">
          <cell r="A21107" t="str">
            <v>VIALTECNO</v>
          </cell>
          <cell r="J21107">
            <v>0</v>
          </cell>
        </row>
        <row r="21108">
          <cell r="A21108" t="str">
            <v>VIALTECNO</v>
          </cell>
          <cell r="J21108">
            <v>0</v>
          </cell>
        </row>
        <row r="21109">
          <cell r="A21109" t="str">
            <v>VIALTECNO</v>
          </cell>
          <cell r="J21109">
            <v>0</v>
          </cell>
        </row>
        <row r="21110">
          <cell r="A21110" t="str">
            <v>VIALTECNO</v>
          </cell>
          <cell r="J21110">
            <v>0</v>
          </cell>
        </row>
        <row r="21111">
          <cell r="A21111" t="str">
            <v>VIALTECNO</v>
          </cell>
          <cell r="J21111">
            <v>0</v>
          </cell>
        </row>
        <row r="21112">
          <cell r="A21112" t="str">
            <v>VIALTECNO</v>
          </cell>
          <cell r="J21112">
            <v>0</v>
          </cell>
        </row>
        <row r="21113">
          <cell r="A21113" t="str">
            <v>VIALTECNO</v>
          </cell>
          <cell r="J21113">
            <v>0</v>
          </cell>
        </row>
        <row r="21114">
          <cell r="A21114" t="str">
            <v>VIALTECNO</v>
          </cell>
          <cell r="J21114">
            <v>0</v>
          </cell>
        </row>
        <row r="21115">
          <cell r="A21115" t="str">
            <v>VIALTECNO</v>
          </cell>
          <cell r="J21115">
            <v>0</v>
          </cell>
        </row>
        <row r="21116">
          <cell r="A21116" t="str">
            <v>VIALTECNO</v>
          </cell>
          <cell r="J21116">
            <v>0</v>
          </cell>
        </row>
        <row r="21117">
          <cell r="A21117" t="str">
            <v>VIALTECNO</v>
          </cell>
          <cell r="J21117">
            <v>0</v>
          </cell>
        </row>
        <row r="21118">
          <cell r="A21118" t="str">
            <v>VIALTECNO</v>
          </cell>
          <cell r="J21118">
            <v>0</v>
          </cell>
        </row>
        <row r="21119">
          <cell r="A21119" t="str">
            <v>VIALTECNO</v>
          </cell>
          <cell r="J21119">
            <v>0</v>
          </cell>
        </row>
        <row r="21120">
          <cell r="A21120" t="str">
            <v>VIALTECNO</v>
          </cell>
          <cell r="J21120">
            <v>0</v>
          </cell>
        </row>
        <row r="21121">
          <cell r="A21121" t="str">
            <v>VIALTECNO</v>
          </cell>
          <cell r="J21121">
            <v>0</v>
          </cell>
        </row>
        <row r="21122">
          <cell r="A21122" t="str">
            <v>VIALTECNO</v>
          </cell>
          <cell r="J21122">
            <v>0</v>
          </cell>
        </row>
        <row r="21123">
          <cell r="A21123" t="str">
            <v>VIALTECNO</v>
          </cell>
          <cell r="J21123">
            <v>0</v>
          </cell>
        </row>
        <row r="21124">
          <cell r="A21124" t="str">
            <v>VIALTECNO</v>
          </cell>
          <cell r="J21124">
            <v>0</v>
          </cell>
        </row>
        <row r="21125">
          <cell r="A21125" t="str">
            <v>VIALTECNO</v>
          </cell>
          <cell r="J21125">
            <v>0</v>
          </cell>
        </row>
        <row r="21126">
          <cell r="A21126" t="str">
            <v>VIALTECNO</v>
          </cell>
          <cell r="J21126">
            <v>0</v>
          </cell>
        </row>
        <row r="21127">
          <cell r="A21127" t="str">
            <v>VIALTECNO</v>
          </cell>
          <cell r="J21127">
            <v>0</v>
          </cell>
        </row>
        <row r="21128">
          <cell r="A21128" t="str">
            <v>VIALTECNO</v>
          </cell>
          <cell r="J21128">
            <v>0</v>
          </cell>
        </row>
        <row r="21129">
          <cell r="A21129" t="str">
            <v>VIALTECNO</v>
          </cell>
          <cell r="J21129">
            <v>0</v>
          </cell>
        </row>
        <row r="21130">
          <cell r="A21130" t="str">
            <v>VIALTECNO</v>
          </cell>
          <cell r="J21130">
            <v>0</v>
          </cell>
        </row>
        <row r="21131">
          <cell r="A21131" t="str">
            <v>VIALTECNO</v>
          </cell>
          <cell r="J21131">
            <v>0</v>
          </cell>
        </row>
        <row r="21132">
          <cell r="J21132">
            <v>0</v>
          </cell>
        </row>
        <row r="21133">
          <cell r="J21133">
            <v>0</v>
          </cell>
        </row>
        <row r="21134">
          <cell r="J21134">
            <v>0</v>
          </cell>
        </row>
        <row r="21135">
          <cell r="A21135" t="str">
            <v>LABORATORIO</v>
          </cell>
          <cell r="B21135" t="str">
            <v>101-00000-000-0000</v>
          </cell>
          <cell r="J21135">
            <v>39530.129999999997</v>
          </cell>
        </row>
        <row r="21136">
          <cell r="A21136" t="str">
            <v>LABORATORIO</v>
          </cell>
          <cell r="B21136" t="str">
            <v>101-00002-000-0000</v>
          </cell>
          <cell r="J21136">
            <v>15660.72</v>
          </cell>
        </row>
        <row r="21137">
          <cell r="A21137" t="str">
            <v>LABORATORIO</v>
          </cell>
          <cell r="B21137" t="str">
            <v>101-00002-003-0000</v>
          </cell>
          <cell r="J21137">
            <v>15660.72</v>
          </cell>
        </row>
        <row r="21138">
          <cell r="A21138" t="str">
            <v>LABORATORIO</v>
          </cell>
          <cell r="B21138" t="str">
            <v>101-00002-003-0019</v>
          </cell>
          <cell r="J21138">
            <v>15660.72</v>
          </cell>
        </row>
        <row r="21139">
          <cell r="A21139" t="str">
            <v>LABORATORIO</v>
          </cell>
          <cell r="B21139" t="str">
            <v>101-00008-000-0000</v>
          </cell>
          <cell r="J21139">
            <v>22205</v>
          </cell>
        </row>
        <row r="21140">
          <cell r="A21140" t="str">
            <v>LABORATORIO</v>
          </cell>
          <cell r="B21140" t="str">
            <v>101-00008-002-0000</v>
          </cell>
          <cell r="J21140">
            <v>22205</v>
          </cell>
        </row>
        <row r="21141">
          <cell r="A21141" t="str">
            <v>LABORATORIO</v>
          </cell>
          <cell r="B21141" t="str">
            <v>101-00010-000-0000</v>
          </cell>
          <cell r="J21141">
            <v>0</v>
          </cell>
        </row>
        <row r="21142">
          <cell r="A21142" t="str">
            <v>LABORATORIO</v>
          </cell>
          <cell r="B21142" t="str">
            <v>101-00010-001-0000</v>
          </cell>
          <cell r="J21142">
            <v>0</v>
          </cell>
        </row>
        <row r="21143">
          <cell r="A21143" t="str">
            <v>LABORATORIO</v>
          </cell>
          <cell r="B21143" t="str">
            <v>101-00011-000-0000</v>
          </cell>
          <cell r="J21143">
            <v>1664.41</v>
          </cell>
        </row>
        <row r="21144">
          <cell r="A21144" t="str">
            <v>LABORATORIO</v>
          </cell>
          <cell r="B21144" t="str">
            <v>101-00011-001-0000</v>
          </cell>
          <cell r="J21144">
            <v>1664.41</v>
          </cell>
        </row>
        <row r="21145">
          <cell r="A21145" t="str">
            <v>LABORATORIO</v>
          </cell>
          <cell r="B21145" t="str">
            <v>201-00000-000-0000</v>
          </cell>
          <cell r="J21145">
            <v>-1379.31</v>
          </cell>
        </row>
        <row r="21146">
          <cell r="A21146" t="str">
            <v>LABORATORIO</v>
          </cell>
          <cell r="B21146" t="str">
            <v>201-00002-000-0000</v>
          </cell>
          <cell r="J21146">
            <v>0</v>
          </cell>
        </row>
        <row r="21147">
          <cell r="A21147" t="str">
            <v>LABORATORIO</v>
          </cell>
          <cell r="B21147" t="str">
            <v>201-00002-002-0000</v>
          </cell>
          <cell r="J21147">
            <v>0</v>
          </cell>
        </row>
        <row r="21148">
          <cell r="A21148" t="str">
            <v>LABORATORIO</v>
          </cell>
          <cell r="B21148" t="str">
            <v>201-00002-002-0236</v>
          </cell>
          <cell r="J21148">
            <v>0</v>
          </cell>
        </row>
        <row r="21149">
          <cell r="A21149" t="str">
            <v>LABORATORIO</v>
          </cell>
          <cell r="B21149" t="str">
            <v>201-00002-002-0306</v>
          </cell>
          <cell r="J21149">
            <v>0</v>
          </cell>
        </row>
        <row r="21150">
          <cell r="A21150" t="str">
            <v>LABORATORIO</v>
          </cell>
          <cell r="B21150" t="str">
            <v>201-00002-002-3122</v>
          </cell>
          <cell r="J21150">
            <v>0</v>
          </cell>
        </row>
        <row r="21151">
          <cell r="A21151" t="str">
            <v>LABORATORIO</v>
          </cell>
          <cell r="B21151" t="str">
            <v>201-00010-000-0000</v>
          </cell>
          <cell r="J21151">
            <v>-1379.31</v>
          </cell>
        </row>
        <row r="21152">
          <cell r="A21152" t="str">
            <v>LABORATORIO</v>
          </cell>
          <cell r="B21152" t="str">
            <v>201-00010-001-0000</v>
          </cell>
          <cell r="J21152">
            <v>-1379.31</v>
          </cell>
        </row>
        <row r="21153">
          <cell r="A21153" t="str">
            <v>LABORATORIO</v>
          </cell>
          <cell r="B21153" t="str">
            <v>202-00000-000-0000</v>
          </cell>
          <cell r="J21153">
            <v>-36000.01</v>
          </cell>
        </row>
        <row r="21154">
          <cell r="A21154" t="str">
            <v>LABORATORIO</v>
          </cell>
          <cell r="B21154" t="str">
            <v>202-00001-000-0000</v>
          </cell>
          <cell r="J21154">
            <v>-36000.01</v>
          </cell>
        </row>
        <row r="21155">
          <cell r="A21155" t="str">
            <v>LABORATORIO</v>
          </cell>
          <cell r="B21155" t="str">
            <v>202-00001-009-0000</v>
          </cell>
          <cell r="J21155">
            <v>-36000.01</v>
          </cell>
        </row>
        <row r="21156">
          <cell r="A21156" t="str">
            <v>LABORATORIO</v>
          </cell>
          <cell r="B21156" t="str">
            <v>202-00001-009-0468</v>
          </cell>
          <cell r="J21156">
            <v>-26000.01</v>
          </cell>
        </row>
        <row r="21157">
          <cell r="A21157" t="str">
            <v>LABORATORIO</v>
          </cell>
          <cell r="B21157" t="str">
            <v>202-00001-009-2300</v>
          </cell>
          <cell r="J21157">
            <v>-10000</v>
          </cell>
        </row>
        <row r="21158">
          <cell r="A21158" t="str">
            <v>LABORATORIO</v>
          </cell>
          <cell r="B21158" t="str">
            <v>301-00000-000-0000</v>
          </cell>
          <cell r="J21158">
            <v>-3932.71</v>
          </cell>
        </row>
        <row r="21159">
          <cell r="A21159" t="str">
            <v>LABORATORIO</v>
          </cell>
          <cell r="B21159" t="str">
            <v>301-00001-000-0000</v>
          </cell>
          <cell r="J21159">
            <v>-150000</v>
          </cell>
        </row>
        <row r="21160">
          <cell r="A21160" t="str">
            <v>LABORATORIO</v>
          </cell>
          <cell r="B21160" t="str">
            <v>301-00001-001-0000</v>
          </cell>
          <cell r="J21160">
            <v>-50000</v>
          </cell>
        </row>
        <row r="21161">
          <cell r="A21161" t="str">
            <v>LABORATORIO</v>
          </cell>
          <cell r="B21161" t="str">
            <v>301-00001-002-0000</v>
          </cell>
          <cell r="J21161">
            <v>-100000</v>
          </cell>
        </row>
        <row r="21162">
          <cell r="A21162" t="str">
            <v>LABORATORIO</v>
          </cell>
          <cell r="B21162" t="str">
            <v>301-00004-000-0000</v>
          </cell>
          <cell r="J21162">
            <v>146067.29</v>
          </cell>
        </row>
        <row r="21163">
          <cell r="A21163" t="str">
            <v>LABORATORIO</v>
          </cell>
          <cell r="B21163" t="str">
            <v>301-00004-008-0000</v>
          </cell>
          <cell r="J21163">
            <v>14811.05</v>
          </cell>
        </row>
        <row r="21164">
          <cell r="A21164" t="str">
            <v>LABORATORIO</v>
          </cell>
          <cell r="B21164" t="str">
            <v>301-00004-009-0000</v>
          </cell>
          <cell r="J21164">
            <v>35753.129999999997</v>
          </cell>
        </row>
        <row r="21165">
          <cell r="A21165" t="str">
            <v>LABORATORIO</v>
          </cell>
          <cell r="B21165" t="str">
            <v>301-00004-010-0000</v>
          </cell>
          <cell r="J21165">
            <v>51364.4</v>
          </cell>
        </row>
        <row r="21166">
          <cell r="A21166" t="str">
            <v>LABORATORIO</v>
          </cell>
          <cell r="B21166" t="str">
            <v>301-00004-011-0000</v>
          </cell>
          <cell r="J21166">
            <v>19667.61</v>
          </cell>
        </row>
        <row r="21167">
          <cell r="A21167" t="str">
            <v>LABORATORIO</v>
          </cell>
          <cell r="B21167" t="str">
            <v>301-00004-012-0000</v>
          </cell>
          <cell r="J21167">
            <v>19060.599999999999</v>
          </cell>
        </row>
        <row r="21168">
          <cell r="A21168" t="str">
            <v>LABORATORIO</v>
          </cell>
          <cell r="B21168" t="str">
            <v>301-00004-013-0000</v>
          </cell>
          <cell r="J21168">
            <v>16364.43</v>
          </cell>
        </row>
        <row r="21169">
          <cell r="A21169" t="str">
            <v>LABORATORIO</v>
          </cell>
          <cell r="B21169" t="str">
            <v>301-00004-014-0000</v>
          </cell>
          <cell r="J21169">
            <v>-722.74</v>
          </cell>
        </row>
        <row r="21170">
          <cell r="A21170" t="str">
            <v>LABORATORIO</v>
          </cell>
          <cell r="B21170" t="str">
            <v>301-00004-015-0000</v>
          </cell>
          <cell r="J21170">
            <v>-610.42999999999995</v>
          </cell>
        </row>
        <row r="21171">
          <cell r="A21171" t="str">
            <v>LABORATORIO</v>
          </cell>
          <cell r="B21171" t="str">
            <v>301-00004-016-0000</v>
          </cell>
          <cell r="J21171">
            <v>-708.64</v>
          </cell>
        </row>
        <row r="21172">
          <cell r="A21172" t="str">
            <v>LABORATORIO</v>
          </cell>
          <cell r="B21172" t="str">
            <v>301-00004-017-0000</v>
          </cell>
          <cell r="J21172">
            <v>-8912.1200000000008</v>
          </cell>
        </row>
        <row r="21173">
          <cell r="A21173" t="str">
            <v>LABORATORIO</v>
          </cell>
          <cell r="B21173" t="str">
            <v>411-00000-000-0000</v>
          </cell>
          <cell r="J21173">
            <v>-8620.69</v>
          </cell>
        </row>
        <row r="21174">
          <cell r="A21174" t="str">
            <v>LABORATORIO</v>
          </cell>
          <cell r="B21174" t="str">
            <v>411-26777-000-0000</v>
          </cell>
          <cell r="J21174">
            <v>-8620.69</v>
          </cell>
        </row>
        <row r="21175">
          <cell r="A21175" t="str">
            <v>LABORATORIO</v>
          </cell>
          <cell r="B21175" t="str">
            <v>411-26777-004-0000</v>
          </cell>
          <cell r="J21175">
            <v>-8620.69</v>
          </cell>
        </row>
        <row r="21176">
          <cell r="A21176" t="str">
            <v>LABORATORIO</v>
          </cell>
          <cell r="B21176" t="str">
            <v>411-26777-004-0468</v>
          </cell>
          <cell r="J21176">
            <v>-8620.69</v>
          </cell>
        </row>
        <row r="21177">
          <cell r="A21177" t="str">
            <v>LABORATORIO</v>
          </cell>
          <cell r="B21177" t="str">
            <v>650-00000-000-0000</v>
          </cell>
          <cell r="J21177">
            <v>10362.59</v>
          </cell>
        </row>
        <row r="21178">
          <cell r="A21178" t="str">
            <v>LABORATORIO</v>
          </cell>
          <cell r="B21178" t="str">
            <v>650-99999-000-0000</v>
          </cell>
          <cell r="J21178">
            <v>10362.59</v>
          </cell>
        </row>
        <row r="21179">
          <cell r="A21179" t="str">
            <v>LABORATORIO</v>
          </cell>
          <cell r="B21179" t="str">
            <v>650-99999-010-0000</v>
          </cell>
          <cell r="J21179">
            <v>8935</v>
          </cell>
        </row>
        <row r="21180">
          <cell r="A21180" t="str">
            <v>LABORATORIO</v>
          </cell>
          <cell r="B21180" t="str">
            <v>650-99999-010-0001</v>
          </cell>
          <cell r="J21180">
            <v>8935</v>
          </cell>
        </row>
        <row r="21181">
          <cell r="A21181" t="str">
            <v>LABORATORIO</v>
          </cell>
          <cell r="B21181" t="str">
            <v>650-99999-012-0000</v>
          </cell>
          <cell r="J21181">
            <v>1427.59</v>
          </cell>
        </row>
        <row r="21182">
          <cell r="A21182" t="str">
            <v>LABORATORIO</v>
          </cell>
          <cell r="B21182" t="str">
            <v>650-99999-012-0001</v>
          </cell>
          <cell r="J21182">
            <v>1427.59</v>
          </cell>
        </row>
        <row r="21183">
          <cell r="A21183" t="str">
            <v>LABORATORIO</v>
          </cell>
          <cell r="B21183" t="str">
            <v>710-00000-000-0000</v>
          </cell>
          <cell r="J21183">
            <v>40</v>
          </cell>
        </row>
        <row r="21184">
          <cell r="A21184" t="str">
            <v>LABORATORIO</v>
          </cell>
          <cell r="B21184" t="str">
            <v>710-99999-000-0000</v>
          </cell>
          <cell r="J21184">
            <v>40</v>
          </cell>
        </row>
        <row r="21185">
          <cell r="A21185" t="str">
            <v>LABORATORIO</v>
          </cell>
          <cell r="B21185" t="str">
            <v>710-99999-002-0000</v>
          </cell>
          <cell r="J21185">
            <v>40</v>
          </cell>
        </row>
        <row r="21186">
          <cell r="A21186" t="str">
            <v>LABORATORIO</v>
          </cell>
          <cell r="B21186" t="str">
            <v>710-99999-002-0001</v>
          </cell>
          <cell r="J21186">
            <v>40</v>
          </cell>
        </row>
        <row r="21187">
          <cell r="A21187" t="str">
            <v>LABORATORIO</v>
          </cell>
          <cell r="J21187">
            <v>0</v>
          </cell>
        </row>
        <row r="21188">
          <cell r="A21188" t="str">
            <v>LABORATORIO</v>
          </cell>
          <cell r="J21188">
            <v>0</v>
          </cell>
        </row>
        <row r="21189">
          <cell r="A21189" t="str">
            <v>LABORATORIO</v>
          </cell>
          <cell r="J21189">
            <v>0</v>
          </cell>
        </row>
        <row r="21190">
          <cell r="A21190" t="str">
            <v>LABORATORIO</v>
          </cell>
          <cell r="J21190">
            <v>0</v>
          </cell>
        </row>
        <row r="21191">
          <cell r="A21191" t="str">
            <v>LABORATORIO</v>
          </cell>
          <cell r="J21191">
            <v>0</v>
          </cell>
        </row>
        <row r="21192">
          <cell r="A21192" t="str">
            <v>LABORATORIO</v>
          </cell>
          <cell r="J21192">
            <v>0</v>
          </cell>
        </row>
        <row r="21193">
          <cell r="A21193" t="str">
            <v>LABORATORIO</v>
          </cell>
          <cell r="J21193">
            <v>0</v>
          </cell>
        </row>
        <row r="21194">
          <cell r="A21194" t="str">
            <v>LABORATORIO</v>
          </cell>
          <cell r="J21194">
            <v>0</v>
          </cell>
        </row>
        <row r="21195">
          <cell r="A21195" t="str">
            <v>LABORATORIO</v>
          </cell>
          <cell r="J21195">
            <v>0</v>
          </cell>
        </row>
        <row r="21196">
          <cell r="A21196" t="str">
            <v>LABORATORIO</v>
          </cell>
          <cell r="J21196">
            <v>0</v>
          </cell>
        </row>
        <row r="21197">
          <cell r="A21197" t="str">
            <v>LABORATORIO</v>
          </cell>
          <cell r="J21197">
            <v>0</v>
          </cell>
        </row>
        <row r="21198">
          <cell r="A21198" t="str">
            <v>LABORATORIO</v>
          </cell>
          <cell r="J21198">
            <v>0</v>
          </cell>
        </row>
        <row r="21199">
          <cell r="A21199" t="str">
            <v>LABORATORIO</v>
          </cell>
          <cell r="J21199">
            <v>0</v>
          </cell>
        </row>
        <row r="21200">
          <cell r="A21200" t="str">
            <v>LABORATORIO</v>
          </cell>
          <cell r="J21200">
            <v>0</v>
          </cell>
        </row>
        <row r="21201">
          <cell r="A21201" t="str">
            <v>LABORATORIO</v>
          </cell>
          <cell r="J21201">
            <v>0</v>
          </cell>
        </row>
        <row r="21202">
          <cell r="A21202" t="str">
            <v>LABORATORIO</v>
          </cell>
          <cell r="J21202">
            <v>0</v>
          </cell>
        </row>
        <row r="21203">
          <cell r="A21203" t="str">
            <v>LABORATORIO</v>
          </cell>
          <cell r="J21203">
            <v>0</v>
          </cell>
        </row>
        <row r="21204">
          <cell r="A21204" t="str">
            <v>LABORATORIO</v>
          </cell>
          <cell r="J21204">
            <v>0</v>
          </cell>
        </row>
        <row r="21205">
          <cell r="A21205" t="str">
            <v>LABORATORIO</v>
          </cell>
          <cell r="J21205">
            <v>0</v>
          </cell>
        </row>
        <row r="21206">
          <cell r="A21206" t="str">
            <v>LABORATORIO</v>
          </cell>
          <cell r="J21206">
            <v>0</v>
          </cell>
        </row>
        <row r="21207">
          <cell r="A21207" t="str">
            <v>LABORATORIO</v>
          </cell>
          <cell r="J21207">
            <v>0</v>
          </cell>
        </row>
        <row r="21208">
          <cell r="A21208" t="str">
            <v>LABORATORIO</v>
          </cell>
          <cell r="J21208">
            <v>0</v>
          </cell>
        </row>
        <row r="21209">
          <cell r="A21209" t="str">
            <v>LABORATORIO</v>
          </cell>
          <cell r="J21209">
            <v>0</v>
          </cell>
        </row>
        <row r="21210">
          <cell r="A21210" t="str">
            <v>LABORATORIO</v>
          </cell>
          <cell r="J21210">
            <v>0</v>
          </cell>
        </row>
        <row r="21211">
          <cell r="A21211" t="str">
            <v>LABORATORIO</v>
          </cell>
          <cell r="J21211">
            <v>0</v>
          </cell>
        </row>
        <row r="21212">
          <cell r="A21212" t="str">
            <v>LABORATORIO</v>
          </cell>
          <cell r="J21212">
            <v>0</v>
          </cell>
        </row>
        <row r="21213">
          <cell r="A21213" t="str">
            <v>LABORATORIO</v>
          </cell>
          <cell r="J21213">
            <v>0</v>
          </cell>
        </row>
        <row r="21214">
          <cell r="A21214" t="str">
            <v>LABORATORIO</v>
          </cell>
          <cell r="J21214">
            <v>0</v>
          </cell>
        </row>
        <row r="21215">
          <cell r="A21215" t="str">
            <v>LABORATORIO</v>
          </cell>
          <cell r="J21215">
            <v>0</v>
          </cell>
        </row>
        <row r="21216">
          <cell r="A21216" t="str">
            <v>LABORATORIO</v>
          </cell>
          <cell r="J21216">
            <v>0</v>
          </cell>
        </row>
        <row r="21217">
          <cell r="A21217" t="str">
            <v>LABORATORIO</v>
          </cell>
          <cell r="J21217">
            <v>0</v>
          </cell>
        </row>
        <row r="21218">
          <cell r="A21218" t="str">
            <v>LABORATORIO</v>
          </cell>
          <cell r="J21218">
            <v>0</v>
          </cell>
        </row>
        <row r="21219">
          <cell r="A21219" t="str">
            <v>LABORATORIO</v>
          </cell>
          <cell r="J21219">
            <v>0</v>
          </cell>
        </row>
        <row r="21220">
          <cell r="A21220" t="str">
            <v>LABORATORIO</v>
          </cell>
          <cell r="J21220">
            <v>0</v>
          </cell>
        </row>
        <row r="21221">
          <cell r="A21221" t="str">
            <v>LABORATORIO</v>
          </cell>
          <cell r="J21221">
            <v>0</v>
          </cell>
        </row>
        <row r="21222">
          <cell r="A21222" t="str">
            <v>LABORATORIO</v>
          </cell>
          <cell r="J21222">
            <v>0</v>
          </cell>
        </row>
        <row r="21223">
          <cell r="A21223" t="str">
            <v>LABORATORIO</v>
          </cell>
          <cell r="J21223">
            <v>0</v>
          </cell>
        </row>
        <row r="21224">
          <cell r="A21224" t="str">
            <v>LABORATORIO</v>
          </cell>
          <cell r="J21224">
            <v>0</v>
          </cell>
        </row>
        <row r="21225">
          <cell r="A21225" t="str">
            <v>LABORATORIO</v>
          </cell>
          <cell r="J21225">
            <v>0</v>
          </cell>
        </row>
        <row r="21226">
          <cell r="A21226" t="str">
            <v>LABORATORIO</v>
          </cell>
          <cell r="J21226">
            <v>0</v>
          </cell>
        </row>
        <row r="21227">
          <cell r="A21227" t="str">
            <v>LABORATORIO</v>
          </cell>
          <cell r="J21227">
            <v>0</v>
          </cell>
        </row>
        <row r="21228">
          <cell r="A21228" t="str">
            <v>LABORATORIO</v>
          </cell>
          <cell r="J21228">
            <v>0</v>
          </cell>
        </row>
        <row r="21229">
          <cell r="A21229" t="str">
            <v>LABORATORIO</v>
          </cell>
          <cell r="J21229">
            <v>0</v>
          </cell>
        </row>
        <row r="21230">
          <cell r="A21230" t="str">
            <v>LABORATORIO</v>
          </cell>
          <cell r="J21230">
            <v>0</v>
          </cell>
        </row>
        <row r="21231">
          <cell r="A21231" t="str">
            <v>LABORATORIO</v>
          </cell>
          <cell r="J21231">
            <v>0</v>
          </cell>
        </row>
        <row r="21232">
          <cell r="A21232" t="str">
            <v>LABORATORIO</v>
          </cell>
          <cell r="J21232">
            <v>0</v>
          </cell>
        </row>
        <row r="21233">
          <cell r="A21233" t="str">
            <v>LABORATORIO</v>
          </cell>
          <cell r="J21233">
            <v>0</v>
          </cell>
        </row>
        <row r="21234">
          <cell r="J21234">
            <v>0</v>
          </cell>
        </row>
        <row r="21235">
          <cell r="J21235">
            <v>0</v>
          </cell>
        </row>
        <row r="21236">
          <cell r="J21236">
            <v>0</v>
          </cell>
        </row>
        <row r="21237">
          <cell r="A21237" t="str">
            <v>GRUPO FPSB</v>
          </cell>
          <cell r="B21237" t="str">
            <v>101-00000-000-0000</v>
          </cell>
          <cell r="J21237">
            <v>11394995.65</v>
          </cell>
        </row>
        <row r="21238">
          <cell r="A21238" t="str">
            <v>GRUPO FPSB</v>
          </cell>
          <cell r="B21238" t="str">
            <v>101-00002-000-0000</v>
          </cell>
          <cell r="J21238">
            <v>40473.64</v>
          </cell>
        </row>
        <row r="21239">
          <cell r="A21239" t="str">
            <v>GRUPO FPSB</v>
          </cell>
          <cell r="B21239" t="str">
            <v>101-00002-003-0000</v>
          </cell>
          <cell r="J21239">
            <v>40473.64</v>
          </cell>
        </row>
        <row r="21240">
          <cell r="A21240" t="str">
            <v>GRUPO FPSB</v>
          </cell>
          <cell r="B21240" t="str">
            <v>101-00002-003-0020</v>
          </cell>
          <cell r="J21240">
            <v>40473.64</v>
          </cell>
        </row>
        <row r="21241">
          <cell r="A21241" t="str">
            <v>GRUPO FPSB</v>
          </cell>
          <cell r="B21241" t="str">
            <v>101-00006-000-0000</v>
          </cell>
          <cell r="J21241">
            <v>387288</v>
          </cell>
        </row>
        <row r="21242">
          <cell r="A21242" t="str">
            <v>GRUPO FPSB</v>
          </cell>
          <cell r="B21242" t="str">
            <v>101-00006-001-0000</v>
          </cell>
          <cell r="J21242">
            <v>387288</v>
          </cell>
        </row>
        <row r="21243">
          <cell r="A21243" t="str">
            <v>GRUPO FPSB</v>
          </cell>
          <cell r="B21243" t="str">
            <v>101-00006-001-0089</v>
          </cell>
          <cell r="J21243">
            <v>387288</v>
          </cell>
        </row>
        <row r="21244">
          <cell r="A21244" t="str">
            <v>GRUPO FPSB</v>
          </cell>
          <cell r="B21244" t="str">
            <v>101-00007-000-0000</v>
          </cell>
          <cell r="J21244">
            <v>2334365</v>
          </cell>
        </row>
        <row r="21245">
          <cell r="A21245" t="str">
            <v>GRUPO FPSB</v>
          </cell>
          <cell r="B21245" t="str">
            <v>101-00007-080-0000</v>
          </cell>
          <cell r="J21245">
            <v>2334365</v>
          </cell>
        </row>
        <row r="21246">
          <cell r="A21246" t="str">
            <v>GRUPO FPSB</v>
          </cell>
          <cell r="B21246" t="str">
            <v>101-00008-000-0000</v>
          </cell>
          <cell r="J21246">
            <v>29512</v>
          </cell>
        </row>
        <row r="21247">
          <cell r="A21247" t="str">
            <v>GRUPO FPSB</v>
          </cell>
          <cell r="B21247" t="str">
            <v>101-00008-002-0000</v>
          </cell>
          <cell r="J21247">
            <v>10221</v>
          </cell>
        </row>
        <row r="21248">
          <cell r="A21248" t="str">
            <v>GRUPO FPSB</v>
          </cell>
          <cell r="B21248" t="str">
            <v>101-00008-003-0000</v>
          </cell>
          <cell r="J21248">
            <v>11203</v>
          </cell>
        </row>
        <row r="21249">
          <cell r="A21249" t="str">
            <v>GRUPO FPSB</v>
          </cell>
          <cell r="B21249" t="str">
            <v>101-00008-004-0000</v>
          </cell>
          <cell r="J21249">
            <v>8088</v>
          </cell>
        </row>
        <row r="21250">
          <cell r="A21250" t="str">
            <v>GRUPO FPSB</v>
          </cell>
          <cell r="B21250" t="str">
            <v>101-00009-000-0000</v>
          </cell>
          <cell r="J21250">
            <v>1281</v>
          </cell>
        </row>
        <row r="21251">
          <cell r="A21251" t="str">
            <v>GRUPO FPSB</v>
          </cell>
          <cell r="B21251" t="str">
            <v>101-00009-006-0000</v>
          </cell>
          <cell r="J21251">
            <v>1281</v>
          </cell>
        </row>
        <row r="21252">
          <cell r="A21252" t="str">
            <v>GRUPO FPSB</v>
          </cell>
          <cell r="B21252" t="str">
            <v>101-00010-000-0000</v>
          </cell>
          <cell r="J21252">
            <v>323200</v>
          </cell>
        </row>
        <row r="21253">
          <cell r="A21253" t="str">
            <v>GRUPO FPSB</v>
          </cell>
          <cell r="B21253" t="str">
            <v>101-00010-001-0000</v>
          </cell>
          <cell r="J21253">
            <v>323200</v>
          </cell>
        </row>
        <row r="21254">
          <cell r="A21254" t="str">
            <v>GRUPO FPSB</v>
          </cell>
          <cell r="B21254" t="str">
            <v>101-00011-000-0000</v>
          </cell>
          <cell r="J21254">
            <v>4084.32</v>
          </cell>
        </row>
        <row r="21255">
          <cell r="A21255" t="str">
            <v>GRUPO FPSB</v>
          </cell>
          <cell r="B21255" t="str">
            <v>101-00011-001-0000</v>
          </cell>
          <cell r="J21255">
            <v>4084.32</v>
          </cell>
        </row>
        <row r="21256">
          <cell r="A21256" t="str">
            <v>GRUPO FPSB</v>
          </cell>
          <cell r="B21256" t="str">
            <v>101-00013-000-0000</v>
          </cell>
          <cell r="J21256">
            <v>52291.66</v>
          </cell>
        </row>
        <row r="21257">
          <cell r="A21257" t="str">
            <v>GRUPO FPSB</v>
          </cell>
          <cell r="B21257" t="str">
            <v>101-00013-080-0000</v>
          </cell>
          <cell r="J21257">
            <v>52291.66</v>
          </cell>
        </row>
        <row r="21258">
          <cell r="A21258" t="str">
            <v>GRUPO FPSB</v>
          </cell>
          <cell r="B21258" t="str">
            <v>101-00015-000-0000</v>
          </cell>
          <cell r="J21258">
            <v>8222500.0300000003</v>
          </cell>
        </row>
        <row r="21259">
          <cell r="A21259" t="str">
            <v>GRUPO FPSB</v>
          </cell>
          <cell r="B21259" t="str">
            <v>101-00015-001-0000</v>
          </cell>
          <cell r="J21259">
            <v>8222500.0300000003</v>
          </cell>
        </row>
        <row r="21260">
          <cell r="A21260" t="str">
            <v>GRUPO FPSB</v>
          </cell>
          <cell r="B21260" t="str">
            <v>101-00015-001-0468</v>
          </cell>
          <cell r="J21260">
            <v>350000</v>
          </cell>
        </row>
        <row r="21261">
          <cell r="A21261" t="str">
            <v>GRUPO FPSB</v>
          </cell>
          <cell r="B21261" t="str">
            <v>101-00015-001-1149</v>
          </cell>
          <cell r="J21261">
            <v>200000</v>
          </cell>
        </row>
        <row r="21262">
          <cell r="A21262" t="str">
            <v>GRUPO FPSB</v>
          </cell>
          <cell r="B21262" t="str">
            <v>101-00015-001-2300</v>
          </cell>
          <cell r="J21262">
            <v>4727000.03</v>
          </cell>
        </row>
        <row r="21263">
          <cell r="A21263" t="str">
            <v>GRUPO FPSB</v>
          </cell>
          <cell r="B21263" t="str">
            <v>101-00015-001-2304</v>
          </cell>
          <cell r="J21263">
            <v>771500</v>
          </cell>
        </row>
        <row r="21264">
          <cell r="A21264" t="str">
            <v>GRUPO FPSB</v>
          </cell>
          <cell r="B21264" t="str">
            <v>101-00015-001-2305</v>
          </cell>
          <cell r="J21264">
            <v>40000</v>
          </cell>
        </row>
        <row r="21265">
          <cell r="A21265" t="str">
            <v>GRUPO FPSB</v>
          </cell>
          <cell r="B21265" t="str">
            <v>101-00015-001-2335</v>
          </cell>
          <cell r="J21265">
            <v>10000</v>
          </cell>
        </row>
        <row r="21266">
          <cell r="A21266" t="str">
            <v>GRUPO FPSB</v>
          </cell>
          <cell r="B21266" t="str">
            <v>101-00015-001-3141</v>
          </cell>
          <cell r="J21266">
            <v>2020000</v>
          </cell>
        </row>
        <row r="21267">
          <cell r="A21267" t="str">
            <v>GRUPO FPSB</v>
          </cell>
          <cell r="B21267" t="str">
            <v>101-00015-001-3452</v>
          </cell>
          <cell r="J21267">
            <v>9000</v>
          </cell>
        </row>
        <row r="21268">
          <cell r="A21268" t="str">
            <v>GRUPO FPSB</v>
          </cell>
          <cell r="B21268" t="str">
            <v>101-00015-001-3455</v>
          </cell>
          <cell r="J21268">
            <v>95000</v>
          </cell>
        </row>
        <row r="21269">
          <cell r="A21269" t="str">
            <v>GRUPO FPSB</v>
          </cell>
          <cell r="B21269" t="str">
            <v>201-00000-000-0000</v>
          </cell>
          <cell r="J21269">
            <v>-2343200</v>
          </cell>
        </row>
        <row r="21270">
          <cell r="A21270" t="str">
            <v>GRUPO FPSB</v>
          </cell>
          <cell r="B21270" t="str">
            <v>201-00002-000-0000</v>
          </cell>
          <cell r="J21270">
            <v>0</v>
          </cell>
        </row>
        <row r="21271">
          <cell r="A21271" t="str">
            <v>GRUPO FPSB</v>
          </cell>
          <cell r="B21271" t="str">
            <v>201-00002-002-0000</v>
          </cell>
          <cell r="J21271">
            <v>0</v>
          </cell>
        </row>
        <row r="21272">
          <cell r="A21272" t="str">
            <v>GRUPO FPSB</v>
          </cell>
          <cell r="B21272" t="str">
            <v>201-00002-002-0306</v>
          </cell>
          <cell r="J21272">
            <v>0</v>
          </cell>
        </row>
        <row r="21273">
          <cell r="A21273" t="str">
            <v>GRUPO FPSB</v>
          </cell>
          <cell r="B21273" t="str">
            <v>201-00002-002-1026</v>
          </cell>
          <cell r="J21273">
            <v>0</v>
          </cell>
        </row>
        <row r="21274">
          <cell r="A21274" t="str">
            <v>GRUPO FPSB</v>
          </cell>
          <cell r="B21274" t="str">
            <v>201-00004-000-0000</v>
          </cell>
          <cell r="J21274">
            <v>-2343200</v>
          </cell>
        </row>
        <row r="21275">
          <cell r="A21275" t="str">
            <v>GRUPO FPSB</v>
          </cell>
          <cell r="B21275" t="str">
            <v>201-00004-001-0000</v>
          </cell>
          <cell r="J21275">
            <v>-2343200</v>
          </cell>
        </row>
        <row r="21276">
          <cell r="A21276" t="str">
            <v>GRUPO FPSB</v>
          </cell>
          <cell r="B21276" t="str">
            <v>201-00004-001-1149</v>
          </cell>
          <cell r="J21276">
            <v>-2343200</v>
          </cell>
        </row>
        <row r="21277">
          <cell r="A21277" t="str">
            <v>GRUPO FPSB</v>
          </cell>
          <cell r="B21277" t="str">
            <v>301-00000-000-0000</v>
          </cell>
          <cell r="J21277">
            <v>-8438440.5700000003</v>
          </cell>
        </row>
        <row r="21278">
          <cell r="A21278" t="str">
            <v>GRUPO FPSB</v>
          </cell>
          <cell r="B21278" t="str">
            <v>301-00001-000-0000</v>
          </cell>
          <cell r="J21278">
            <v>-8083000</v>
          </cell>
        </row>
        <row r="21279">
          <cell r="A21279" t="str">
            <v>GRUPO FPSB</v>
          </cell>
          <cell r="B21279" t="str">
            <v>301-00001-001-0000</v>
          </cell>
          <cell r="J21279">
            <v>-3000</v>
          </cell>
        </row>
        <row r="21280">
          <cell r="A21280" t="str">
            <v>GRUPO FPSB</v>
          </cell>
          <cell r="B21280" t="str">
            <v>301-00001-002-0000</v>
          </cell>
          <cell r="J21280">
            <v>-80000</v>
          </cell>
        </row>
        <row r="21281">
          <cell r="A21281" t="str">
            <v>GRUPO FPSB</v>
          </cell>
          <cell r="B21281" t="str">
            <v>301-00001-005-0000</v>
          </cell>
          <cell r="J21281">
            <v>-8000000</v>
          </cell>
        </row>
        <row r="21282">
          <cell r="A21282" t="str">
            <v>GRUPO FPSB</v>
          </cell>
          <cell r="B21282" t="str">
            <v>301-00004-000-0000</v>
          </cell>
          <cell r="J21282">
            <v>-355440.57</v>
          </cell>
        </row>
        <row r="21283">
          <cell r="A21283" t="str">
            <v>GRUPO FPSB</v>
          </cell>
          <cell r="B21283" t="str">
            <v>301-00004-009-0000</v>
          </cell>
          <cell r="J21283">
            <v>20456.740000000002</v>
          </cell>
        </row>
        <row r="21284">
          <cell r="A21284" t="str">
            <v>GRUPO FPSB</v>
          </cell>
          <cell r="B21284" t="str">
            <v>301-00004-010-0000</v>
          </cell>
          <cell r="J21284">
            <v>34905.800000000003</v>
          </cell>
        </row>
        <row r="21285">
          <cell r="A21285" t="str">
            <v>GRUPO FPSB</v>
          </cell>
          <cell r="B21285" t="str">
            <v>301-00004-011-0000</v>
          </cell>
          <cell r="J21285">
            <v>5518</v>
          </cell>
        </row>
        <row r="21286">
          <cell r="A21286" t="str">
            <v>GRUPO FPSB</v>
          </cell>
          <cell r="B21286" t="str">
            <v>301-00004-014-0000</v>
          </cell>
          <cell r="J21286">
            <v>-36111.01</v>
          </cell>
        </row>
        <row r="21287">
          <cell r="A21287" t="str">
            <v>GRUPO FPSB</v>
          </cell>
          <cell r="B21287" t="str">
            <v>301-00004-015-0000</v>
          </cell>
          <cell r="J21287">
            <v>-177533.33</v>
          </cell>
        </row>
        <row r="21288">
          <cell r="A21288" t="str">
            <v>GRUPO FPSB</v>
          </cell>
          <cell r="B21288" t="str">
            <v>301-00004-016-0000</v>
          </cell>
          <cell r="J21288">
            <v>-58765.07</v>
          </cell>
        </row>
        <row r="21289">
          <cell r="A21289" t="str">
            <v>GRUPO FPSB</v>
          </cell>
          <cell r="B21289" t="str">
            <v>301-00004-017-0000</v>
          </cell>
          <cell r="J21289">
            <v>-143911.70000000001</v>
          </cell>
        </row>
        <row r="21290">
          <cell r="A21290" t="str">
            <v>GRUPO FPSB</v>
          </cell>
          <cell r="B21290" t="str">
            <v>410-00000-000-0000</v>
          </cell>
          <cell r="J21290">
            <v>-1417440.76</v>
          </cell>
        </row>
        <row r="21291">
          <cell r="A21291" t="str">
            <v>GRUPO FPSB</v>
          </cell>
          <cell r="B21291" t="str">
            <v>410-26798-000-0000</v>
          </cell>
          <cell r="J21291">
            <v>-1417440.76</v>
          </cell>
        </row>
        <row r="21292">
          <cell r="A21292" t="str">
            <v>GRUPO FPSB</v>
          </cell>
          <cell r="B21292" t="str">
            <v>410-26798-004-0000</v>
          </cell>
          <cell r="J21292">
            <v>-1417440.76</v>
          </cell>
        </row>
        <row r="21293">
          <cell r="A21293" t="str">
            <v>GRUPO FPSB</v>
          </cell>
          <cell r="B21293" t="str">
            <v>410-26798-004-0476</v>
          </cell>
          <cell r="J21293">
            <v>-1417440.76</v>
          </cell>
        </row>
        <row r="21294">
          <cell r="A21294" t="str">
            <v>GRUPO FPSB</v>
          </cell>
          <cell r="B21294" t="str">
            <v>430-00000-000-0000</v>
          </cell>
          <cell r="J21294">
            <v>-1292275.32</v>
          </cell>
        </row>
        <row r="21295">
          <cell r="A21295" t="str">
            <v>GRUPO FPSB</v>
          </cell>
          <cell r="B21295" t="str">
            <v>430-00001-000-0000</v>
          </cell>
          <cell r="J21295">
            <v>-1292275.32</v>
          </cell>
        </row>
        <row r="21296">
          <cell r="A21296" t="str">
            <v>GRUPO FPSB</v>
          </cell>
          <cell r="B21296" t="str">
            <v>560-00000-000-0000</v>
          </cell>
          <cell r="J21296">
            <v>1830668.16</v>
          </cell>
        </row>
        <row r="21297">
          <cell r="A21297" t="str">
            <v>GRUPO FPSB</v>
          </cell>
          <cell r="B21297" t="str">
            <v>560-99999-000-0000</v>
          </cell>
          <cell r="J21297">
            <v>1830668.16</v>
          </cell>
        </row>
        <row r="21298">
          <cell r="A21298" t="str">
            <v>GRUPO FPSB</v>
          </cell>
          <cell r="B21298" t="str">
            <v>560-99999-043-0000</v>
          </cell>
          <cell r="J21298">
            <v>1830668.16</v>
          </cell>
        </row>
        <row r="21299">
          <cell r="A21299" t="str">
            <v>GRUPO FPSB</v>
          </cell>
          <cell r="B21299" t="str">
            <v>650-00000-000-0000</v>
          </cell>
          <cell r="J21299">
            <v>265588.84000000003</v>
          </cell>
        </row>
        <row r="21300">
          <cell r="A21300" t="str">
            <v>GRUPO FPSB</v>
          </cell>
          <cell r="B21300" t="str">
            <v>650-99999-000-0000</v>
          </cell>
          <cell r="J21300">
            <v>265588.84000000003</v>
          </cell>
        </row>
        <row r="21301">
          <cell r="A21301" t="str">
            <v>GRUPO FPSB</v>
          </cell>
          <cell r="B21301" t="str">
            <v>650-99999-013-0000</v>
          </cell>
          <cell r="J21301">
            <v>43500</v>
          </cell>
        </row>
        <row r="21302">
          <cell r="A21302" t="str">
            <v>GRUPO FPSB</v>
          </cell>
          <cell r="B21302" t="str">
            <v>650-99999-013-0001</v>
          </cell>
          <cell r="J21302">
            <v>9500</v>
          </cell>
        </row>
        <row r="21303">
          <cell r="A21303" t="str">
            <v>GRUPO FPSB</v>
          </cell>
          <cell r="B21303" t="str">
            <v>650-99999-013-0002</v>
          </cell>
          <cell r="J21303">
            <v>34000</v>
          </cell>
        </row>
        <row r="21304">
          <cell r="A21304" t="str">
            <v>GRUPO FPSB</v>
          </cell>
          <cell r="B21304" t="str">
            <v>650-99999-025-0000</v>
          </cell>
          <cell r="J21304">
            <v>-3.48</v>
          </cell>
        </row>
        <row r="21305">
          <cell r="A21305" t="str">
            <v>GRUPO FPSB</v>
          </cell>
          <cell r="B21305" t="str">
            <v>650-99999-025-0001</v>
          </cell>
          <cell r="J21305">
            <v>-3.48</v>
          </cell>
        </row>
        <row r="21306">
          <cell r="A21306" t="str">
            <v>GRUPO FPSB</v>
          </cell>
          <cell r="B21306" t="str">
            <v>650-99999-043-0000</v>
          </cell>
          <cell r="J21306">
            <v>222092.32</v>
          </cell>
        </row>
        <row r="21307">
          <cell r="A21307" t="str">
            <v>GRUPO FPSB</v>
          </cell>
          <cell r="B21307" t="str">
            <v>710-00000-000-0000</v>
          </cell>
          <cell r="J21307">
            <v>104</v>
          </cell>
        </row>
        <row r="21308">
          <cell r="A21308" t="str">
            <v>GRUPO FPSB</v>
          </cell>
          <cell r="B21308" t="str">
            <v>710-99999-000-0000</v>
          </cell>
          <cell r="J21308">
            <v>104</v>
          </cell>
        </row>
        <row r="21309">
          <cell r="A21309" t="str">
            <v>GRUPO FPSB</v>
          </cell>
          <cell r="B21309" t="str">
            <v>710-99999-002-0000</v>
          </cell>
          <cell r="J21309">
            <v>104</v>
          </cell>
        </row>
        <row r="21310">
          <cell r="A21310" t="str">
            <v>GRUPO FPSB</v>
          </cell>
          <cell r="B21310" t="str">
            <v>710-99999-002-0001</v>
          </cell>
          <cell r="J21310">
            <v>104</v>
          </cell>
        </row>
        <row r="21311">
          <cell r="A21311" t="str">
            <v>GRUPO FPSB</v>
          </cell>
          <cell r="J21311">
            <v>0</v>
          </cell>
        </row>
        <row r="21312">
          <cell r="A21312" t="str">
            <v>GRUPO FPSB</v>
          </cell>
          <cell r="J21312">
            <v>0</v>
          </cell>
        </row>
        <row r="21313">
          <cell r="A21313" t="str">
            <v>GRUPO FPSB</v>
          </cell>
          <cell r="J21313">
            <v>0</v>
          </cell>
        </row>
        <row r="21314">
          <cell r="A21314" t="str">
            <v>GRUPO FPSB</v>
          </cell>
          <cell r="J21314">
            <v>0</v>
          </cell>
        </row>
        <row r="21315">
          <cell r="A21315" t="str">
            <v>GRUPO FPSB</v>
          </cell>
          <cell r="J21315">
            <v>0</v>
          </cell>
        </row>
        <row r="21316">
          <cell r="A21316" t="str">
            <v>GRUPO FPSB</v>
          </cell>
          <cell r="J21316">
            <v>0</v>
          </cell>
        </row>
        <row r="21317">
          <cell r="A21317" t="str">
            <v>GRUPO FPSB</v>
          </cell>
          <cell r="J21317">
            <v>0</v>
          </cell>
        </row>
        <row r="21318">
          <cell r="A21318" t="str">
            <v>GRUPO FPSB</v>
          </cell>
          <cell r="J21318">
            <v>0</v>
          </cell>
        </row>
        <row r="21319">
          <cell r="A21319" t="str">
            <v>GRUPO FPSB</v>
          </cell>
          <cell r="J21319">
            <v>0</v>
          </cell>
        </row>
        <row r="21320">
          <cell r="A21320" t="str">
            <v>GRUPO FPSB</v>
          </cell>
          <cell r="J21320">
            <v>0</v>
          </cell>
        </row>
        <row r="21321">
          <cell r="A21321" t="str">
            <v>GRUPO FPSB</v>
          </cell>
          <cell r="J21321">
            <v>0</v>
          </cell>
        </row>
        <row r="21322">
          <cell r="A21322" t="str">
            <v>GRUPO FPSB</v>
          </cell>
          <cell r="J21322">
            <v>0</v>
          </cell>
        </row>
        <row r="21323">
          <cell r="A21323" t="str">
            <v>GRUPO FPSB</v>
          </cell>
          <cell r="J21323">
            <v>0</v>
          </cell>
        </row>
        <row r="21324">
          <cell r="A21324" t="str">
            <v>GRUPO FPSB</v>
          </cell>
          <cell r="J21324">
            <v>0</v>
          </cell>
        </row>
        <row r="21325">
          <cell r="A21325" t="str">
            <v>GRUPO FPSB</v>
          </cell>
          <cell r="J21325">
            <v>0</v>
          </cell>
        </row>
        <row r="21326">
          <cell r="A21326" t="str">
            <v>GRUPO FPSB</v>
          </cell>
          <cell r="J21326">
            <v>0</v>
          </cell>
        </row>
        <row r="21327">
          <cell r="A21327" t="str">
            <v>GRUPO FPSB</v>
          </cell>
          <cell r="J21327">
            <v>0</v>
          </cell>
        </row>
        <row r="21328">
          <cell r="A21328" t="str">
            <v>GRUPO FPSB</v>
          </cell>
          <cell r="J21328">
            <v>0</v>
          </cell>
        </row>
        <row r="21329">
          <cell r="A21329" t="str">
            <v>GRUPO FPSB</v>
          </cell>
          <cell r="J21329">
            <v>0</v>
          </cell>
        </row>
        <row r="21330">
          <cell r="A21330" t="str">
            <v>GRUPO FPSB</v>
          </cell>
          <cell r="J21330">
            <v>0</v>
          </cell>
        </row>
        <row r="21331">
          <cell r="A21331" t="str">
            <v>GRUPO FPSB</v>
          </cell>
          <cell r="J21331">
            <v>0</v>
          </cell>
        </row>
        <row r="21332">
          <cell r="A21332" t="str">
            <v>GRUPO FPSB</v>
          </cell>
          <cell r="J21332">
            <v>0</v>
          </cell>
        </row>
        <row r="21333">
          <cell r="A21333" t="str">
            <v>GRUPO FPSB</v>
          </cell>
          <cell r="J21333">
            <v>0</v>
          </cell>
        </row>
        <row r="21334">
          <cell r="A21334" t="str">
            <v>GRUPO FPSB</v>
          </cell>
          <cell r="J21334">
            <v>0</v>
          </cell>
        </row>
        <row r="21335">
          <cell r="A21335" t="str">
            <v>GRUPO FPSB</v>
          </cell>
          <cell r="J21335">
            <v>0</v>
          </cell>
        </row>
        <row r="21336">
          <cell r="A21336" t="str">
            <v>GRUPO FPSB</v>
          </cell>
          <cell r="J21336">
            <v>0</v>
          </cell>
        </row>
        <row r="21337">
          <cell r="A21337" t="str">
            <v>GRUPO FPSB</v>
          </cell>
          <cell r="J21337">
            <v>0</v>
          </cell>
        </row>
        <row r="21338">
          <cell r="A21338" t="str">
            <v>GRUPO FPSB</v>
          </cell>
          <cell r="J21338">
            <v>0</v>
          </cell>
        </row>
        <row r="21339">
          <cell r="A21339" t="str">
            <v>GRUPO FPSB</v>
          </cell>
          <cell r="J21339">
            <v>0</v>
          </cell>
        </row>
        <row r="21340">
          <cell r="A21340" t="str">
            <v>GRUPO FPSB</v>
          </cell>
          <cell r="J21340">
            <v>0</v>
          </cell>
        </row>
        <row r="21341">
          <cell r="A21341" t="str">
            <v>GRUPO FPSB</v>
          </cell>
          <cell r="J21341">
            <v>0</v>
          </cell>
        </row>
        <row r="21342">
          <cell r="A21342" t="str">
            <v>GRUPO FPSB</v>
          </cell>
          <cell r="J21342">
            <v>0</v>
          </cell>
        </row>
        <row r="21343">
          <cell r="A21343" t="str">
            <v>GRUPO FPSB</v>
          </cell>
          <cell r="J21343">
            <v>0</v>
          </cell>
        </row>
        <row r="21344">
          <cell r="A21344" t="str">
            <v>GRUPO FPSB</v>
          </cell>
          <cell r="J21344">
            <v>0</v>
          </cell>
        </row>
        <row r="21345">
          <cell r="A21345" t="str">
            <v>GRUPO FPSB</v>
          </cell>
          <cell r="J21345">
            <v>0</v>
          </cell>
        </row>
        <row r="21346">
          <cell r="A21346" t="str">
            <v>GRUPO FPSB</v>
          </cell>
          <cell r="J21346">
            <v>0</v>
          </cell>
        </row>
        <row r="21347">
          <cell r="A21347" t="str">
            <v>GRUPO FPSB</v>
          </cell>
          <cell r="J21347">
            <v>0</v>
          </cell>
        </row>
        <row r="21348">
          <cell r="A21348" t="str">
            <v>GRUPO FPSB</v>
          </cell>
          <cell r="J21348">
            <v>0</v>
          </cell>
        </row>
        <row r="21349">
          <cell r="A21349" t="str">
            <v>GRUPO FPSB</v>
          </cell>
          <cell r="J21349">
            <v>0</v>
          </cell>
        </row>
        <row r="21350">
          <cell r="A21350" t="str">
            <v>GRUPO FPSB</v>
          </cell>
          <cell r="J21350">
            <v>0</v>
          </cell>
        </row>
        <row r="21351">
          <cell r="A21351" t="str">
            <v>GRUPO FPSB</v>
          </cell>
          <cell r="J21351">
            <v>0</v>
          </cell>
        </row>
        <row r="21352">
          <cell r="A21352" t="str">
            <v>GRUPO FPSB</v>
          </cell>
          <cell r="J21352">
            <v>0</v>
          </cell>
        </row>
        <row r="21353">
          <cell r="A21353" t="str">
            <v>GRUPO FPSB</v>
          </cell>
          <cell r="J21353">
            <v>0</v>
          </cell>
        </row>
        <row r="21354">
          <cell r="A21354" t="str">
            <v>GRUPO FPSB</v>
          </cell>
          <cell r="J21354">
            <v>0</v>
          </cell>
        </row>
        <row r="21355">
          <cell r="A21355" t="str">
            <v>GRUPO FPSB</v>
          </cell>
          <cell r="J21355">
            <v>0</v>
          </cell>
        </row>
        <row r="21356">
          <cell r="A21356" t="str">
            <v>GRUPO FPSB</v>
          </cell>
          <cell r="J21356">
            <v>0</v>
          </cell>
        </row>
        <row r="21357">
          <cell r="A21357" t="str">
            <v>GRUPO FPSB</v>
          </cell>
          <cell r="J21357">
            <v>0</v>
          </cell>
        </row>
        <row r="21358">
          <cell r="A21358" t="str">
            <v>GRUPO FPSB</v>
          </cell>
          <cell r="J21358">
            <v>0</v>
          </cell>
        </row>
        <row r="21359">
          <cell r="A21359" t="str">
            <v>GRUPO FPSB</v>
          </cell>
          <cell r="J21359">
            <v>0</v>
          </cell>
        </row>
        <row r="21360">
          <cell r="A21360" t="str">
            <v>GRUPO FPSB</v>
          </cell>
          <cell r="J21360">
            <v>0</v>
          </cell>
        </row>
        <row r="21361">
          <cell r="A21361" t="str">
            <v>GRUPO FPSB</v>
          </cell>
          <cell r="J21361">
            <v>0</v>
          </cell>
        </row>
        <row r="21362">
          <cell r="A21362" t="str">
            <v>GRUPO FPSB</v>
          </cell>
          <cell r="J21362">
            <v>0</v>
          </cell>
        </row>
        <row r="21363">
          <cell r="A21363" t="str">
            <v>GRUPO FPSB</v>
          </cell>
          <cell r="J21363">
            <v>0</v>
          </cell>
        </row>
        <row r="21364">
          <cell r="J21364">
            <v>0</v>
          </cell>
        </row>
        <row r="21365">
          <cell r="J21365">
            <v>0</v>
          </cell>
        </row>
        <row r="21366">
          <cell r="J21366">
            <v>0</v>
          </cell>
        </row>
        <row r="21367">
          <cell r="A21367" t="str">
            <v>SIGNAL</v>
          </cell>
          <cell r="B21367" t="str">
            <v>101-00000-000-0000</v>
          </cell>
          <cell r="J21367">
            <v>20377.560000000001</v>
          </cell>
        </row>
        <row r="21368">
          <cell r="A21368" t="str">
            <v>SIGNAL</v>
          </cell>
          <cell r="B21368" t="str">
            <v>101-00005-000-0000</v>
          </cell>
          <cell r="J21368">
            <v>20376.560000000001</v>
          </cell>
        </row>
        <row r="21369">
          <cell r="A21369" t="str">
            <v>SIGNAL</v>
          </cell>
          <cell r="B21369" t="str">
            <v>101-00005-003-0000</v>
          </cell>
          <cell r="J21369">
            <v>20376.560000000001</v>
          </cell>
        </row>
        <row r="21370">
          <cell r="A21370" t="str">
            <v>SIGNAL</v>
          </cell>
          <cell r="B21370" t="str">
            <v>101-00005-003-2261</v>
          </cell>
          <cell r="J21370">
            <v>20376.560000000001</v>
          </cell>
        </row>
        <row r="21371">
          <cell r="A21371" t="str">
            <v>SIGNAL</v>
          </cell>
          <cell r="B21371" t="str">
            <v>101-00008-000-0000</v>
          </cell>
          <cell r="J21371">
            <v>1</v>
          </cell>
        </row>
        <row r="21372">
          <cell r="A21372" t="str">
            <v>SIGNAL</v>
          </cell>
          <cell r="B21372" t="str">
            <v>101-00008-002-0000</v>
          </cell>
          <cell r="J21372">
            <v>1</v>
          </cell>
        </row>
        <row r="21373">
          <cell r="A21373" t="str">
            <v>SIGNAL</v>
          </cell>
          <cell r="B21373" t="str">
            <v>102-00003-001-0000</v>
          </cell>
          <cell r="J21373">
            <v>364702.06</v>
          </cell>
        </row>
        <row r="21374">
          <cell r="A21374" t="str">
            <v>SIGNAL</v>
          </cell>
          <cell r="B21374" t="str">
            <v>102-00003-002-0000</v>
          </cell>
          <cell r="J21374">
            <v>-364702.06</v>
          </cell>
        </row>
        <row r="21375">
          <cell r="A21375" t="str">
            <v>SIGNAL</v>
          </cell>
          <cell r="B21375" t="str">
            <v>202-00000-000-0000</v>
          </cell>
          <cell r="J21375">
            <v>-20000</v>
          </cell>
        </row>
        <row r="21376">
          <cell r="A21376" t="str">
            <v>SIGNAL</v>
          </cell>
          <cell r="B21376" t="str">
            <v>202-00001-000-0000</v>
          </cell>
          <cell r="J21376">
            <v>-20000</v>
          </cell>
        </row>
        <row r="21377">
          <cell r="A21377" t="str">
            <v>SIGNAL</v>
          </cell>
          <cell r="B21377" t="str">
            <v>202-00001-009-0000</v>
          </cell>
          <cell r="J21377">
            <v>-20000</v>
          </cell>
        </row>
        <row r="21378">
          <cell r="A21378" t="str">
            <v>SIGNAL</v>
          </cell>
          <cell r="B21378" t="str">
            <v>202-00001-009-2300</v>
          </cell>
          <cell r="J21378">
            <v>-20000</v>
          </cell>
        </row>
        <row r="21379">
          <cell r="A21379" t="str">
            <v>SIGNAL</v>
          </cell>
          <cell r="B21379" t="str">
            <v>301-00000-000-0000</v>
          </cell>
          <cell r="J21379">
            <v>-377.56</v>
          </cell>
        </row>
        <row r="21380">
          <cell r="A21380" t="str">
            <v>SIGNAL</v>
          </cell>
          <cell r="B21380" t="str">
            <v>301-00001-000-0000</v>
          </cell>
          <cell r="J21380">
            <v>-50000</v>
          </cell>
        </row>
        <row r="21381">
          <cell r="A21381" t="str">
            <v>SIGNAL</v>
          </cell>
          <cell r="B21381" t="str">
            <v>301-00001-001-0000</v>
          </cell>
          <cell r="J21381">
            <v>-50000</v>
          </cell>
        </row>
        <row r="21382">
          <cell r="A21382" t="str">
            <v>SIGNAL</v>
          </cell>
          <cell r="B21382" t="str">
            <v>301-00004-000-0000</v>
          </cell>
          <cell r="J21382">
            <v>49622.44</v>
          </cell>
        </row>
        <row r="21383">
          <cell r="A21383" t="str">
            <v>SIGNAL</v>
          </cell>
          <cell r="B21383" t="str">
            <v>301-00004-007-0000</v>
          </cell>
          <cell r="J21383">
            <v>10659.45</v>
          </cell>
        </row>
        <row r="21384">
          <cell r="A21384" t="str">
            <v>SIGNAL</v>
          </cell>
          <cell r="B21384" t="str">
            <v>301-00004-008-0000</v>
          </cell>
          <cell r="J21384">
            <v>-483674.88</v>
          </cell>
        </row>
        <row r="21385">
          <cell r="A21385" t="str">
            <v>SIGNAL</v>
          </cell>
          <cell r="B21385" t="str">
            <v>301-00004-009-0000</v>
          </cell>
          <cell r="J21385">
            <v>-87982.31</v>
          </cell>
        </row>
        <row r="21386">
          <cell r="A21386" t="str">
            <v>SIGNAL</v>
          </cell>
          <cell r="B21386" t="str">
            <v>301-00004-010-0000</v>
          </cell>
          <cell r="J21386">
            <v>226672.63</v>
          </cell>
        </row>
        <row r="21387">
          <cell r="A21387" t="str">
            <v>SIGNAL</v>
          </cell>
          <cell r="B21387" t="str">
            <v>301-00004-011-0000</v>
          </cell>
          <cell r="J21387">
            <v>122457.44</v>
          </cell>
        </row>
        <row r="21388">
          <cell r="A21388" t="str">
            <v>SIGNAL</v>
          </cell>
          <cell r="B21388" t="str">
            <v>301-00004-012-0000</v>
          </cell>
          <cell r="J21388">
            <v>110648.07</v>
          </cell>
        </row>
        <row r="21389">
          <cell r="A21389" t="str">
            <v>SIGNAL</v>
          </cell>
          <cell r="B21389" t="str">
            <v>301-00004-013-0000</v>
          </cell>
          <cell r="J21389">
            <v>125138.52</v>
          </cell>
        </row>
        <row r="21390">
          <cell r="A21390" t="str">
            <v>SIGNAL</v>
          </cell>
          <cell r="B21390" t="str">
            <v>301-00004-014-0000</v>
          </cell>
          <cell r="J21390">
            <v>1954.12</v>
          </cell>
        </row>
        <row r="21391">
          <cell r="A21391" t="str">
            <v>SIGNAL</v>
          </cell>
          <cell r="B21391" t="str">
            <v>301-00004-015-0000</v>
          </cell>
          <cell r="J21391">
            <v>23744.6</v>
          </cell>
        </row>
        <row r="21392">
          <cell r="A21392" t="str">
            <v>SIGNAL</v>
          </cell>
          <cell r="B21392" t="str">
            <v>301-00004-016-0000</v>
          </cell>
          <cell r="J21392">
            <v>4.8</v>
          </cell>
        </row>
        <row r="21393">
          <cell r="A21393" t="str">
            <v>SIGNAL</v>
          </cell>
          <cell r="J21393">
            <v>0</v>
          </cell>
        </row>
        <row r="21394">
          <cell r="A21394" t="str">
            <v>SIGNAL</v>
          </cell>
          <cell r="J21394">
            <v>0</v>
          </cell>
        </row>
        <row r="21395">
          <cell r="A21395" t="str">
            <v>SIGNAL</v>
          </cell>
          <cell r="J21395">
            <v>0</v>
          </cell>
        </row>
        <row r="21396">
          <cell r="A21396" t="str">
            <v>SIGNAL</v>
          </cell>
          <cell r="J21396">
            <v>0</v>
          </cell>
        </row>
        <row r="21397">
          <cell r="A21397" t="str">
            <v>SIGNAL</v>
          </cell>
          <cell r="J21397">
            <v>0</v>
          </cell>
        </row>
        <row r="21398">
          <cell r="A21398" t="str">
            <v>SIGNAL</v>
          </cell>
          <cell r="J21398">
            <v>0</v>
          </cell>
        </row>
        <row r="21399">
          <cell r="A21399" t="str">
            <v>SIGNAL</v>
          </cell>
          <cell r="J21399">
            <v>0</v>
          </cell>
        </row>
        <row r="21400">
          <cell r="A21400" t="str">
            <v>SIGNAL</v>
          </cell>
          <cell r="J21400">
            <v>0</v>
          </cell>
        </row>
        <row r="21401">
          <cell r="A21401" t="str">
            <v>SIGNAL</v>
          </cell>
          <cell r="J21401">
            <v>0</v>
          </cell>
        </row>
        <row r="21402">
          <cell r="A21402" t="str">
            <v>SIGNAL</v>
          </cell>
          <cell r="J21402">
            <v>0</v>
          </cell>
        </row>
        <row r="21403">
          <cell r="A21403" t="str">
            <v>SIGNAL</v>
          </cell>
          <cell r="J21403">
            <v>0</v>
          </cell>
        </row>
        <row r="21404">
          <cell r="A21404" t="str">
            <v>SIGNAL</v>
          </cell>
          <cell r="J21404">
            <v>0</v>
          </cell>
        </row>
        <row r="21405">
          <cell r="A21405" t="str">
            <v>SIGNAL</v>
          </cell>
          <cell r="J21405">
            <v>0</v>
          </cell>
        </row>
        <row r="21406">
          <cell r="A21406" t="str">
            <v>SIGNAL</v>
          </cell>
          <cell r="J21406">
            <v>0</v>
          </cell>
        </row>
        <row r="21407">
          <cell r="A21407" t="str">
            <v>SIGNAL</v>
          </cell>
          <cell r="J21407">
            <v>0</v>
          </cell>
        </row>
        <row r="21408">
          <cell r="A21408" t="str">
            <v>SIGNAL</v>
          </cell>
          <cell r="J21408">
            <v>0</v>
          </cell>
        </row>
        <row r="21409">
          <cell r="A21409" t="str">
            <v>SIGNAL</v>
          </cell>
          <cell r="J21409">
            <v>0</v>
          </cell>
        </row>
        <row r="21410">
          <cell r="A21410" t="str">
            <v>SIGNAL</v>
          </cell>
          <cell r="J21410">
            <v>0</v>
          </cell>
        </row>
        <row r="21411">
          <cell r="A21411" t="str">
            <v>SIGNAL</v>
          </cell>
          <cell r="J21411">
            <v>0</v>
          </cell>
        </row>
        <row r="21412">
          <cell r="A21412" t="str">
            <v>SIGNAL</v>
          </cell>
          <cell r="J21412">
            <v>0</v>
          </cell>
        </row>
        <row r="21413">
          <cell r="A21413" t="str">
            <v>SIGNAL</v>
          </cell>
          <cell r="J21413">
            <v>0</v>
          </cell>
        </row>
        <row r="21414">
          <cell r="A21414" t="str">
            <v>SIGNAL</v>
          </cell>
          <cell r="J21414">
            <v>0</v>
          </cell>
        </row>
        <row r="21415">
          <cell r="A21415" t="str">
            <v>SIGNAL</v>
          </cell>
          <cell r="J21415">
            <v>0</v>
          </cell>
        </row>
        <row r="21416">
          <cell r="A21416" t="str">
            <v>SIGNAL</v>
          </cell>
          <cell r="J21416">
            <v>0</v>
          </cell>
        </row>
        <row r="21417">
          <cell r="A21417" t="str">
            <v>SIGNAL</v>
          </cell>
          <cell r="J21417">
            <v>0</v>
          </cell>
        </row>
        <row r="21418">
          <cell r="A21418" t="str">
            <v>SIGNAL</v>
          </cell>
          <cell r="J21418">
            <v>0</v>
          </cell>
        </row>
        <row r="21419">
          <cell r="A21419" t="str">
            <v>SIGNAL</v>
          </cell>
          <cell r="J21419">
            <v>0</v>
          </cell>
        </row>
        <row r="21420">
          <cell r="A21420" t="str">
            <v>SIGNAL</v>
          </cell>
          <cell r="J21420">
            <v>0</v>
          </cell>
        </row>
        <row r="21421">
          <cell r="J21421">
            <v>0</v>
          </cell>
        </row>
        <row r="21422">
          <cell r="J21422">
            <v>0</v>
          </cell>
        </row>
        <row r="21423">
          <cell r="J21423">
            <v>0</v>
          </cell>
        </row>
        <row r="21424">
          <cell r="J21424">
            <v>0</v>
          </cell>
        </row>
        <row r="21425">
          <cell r="J21425">
            <v>0</v>
          </cell>
        </row>
        <row r="21426">
          <cell r="J21426">
            <v>0</v>
          </cell>
        </row>
        <row r="21427">
          <cell r="J21427">
            <v>0</v>
          </cell>
        </row>
        <row r="21428">
          <cell r="J21428">
            <v>0</v>
          </cell>
        </row>
        <row r="21429">
          <cell r="J21429">
            <v>0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11ADD-E8B1-4211-A19A-6DEC3092CD01}">
  <sheetPr codeName="Hoja1">
    <tabColor rgb="FF92D050"/>
  </sheetPr>
  <dimension ref="A1:E646"/>
  <sheetViews>
    <sheetView tabSelected="1" topLeftCell="A3" zoomScaleNormal="100" zoomScaleSheetLayoutView="99" workbookViewId="0">
      <pane xSplit="2" ySplit="3" topLeftCell="C607" activePane="bottomRight" state="frozen"/>
      <selection activeCell="A3" sqref="A3"/>
      <selection pane="topRight" activeCell="G3" sqref="G3"/>
      <selection pane="bottomLeft" activeCell="A6" sqref="A6"/>
      <selection pane="bottomRight" activeCell="C638" sqref="C638"/>
    </sheetView>
  </sheetViews>
  <sheetFormatPr baseColWidth="10" defaultColWidth="10.5703125" defaultRowHeight="15" outlineLevelRow="3" x14ac:dyDescent="0.25"/>
  <cols>
    <col min="1" max="1" width="18.7109375" bestFit="1" customWidth="1"/>
    <col min="2" max="2" width="36.5703125" customWidth="1"/>
    <col min="3" max="3" width="16.140625" bestFit="1" customWidth="1"/>
    <col min="4" max="4" width="16.7109375" customWidth="1"/>
  </cols>
  <sheetData>
    <row r="1" spans="1:4" s="4" customFormat="1" ht="17.25" x14ac:dyDescent="0.3">
      <c r="A1" s="1"/>
      <c r="B1" s="2" t="s">
        <v>0</v>
      </c>
      <c r="C1" s="3"/>
      <c r="D1" s="3"/>
    </row>
    <row r="4" spans="1:4" x14ac:dyDescent="0.25">
      <c r="A4" s="68" t="s">
        <v>1</v>
      </c>
      <c r="B4" s="68" t="s">
        <v>2</v>
      </c>
      <c r="C4" s="66" t="s">
        <v>4</v>
      </c>
      <c r="D4" s="67" t="s">
        <v>3</v>
      </c>
    </row>
    <row r="5" spans="1:4" ht="29.25" customHeight="1" x14ac:dyDescent="0.25">
      <c r="A5" s="68"/>
      <c r="B5" s="68"/>
      <c r="C5" s="66"/>
      <c r="D5" s="67"/>
    </row>
    <row r="6" spans="1:4" x14ac:dyDescent="0.25">
      <c r="A6" s="5"/>
      <c r="B6" s="6">
        <v>1</v>
      </c>
      <c r="C6" s="8"/>
      <c r="D6" s="7"/>
    </row>
    <row r="7" spans="1:4" outlineLevel="2" x14ac:dyDescent="0.25">
      <c r="A7" s="9" t="s">
        <v>5</v>
      </c>
      <c r="B7" s="10" t="s">
        <v>6</v>
      </c>
      <c r="C7" s="10"/>
      <c r="D7" s="11" t="e">
        <f>+C7/$C$91</f>
        <v>#DIV/0!</v>
      </c>
    </row>
    <row r="8" spans="1:4" outlineLevel="2" x14ac:dyDescent="0.25">
      <c r="A8" s="9" t="s">
        <v>7</v>
      </c>
      <c r="B8" s="10" t="s">
        <v>8</v>
      </c>
      <c r="C8" s="10"/>
      <c r="D8" s="11" t="e">
        <f>+C8/$C$91</f>
        <v>#DIV/0!</v>
      </c>
    </row>
    <row r="9" spans="1:4" outlineLevel="2" x14ac:dyDescent="0.25">
      <c r="A9" s="9" t="s">
        <v>9</v>
      </c>
      <c r="B9" s="10" t="s">
        <v>10</v>
      </c>
      <c r="C9" s="10"/>
      <c r="D9" s="11" t="e">
        <f>+C9/$C$91</f>
        <v>#DIV/0!</v>
      </c>
    </row>
    <row r="10" spans="1:4" outlineLevel="2" x14ac:dyDescent="0.25">
      <c r="A10" s="9" t="s">
        <v>11</v>
      </c>
      <c r="B10" s="10" t="s">
        <v>12</v>
      </c>
      <c r="C10" s="10"/>
      <c r="D10" s="11" t="e">
        <f>+C10/$C$91</f>
        <v>#DIV/0!</v>
      </c>
    </row>
    <row r="11" spans="1:4" outlineLevel="2" x14ac:dyDescent="0.25">
      <c r="A11" s="12"/>
      <c r="B11" s="13" t="s">
        <v>13</v>
      </c>
      <c r="C11" s="14">
        <f>SUBTOTAL(9,C7:C10)</f>
        <v>0</v>
      </c>
      <c r="D11" s="11" t="e">
        <f>+C11/$C$91</f>
        <v>#DIV/0!</v>
      </c>
    </row>
    <row r="12" spans="1:4" outlineLevel="2" x14ac:dyDescent="0.25">
      <c r="A12" s="9"/>
      <c r="B12" s="10" t="s">
        <v>14</v>
      </c>
      <c r="C12" s="10"/>
      <c r="D12" s="10"/>
    </row>
    <row r="13" spans="1:4" outlineLevel="2" x14ac:dyDescent="0.25">
      <c r="A13" s="9" t="s">
        <v>15</v>
      </c>
      <c r="B13" s="10" t="s">
        <v>6</v>
      </c>
      <c r="C13" s="10"/>
      <c r="D13" s="11" t="e">
        <f>+C13/$C$91</f>
        <v>#DIV/0!</v>
      </c>
    </row>
    <row r="14" spans="1:4" outlineLevel="2" x14ac:dyDescent="0.25">
      <c r="A14" s="9" t="s">
        <v>16</v>
      </c>
      <c r="B14" s="10" t="s">
        <v>8</v>
      </c>
      <c r="C14" s="10"/>
      <c r="D14" s="11" t="e">
        <f>+C14/$C$91</f>
        <v>#DIV/0!</v>
      </c>
    </row>
    <row r="15" spans="1:4" outlineLevel="2" x14ac:dyDescent="0.25">
      <c r="A15" s="9" t="s">
        <v>17</v>
      </c>
      <c r="B15" s="10" t="s">
        <v>10</v>
      </c>
      <c r="C15" s="10"/>
      <c r="D15" s="11" t="e">
        <f>+C15/$C$91</f>
        <v>#DIV/0!</v>
      </c>
    </row>
    <row r="16" spans="1:4" outlineLevel="2" x14ac:dyDescent="0.25">
      <c r="A16" s="9" t="s">
        <v>18</v>
      </c>
      <c r="B16" s="10" t="s">
        <v>12</v>
      </c>
      <c r="C16" s="10"/>
      <c r="D16" s="11" t="e">
        <f>+C16/$C$91</f>
        <v>#DIV/0!</v>
      </c>
    </row>
    <row r="17" spans="1:4" outlineLevel="2" x14ac:dyDescent="0.25">
      <c r="A17" s="12"/>
      <c r="B17" s="13" t="s">
        <v>19</v>
      </c>
      <c r="C17" s="14">
        <f>SUBTOTAL(9,C13:C16)</f>
        <v>0</v>
      </c>
      <c r="D17" s="11" t="e">
        <f>+C17/$C$91</f>
        <v>#DIV/0!</v>
      </c>
    </row>
    <row r="18" spans="1:4" outlineLevel="2" x14ac:dyDescent="0.25">
      <c r="A18" s="5"/>
      <c r="B18" s="6"/>
      <c r="C18" s="8"/>
      <c r="D18" s="15"/>
    </row>
    <row r="19" spans="1:4" outlineLevel="2" x14ac:dyDescent="0.25">
      <c r="A19" s="9" t="s">
        <v>20</v>
      </c>
      <c r="B19" s="10" t="s">
        <v>21</v>
      </c>
      <c r="C19" s="10"/>
      <c r="D19" s="11" t="e">
        <f>+C19/$C$91</f>
        <v>#DIV/0!</v>
      </c>
    </row>
    <row r="20" spans="1:4" outlineLevel="2" x14ac:dyDescent="0.25">
      <c r="A20" s="9" t="s">
        <v>22</v>
      </c>
      <c r="B20" s="10" t="s">
        <v>23</v>
      </c>
      <c r="C20" s="10"/>
      <c r="D20" s="11" t="e">
        <f>+C20/$C$91</f>
        <v>#DIV/0!</v>
      </c>
    </row>
    <row r="21" spans="1:4" outlineLevel="2" x14ac:dyDescent="0.25">
      <c r="A21" s="9" t="s">
        <v>24</v>
      </c>
      <c r="B21" s="10" t="s">
        <v>25</v>
      </c>
      <c r="C21" s="10"/>
      <c r="D21" s="11" t="e">
        <f>+C21/$C$91</f>
        <v>#DIV/0!</v>
      </c>
    </row>
    <row r="22" spans="1:4" outlineLevel="2" x14ac:dyDescent="0.25">
      <c r="A22" s="9" t="s">
        <v>26</v>
      </c>
      <c r="B22" s="10" t="s">
        <v>27</v>
      </c>
      <c r="C22" s="10"/>
      <c r="D22" s="11" t="e">
        <f>+C22/$C$91</f>
        <v>#DIV/0!</v>
      </c>
    </row>
    <row r="23" spans="1:4" outlineLevel="2" x14ac:dyDescent="0.25">
      <c r="A23" s="12"/>
      <c r="B23" s="13" t="s">
        <v>28</v>
      </c>
      <c r="C23" s="14">
        <f>SUBTOTAL(9,C19:C22)</f>
        <v>0</v>
      </c>
      <c r="D23" s="11" t="e">
        <f>+C23/$C$91</f>
        <v>#DIV/0!</v>
      </c>
    </row>
    <row r="24" spans="1:4" outlineLevel="2" x14ac:dyDescent="0.25">
      <c r="A24" s="5"/>
      <c r="B24" s="10"/>
      <c r="C24" s="10"/>
      <c r="D24" s="10"/>
    </row>
    <row r="25" spans="1:4" outlineLevel="2" x14ac:dyDescent="0.25">
      <c r="A25" s="9" t="s">
        <v>29</v>
      </c>
      <c r="B25" s="10" t="s">
        <v>21</v>
      </c>
      <c r="C25" s="10"/>
      <c r="D25" s="11" t="e">
        <f>+C25/$C$91</f>
        <v>#DIV/0!</v>
      </c>
    </row>
    <row r="26" spans="1:4" outlineLevel="2" x14ac:dyDescent="0.25">
      <c r="A26" s="9" t="s">
        <v>30</v>
      </c>
      <c r="B26" s="10" t="s">
        <v>23</v>
      </c>
      <c r="C26" s="10"/>
      <c r="D26" s="11" t="e">
        <f>+C26/$C$91</f>
        <v>#DIV/0!</v>
      </c>
    </row>
    <row r="27" spans="1:4" outlineLevel="2" x14ac:dyDescent="0.25">
      <c r="A27" s="9" t="s">
        <v>31</v>
      </c>
      <c r="B27" s="10" t="s">
        <v>25</v>
      </c>
      <c r="C27" s="10"/>
      <c r="D27" s="11" t="e">
        <f>+C27/$C$91</f>
        <v>#DIV/0!</v>
      </c>
    </row>
    <row r="28" spans="1:4" outlineLevel="2" x14ac:dyDescent="0.25">
      <c r="A28" s="9" t="s">
        <v>32</v>
      </c>
      <c r="B28" s="10" t="s">
        <v>27</v>
      </c>
      <c r="C28" s="10"/>
      <c r="D28" s="11" t="e">
        <f>+C28/$C$91</f>
        <v>#DIV/0!</v>
      </c>
    </row>
    <row r="29" spans="1:4" outlineLevel="2" x14ac:dyDescent="0.25">
      <c r="A29" s="12"/>
      <c r="B29" s="13" t="s">
        <v>33</v>
      </c>
      <c r="C29" s="14">
        <f>SUBTOTAL(9,C25:C28)</f>
        <v>0</v>
      </c>
      <c r="D29" s="16" t="e">
        <f>+C29/$C$91</f>
        <v>#DIV/0!</v>
      </c>
    </row>
    <row r="30" spans="1:4" outlineLevel="2" x14ac:dyDescent="0.25">
      <c r="A30" s="9"/>
      <c r="B30" s="10"/>
      <c r="C30" s="10"/>
      <c r="D30" s="10"/>
    </row>
    <row r="31" spans="1:4" outlineLevel="2" x14ac:dyDescent="0.25">
      <c r="A31" s="9"/>
      <c r="B31" s="17" t="s">
        <v>34</v>
      </c>
      <c r="C31" s="18">
        <f>+C29+C23+C17+C11</f>
        <v>0</v>
      </c>
      <c r="D31" s="16" t="e">
        <f>+C31/$C$91</f>
        <v>#DIV/0!</v>
      </c>
    </row>
    <row r="32" spans="1:4" outlineLevel="2" x14ac:dyDescent="0.25">
      <c r="A32" s="9"/>
      <c r="B32" s="19"/>
      <c r="C32" s="10"/>
      <c r="D32" s="10"/>
    </row>
    <row r="33" spans="1:4" outlineLevel="2" x14ac:dyDescent="0.25">
      <c r="A33" s="9" t="s">
        <v>35</v>
      </c>
      <c r="B33" s="10" t="s">
        <v>36</v>
      </c>
      <c r="C33" s="10"/>
      <c r="D33" s="11" t="e">
        <f>+C33/$C$91</f>
        <v>#DIV/0!</v>
      </c>
    </row>
    <row r="34" spans="1:4" outlineLevel="2" x14ac:dyDescent="0.25">
      <c r="A34" s="9" t="s">
        <v>37</v>
      </c>
      <c r="B34" s="10" t="s">
        <v>38</v>
      </c>
      <c r="C34" s="10"/>
      <c r="D34" s="11" t="e">
        <f>+C34/$C$91</f>
        <v>#DIV/0!</v>
      </c>
    </row>
    <row r="35" spans="1:4" outlineLevel="2" x14ac:dyDescent="0.25">
      <c r="A35" s="9" t="s">
        <v>39</v>
      </c>
      <c r="B35" s="10" t="s">
        <v>40</v>
      </c>
      <c r="C35" s="10"/>
      <c r="D35" s="11" t="e">
        <f>+C35/$C$91</f>
        <v>#DIV/0!</v>
      </c>
    </row>
    <row r="36" spans="1:4" outlineLevel="2" x14ac:dyDescent="0.25">
      <c r="A36" s="9" t="s">
        <v>41</v>
      </c>
      <c r="B36" s="10" t="s">
        <v>42</v>
      </c>
      <c r="C36" s="10"/>
      <c r="D36" s="11" t="e">
        <f>+C36/$C$91</f>
        <v>#DIV/0!</v>
      </c>
    </row>
    <row r="37" spans="1:4" outlineLevel="2" x14ac:dyDescent="0.25">
      <c r="A37" s="12"/>
      <c r="B37" s="13" t="s">
        <v>43</v>
      </c>
      <c r="C37" s="14">
        <f>SUBTOTAL(9,C33:C36)</f>
        <v>0</v>
      </c>
      <c r="D37" s="11" t="e">
        <f>+C37/$C$91</f>
        <v>#DIV/0!</v>
      </c>
    </row>
    <row r="38" spans="1:4" outlineLevel="2" x14ac:dyDescent="0.25">
      <c r="A38" s="9"/>
      <c r="B38" s="10"/>
      <c r="C38" s="10"/>
      <c r="D38" s="10"/>
    </row>
    <row r="39" spans="1:4" outlineLevel="2" x14ac:dyDescent="0.25">
      <c r="A39" s="9" t="s">
        <v>44</v>
      </c>
      <c r="B39" s="10" t="s">
        <v>36</v>
      </c>
      <c r="C39" s="10"/>
      <c r="D39" s="11" t="e">
        <f>+C39/$C$91</f>
        <v>#DIV/0!</v>
      </c>
    </row>
    <row r="40" spans="1:4" outlineLevel="2" x14ac:dyDescent="0.25">
      <c r="A40" s="9" t="s">
        <v>45</v>
      </c>
      <c r="B40" s="10" t="s">
        <v>38</v>
      </c>
      <c r="C40" s="10"/>
      <c r="D40" s="11" t="e">
        <f>+C40/$C$91</f>
        <v>#DIV/0!</v>
      </c>
    </row>
    <row r="41" spans="1:4" outlineLevel="2" x14ac:dyDescent="0.25">
      <c r="A41" s="9" t="s">
        <v>46</v>
      </c>
      <c r="B41" s="10" t="s">
        <v>40</v>
      </c>
      <c r="C41" s="10"/>
      <c r="D41" s="11" t="e">
        <f>+C41/$C$91</f>
        <v>#DIV/0!</v>
      </c>
    </row>
    <row r="42" spans="1:4" outlineLevel="2" x14ac:dyDescent="0.25">
      <c r="A42" s="9" t="s">
        <v>47</v>
      </c>
      <c r="B42" s="10" t="s">
        <v>42</v>
      </c>
      <c r="C42" s="10"/>
      <c r="D42" s="11" t="e">
        <f>+C42/$C$91</f>
        <v>#DIV/0!</v>
      </c>
    </row>
    <row r="43" spans="1:4" outlineLevel="2" x14ac:dyDescent="0.25">
      <c r="A43" s="12"/>
      <c r="B43" s="13" t="s">
        <v>48</v>
      </c>
      <c r="C43" s="14">
        <f>SUBTOTAL(9,C39:C42)</f>
        <v>0</v>
      </c>
      <c r="D43" s="11" t="e">
        <f>+C43/$C$91</f>
        <v>#DIV/0!</v>
      </c>
    </row>
    <row r="44" spans="1:4" outlineLevel="2" x14ac:dyDescent="0.25">
      <c r="A44" s="9"/>
      <c r="B44" s="19"/>
      <c r="C44" s="10"/>
      <c r="D44" s="10"/>
    </row>
    <row r="45" spans="1:4" outlineLevel="2" x14ac:dyDescent="0.25">
      <c r="A45" s="9" t="s">
        <v>49</v>
      </c>
      <c r="B45" s="10" t="s">
        <v>50</v>
      </c>
      <c r="C45" s="10"/>
      <c r="D45" s="11" t="e">
        <f>+C45/$C$91</f>
        <v>#DIV/0!</v>
      </c>
    </row>
    <row r="46" spans="1:4" outlineLevel="2" x14ac:dyDescent="0.25">
      <c r="A46" s="9" t="s">
        <v>51</v>
      </c>
      <c r="B46" s="10" t="s">
        <v>52</v>
      </c>
      <c r="C46" s="10"/>
      <c r="D46" s="11" t="e">
        <f>+C46/$C$91</f>
        <v>#DIV/0!</v>
      </c>
    </row>
    <row r="47" spans="1:4" outlineLevel="2" x14ac:dyDescent="0.25">
      <c r="A47" s="9" t="s">
        <v>53</v>
      </c>
      <c r="B47" s="10" t="s">
        <v>54</v>
      </c>
      <c r="C47" s="10"/>
      <c r="D47" s="11" t="e">
        <f>+C47/$C$91</f>
        <v>#DIV/0!</v>
      </c>
    </row>
    <row r="48" spans="1:4" outlineLevel="2" x14ac:dyDescent="0.25">
      <c r="A48" s="9" t="s">
        <v>55</v>
      </c>
      <c r="B48" s="10" t="s">
        <v>56</v>
      </c>
      <c r="C48" s="10"/>
      <c r="D48" s="11" t="e">
        <f>+C48/$C$91</f>
        <v>#DIV/0!</v>
      </c>
    </row>
    <row r="49" spans="1:4" outlineLevel="2" x14ac:dyDescent="0.25">
      <c r="A49" s="12"/>
      <c r="B49" s="13" t="s">
        <v>57</v>
      </c>
      <c r="C49" s="14">
        <f>SUBTOTAL(9,C45:C48)</f>
        <v>0</v>
      </c>
      <c r="D49" s="11" t="e">
        <f>+C49/$C$91</f>
        <v>#DIV/0!</v>
      </c>
    </row>
    <row r="50" spans="1:4" outlineLevel="2" x14ac:dyDescent="0.25">
      <c r="A50" s="9"/>
      <c r="B50" s="10"/>
      <c r="C50" s="10"/>
      <c r="D50" s="10"/>
    </row>
    <row r="51" spans="1:4" outlineLevel="2" x14ac:dyDescent="0.25">
      <c r="A51" s="9"/>
      <c r="B51" s="19"/>
      <c r="C51" s="10"/>
      <c r="D51" s="10"/>
    </row>
    <row r="52" spans="1:4" outlineLevel="2" x14ac:dyDescent="0.25">
      <c r="A52" s="20" t="s">
        <v>58</v>
      </c>
      <c r="B52" s="10" t="s">
        <v>50</v>
      </c>
      <c r="C52" s="10"/>
      <c r="D52" s="11" t="e">
        <f>+C52/$C$91</f>
        <v>#DIV/0!</v>
      </c>
    </row>
    <row r="53" spans="1:4" outlineLevel="2" x14ac:dyDescent="0.25">
      <c r="A53" s="20" t="s">
        <v>59</v>
      </c>
      <c r="B53" s="10" t="s">
        <v>52</v>
      </c>
      <c r="C53" s="10"/>
      <c r="D53" s="11" t="e">
        <f>+C53/$C$91</f>
        <v>#DIV/0!</v>
      </c>
    </row>
    <row r="54" spans="1:4" outlineLevel="2" x14ac:dyDescent="0.25">
      <c r="A54" s="20" t="s">
        <v>60</v>
      </c>
      <c r="B54" s="10" t="s">
        <v>54</v>
      </c>
      <c r="C54" s="10"/>
      <c r="D54" s="11" t="e">
        <f>+C54/$C$91</f>
        <v>#DIV/0!</v>
      </c>
    </row>
    <row r="55" spans="1:4" outlineLevel="2" x14ac:dyDescent="0.25">
      <c r="A55" s="20" t="s">
        <v>61</v>
      </c>
      <c r="B55" s="10" t="s">
        <v>56</v>
      </c>
      <c r="C55" s="10"/>
      <c r="D55" s="11" t="e">
        <f>+C55/$C$91</f>
        <v>#DIV/0!</v>
      </c>
    </row>
    <row r="56" spans="1:4" outlineLevel="2" x14ac:dyDescent="0.25">
      <c r="A56" s="12"/>
      <c r="B56" s="13" t="s">
        <v>57</v>
      </c>
      <c r="C56" s="14">
        <f>SUBTOTAL(9,C52:C55)</f>
        <v>0</v>
      </c>
      <c r="D56" s="11" t="e">
        <f>+C56/$C$91</f>
        <v>#DIV/0!</v>
      </c>
    </row>
    <row r="57" spans="1:4" outlineLevel="2" x14ac:dyDescent="0.25">
      <c r="A57" s="9"/>
      <c r="B57" s="10"/>
      <c r="C57" s="10"/>
      <c r="D57" s="10"/>
    </row>
    <row r="58" spans="1:4" outlineLevel="2" x14ac:dyDescent="0.25">
      <c r="A58" s="9" t="s">
        <v>62</v>
      </c>
      <c r="B58" s="10" t="s">
        <v>63</v>
      </c>
      <c r="C58" s="10"/>
      <c r="D58" s="11" t="e">
        <f>+C58/$C$91</f>
        <v>#DIV/0!</v>
      </c>
    </row>
    <row r="59" spans="1:4" outlineLevel="2" x14ac:dyDescent="0.25">
      <c r="A59" s="9" t="s">
        <v>64</v>
      </c>
      <c r="B59" s="10" t="s">
        <v>65</v>
      </c>
      <c r="C59" s="10"/>
      <c r="D59" s="11" t="e">
        <f>+C59/$C$91</f>
        <v>#DIV/0!</v>
      </c>
    </row>
    <row r="60" spans="1:4" outlineLevel="2" x14ac:dyDescent="0.25">
      <c r="A60" s="9" t="s">
        <v>66</v>
      </c>
      <c r="B60" s="10" t="s">
        <v>67</v>
      </c>
      <c r="C60" s="10"/>
      <c r="D60" s="11" t="e">
        <f>+C60/$C$91</f>
        <v>#DIV/0!</v>
      </c>
    </row>
    <row r="61" spans="1:4" outlineLevel="2" x14ac:dyDescent="0.25">
      <c r="A61" s="9" t="s">
        <v>68</v>
      </c>
      <c r="B61" s="10" t="s">
        <v>69</v>
      </c>
      <c r="C61" s="10"/>
      <c r="D61" s="11" t="e">
        <f>+C61/$C$91</f>
        <v>#DIV/0!</v>
      </c>
    </row>
    <row r="62" spans="1:4" outlineLevel="2" x14ac:dyDescent="0.25">
      <c r="A62" s="12"/>
      <c r="B62" s="13" t="s">
        <v>70</v>
      </c>
      <c r="C62" s="14">
        <f>SUBTOTAL(9,C58:C61)</f>
        <v>0</v>
      </c>
      <c r="D62" s="11" t="e">
        <f>+C62/$C$91</f>
        <v>#DIV/0!</v>
      </c>
    </row>
    <row r="63" spans="1:4" outlineLevel="2" x14ac:dyDescent="0.25">
      <c r="A63" s="9"/>
      <c r="B63" s="10"/>
      <c r="C63" s="10"/>
      <c r="D63" s="10"/>
    </row>
    <row r="64" spans="1:4" outlineLevel="2" x14ac:dyDescent="0.25">
      <c r="A64" s="9" t="s">
        <v>71</v>
      </c>
      <c r="B64" s="10" t="s">
        <v>63</v>
      </c>
      <c r="C64" s="10"/>
      <c r="D64" s="11" t="e">
        <f>+C64/$C$91</f>
        <v>#DIV/0!</v>
      </c>
    </row>
    <row r="65" spans="1:4" outlineLevel="2" x14ac:dyDescent="0.25">
      <c r="A65" s="9" t="s">
        <v>72</v>
      </c>
      <c r="B65" s="10" t="s">
        <v>65</v>
      </c>
      <c r="C65" s="10"/>
      <c r="D65" s="11" t="e">
        <f>+C65/$C$91</f>
        <v>#DIV/0!</v>
      </c>
    </row>
    <row r="66" spans="1:4" outlineLevel="2" x14ac:dyDescent="0.25">
      <c r="A66" s="9" t="s">
        <v>73</v>
      </c>
      <c r="B66" s="10" t="s">
        <v>67</v>
      </c>
      <c r="C66" s="10"/>
      <c r="D66" s="11" t="e">
        <f>+C66/$C$91</f>
        <v>#DIV/0!</v>
      </c>
    </row>
    <row r="67" spans="1:4" outlineLevel="2" x14ac:dyDescent="0.25">
      <c r="A67" s="9" t="s">
        <v>74</v>
      </c>
      <c r="B67" s="10" t="s">
        <v>69</v>
      </c>
      <c r="C67" s="10"/>
      <c r="D67" s="11" t="e">
        <f>+C67/$C$91</f>
        <v>#DIV/0!</v>
      </c>
    </row>
    <row r="68" spans="1:4" outlineLevel="2" x14ac:dyDescent="0.25">
      <c r="A68" s="12"/>
      <c r="B68" s="13" t="s">
        <v>75</v>
      </c>
      <c r="C68" s="14">
        <f>SUBTOTAL(9,C64:C67)</f>
        <v>0</v>
      </c>
      <c r="D68" s="11" t="e">
        <f>+C68/$C$91</f>
        <v>#DIV/0!</v>
      </c>
    </row>
    <row r="69" spans="1:4" outlineLevel="2" x14ac:dyDescent="0.25">
      <c r="A69" s="9"/>
      <c r="B69" s="10"/>
      <c r="C69" s="10"/>
      <c r="D69" s="10"/>
    </row>
    <row r="70" spans="1:4" outlineLevel="2" x14ac:dyDescent="0.25">
      <c r="A70" s="9"/>
      <c r="B70" s="17" t="s">
        <v>76</v>
      </c>
      <c r="C70" s="18">
        <f>+C37+C43+C62+C68+C49</f>
        <v>0</v>
      </c>
      <c r="D70" s="16" t="e">
        <f>+C70/$C$91</f>
        <v>#DIV/0!</v>
      </c>
    </row>
    <row r="71" spans="1:4" outlineLevel="2" x14ac:dyDescent="0.25">
      <c r="A71" s="9"/>
      <c r="B71" s="19"/>
      <c r="C71" s="10"/>
      <c r="D71" s="10"/>
    </row>
    <row r="72" spans="1:4" outlineLevel="1" x14ac:dyDescent="0.25">
      <c r="A72" s="9"/>
      <c r="B72" s="10" t="s">
        <v>77</v>
      </c>
      <c r="C72" s="10">
        <f>+C7+C19-C33-C58+C45</f>
        <v>0</v>
      </c>
      <c r="D72" s="11" t="e">
        <f>+C72/$C$91</f>
        <v>#DIV/0!</v>
      </c>
    </row>
    <row r="73" spans="1:4" outlineLevel="1" x14ac:dyDescent="0.25">
      <c r="A73" s="9"/>
      <c r="B73" s="10" t="s">
        <v>78</v>
      </c>
      <c r="C73" s="10">
        <f>+C8+C20-C34-C59+C46-C53</f>
        <v>0</v>
      </c>
      <c r="D73" s="11" t="e">
        <f>+C73/$C$91</f>
        <v>#DIV/0!</v>
      </c>
    </row>
    <row r="74" spans="1:4" outlineLevel="1" x14ac:dyDescent="0.25">
      <c r="A74" s="9"/>
      <c r="B74" s="10" t="s">
        <v>79</v>
      </c>
      <c r="C74" s="10">
        <f>+C9+C21-C35-C60+C47</f>
        <v>0</v>
      </c>
      <c r="D74" s="11" t="e">
        <f>+C74/$C$91</f>
        <v>#DIV/0!</v>
      </c>
    </row>
    <row r="75" spans="1:4" outlineLevel="1" x14ac:dyDescent="0.25">
      <c r="A75" s="9"/>
      <c r="B75" s="10" t="s">
        <v>80</v>
      </c>
      <c r="C75" s="10">
        <f>+C10+C22-C36-C61+C48</f>
        <v>0</v>
      </c>
      <c r="D75" s="11" t="e">
        <f>+C75/$C$91</f>
        <v>#DIV/0!</v>
      </c>
    </row>
    <row r="76" spans="1:4" outlineLevel="1" x14ac:dyDescent="0.25">
      <c r="A76" s="9"/>
      <c r="B76" s="10"/>
      <c r="C76" s="21"/>
      <c r="D76" s="10"/>
    </row>
    <row r="77" spans="1:4" outlineLevel="1" x14ac:dyDescent="0.25">
      <c r="A77" s="9"/>
      <c r="B77" s="22" t="s">
        <v>81</v>
      </c>
      <c r="C77" s="23">
        <f>SUBTOTAL(9,C72:C76)</f>
        <v>0</v>
      </c>
      <c r="D77" s="11" t="e">
        <f>+C77/$C$91</f>
        <v>#DIV/0!</v>
      </c>
    </row>
    <row r="78" spans="1:4" outlineLevel="1" x14ac:dyDescent="0.25">
      <c r="A78" s="9"/>
      <c r="B78" s="10"/>
      <c r="C78" s="24"/>
      <c r="D78" s="13"/>
    </row>
    <row r="79" spans="1:4" outlineLevel="1" x14ac:dyDescent="0.25">
      <c r="A79" s="9"/>
      <c r="B79" s="10" t="s">
        <v>77</v>
      </c>
      <c r="C79" s="10">
        <f>+C13+C25-C39-C64</f>
        <v>0</v>
      </c>
      <c r="D79" s="11" t="e">
        <f>+C79/$C$91</f>
        <v>#DIV/0!</v>
      </c>
    </row>
    <row r="80" spans="1:4" outlineLevel="1" x14ac:dyDescent="0.25">
      <c r="A80" s="9"/>
      <c r="B80" s="10" t="s">
        <v>78</v>
      </c>
      <c r="C80" s="10">
        <f>+C14+C26-C40-C65</f>
        <v>0</v>
      </c>
      <c r="D80" s="11" t="e">
        <f>+C80/$C$91</f>
        <v>#DIV/0!</v>
      </c>
    </row>
    <row r="81" spans="1:4" outlineLevel="1" x14ac:dyDescent="0.25">
      <c r="A81" s="9"/>
      <c r="B81" s="10" t="s">
        <v>79</v>
      </c>
      <c r="C81" s="10">
        <f>+C15+C27-C41-C66</f>
        <v>0</v>
      </c>
      <c r="D81" s="11" t="e">
        <f>+C81/$C$91</f>
        <v>#DIV/0!</v>
      </c>
    </row>
    <row r="82" spans="1:4" outlineLevel="1" x14ac:dyDescent="0.25">
      <c r="A82" s="9"/>
      <c r="B82" s="10" t="s">
        <v>80</v>
      </c>
      <c r="C82" s="10">
        <f>+C16+C28-C42-C67</f>
        <v>0</v>
      </c>
      <c r="D82" s="11" t="e">
        <f>+C82/$C$91</f>
        <v>#DIV/0!</v>
      </c>
    </row>
    <row r="83" spans="1:4" outlineLevel="1" x14ac:dyDescent="0.25">
      <c r="A83" s="9"/>
      <c r="B83" s="10"/>
      <c r="C83" s="21"/>
      <c r="D83" s="13"/>
    </row>
    <row r="84" spans="1:4" outlineLevel="1" x14ac:dyDescent="0.25">
      <c r="A84" s="9"/>
      <c r="B84" s="22" t="s">
        <v>82</v>
      </c>
      <c r="C84" s="23">
        <f>SUBTOTAL(9,C79:C82)</f>
        <v>0</v>
      </c>
      <c r="D84" s="16" t="e">
        <f>+C84/$C$91</f>
        <v>#DIV/0!</v>
      </c>
    </row>
    <row r="85" spans="1:4" outlineLevel="1" x14ac:dyDescent="0.25">
      <c r="A85" s="9"/>
      <c r="B85" s="22"/>
      <c r="C85" s="13"/>
      <c r="D85" s="10"/>
    </row>
    <row r="86" spans="1:4" outlineLevel="1" x14ac:dyDescent="0.25">
      <c r="A86" s="9"/>
      <c r="B86" s="17" t="s">
        <v>83</v>
      </c>
      <c r="C86" s="18">
        <f>+C84+C77</f>
        <v>0</v>
      </c>
      <c r="D86" s="16" t="e">
        <f>+C86/$C$91</f>
        <v>#DIV/0!</v>
      </c>
    </row>
    <row r="87" spans="1:4" outlineLevel="1" x14ac:dyDescent="0.25">
      <c r="A87" s="9"/>
      <c r="B87" s="10"/>
      <c r="C87" s="10"/>
      <c r="D87" s="13"/>
    </row>
    <row r="88" spans="1:4" outlineLevel="1" x14ac:dyDescent="0.25">
      <c r="A88" s="25" t="s">
        <v>84</v>
      </c>
      <c r="B88" s="26" t="s">
        <v>85</v>
      </c>
      <c r="C88" s="10"/>
      <c r="D88" s="11" t="e">
        <f>+C88/$C$91</f>
        <v>#DIV/0!</v>
      </c>
    </row>
    <row r="89" spans="1:4" outlineLevel="1" x14ac:dyDescent="0.25">
      <c r="A89" s="25" t="s">
        <v>86</v>
      </c>
      <c r="B89" s="26" t="s">
        <v>87</v>
      </c>
      <c r="C89" s="10"/>
      <c r="D89" s="11" t="e">
        <f t="shared" ref="D89" si="0">+C89/$C$91</f>
        <v>#DIV/0!</v>
      </c>
    </row>
    <row r="90" spans="1:4" outlineLevel="1" x14ac:dyDescent="0.25">
      <c r="A90" s="27"/>
      <c r="B90" s="26"/>
      <c r="C90" s="21"/>
      <c r="D90" s="10"/>
    </row>
    <row r="91" spans="1:4" x14ac:dyDescent="0.25">
      <c r="A91" s="9"/>
      <c r="B91" s="17" t="s">
        <v>88</v>
      </c>
      <c r="C91" s="18">
        <f>+C86+C88+C89</f>
        <v>0</v>
      </c>
      <c r="D91" s="16" t="e">
        <f t="shared" ref="D91" si="1">+C91/$C$91</f>
        <v>#DIV/0!</v>
      </c>
    </row>
    <row r="92" spans="1:4" x14ac:dyDescent="0.25">
      <c r="A92" s="27"/>
      <c r="B92" s="28"/>
      <c r="C92" s="10"/>
      <c r="D92" s="10"/>
    </row>
    <row r="93" spans="1:4" outlineLevel="2" x14ac:dyDescent="0.25">
      <c r="A93" s="27"/>
      <c r="B93" s="22" t="s">
        <v>89</v>
      </c>
      <c r="C93" s="10"/>
      <c r="D93" s="10"/>
    </row>
    <row r="94" spans="1:4" s="34" customFormat="1" outlineLevel="2" x14ac:dyDescent="0.25">
      <c r="A94" s="29" t="s">
        <v>90</v>
      </c>
      <c r="B94" s="29" t="s">
        <v>91</v>
      </c>
      <c r="C94" s="30"/>
      <c r="D94" s="31" t="e">
        <f>+C94/$C$91</f>
        <v>#DIV/0!</v>
      </c>
    </row>
    <row r="95" spans="1:4" hidden="1" outlineLevel="3" x14ac:dyDescent="0.25">
      <c r="A95" s="35" t="s">
        <v>92</v>
      </c>
      <c r="B95" s="35" t="s">
        <v>93</v>
      </c>
      <c r="C95" s="36"/>
      <c r="D95" s="11" t="e">
        <f t="shared" ref="D95:D117" si="2">+C95/$C$91</f>
        <v>#DIV/0!</v>
      </c>
    </row>
    <row r="96" spans="1:4" hidden="1" outlineLevel="3" x14ac:dyDescent="0.25">
      <c r="A96" s="35" t="s">
        <v>94</v>
      </c>
      <c r="B96" s="35" t="s">
        <v>95</v>
      </c>
      <c r="C96" s="10"/>
      <c r="D96" s="11" t="e">
        <f t="shared" si="2"/>
        <v>#DIV/0!</v>
      </c>
    </row>
    <row r="97" spans="1:4" hidden="1" outlineLevel="3" x14ac:dyDescent="0.25">
      <c r="A97" s="35" t="s">
        <v>96</v>
      </c>
      <c r="B97" s="35" t="s">
        <v>97</v>
      </c>
      <c r="C97" s="10"/>
      <c r="D97" s="11" t="e">
        <f t="shared" si="2"/>
        <v>#DIV/0!</v>
      </c>
    </row>
    <row r="98" spans="1:4" hidden="1" outlineLevel="3" x14ac:dyDescent="0.25">
      <c r="A98" s="35" t="s">
        <v>98</v>
      </c>
      <c r="B98" s="35" t="s">
        <v>99</v>
      </c>
      <c r="C98" s="10"/>
      <c r="D98" s="11" t="e">
        <f t="shared" si="2"/>
        <v>#DIV/0!</v>
      </c>
    </row>
    <row r="99" spans="1:4" hidden="1" outlineLevel="3" x14ac:dyDescent="0.25">
      <c r="A99" s="35" t="s">
        <v>100</v>
      </c>
      <c r="B99" s="35" t="s">
        <v>101</v>
      </c>
      <c r="C99" s="10"/>
      <c r="D99" s="11" t="e">
        <f t="shared" si="2"/>
        <v>#DIV/0!</v>
      </c>
    </row>
    <row r="100" spans="1:4" hidden="1" outlineLevel="3" x14ac:dyDescent="0.25">
      <c r="A100" s="35" t="s">
        <v>102</v>
      </c>
      <c r="B100" s="35" t="s">
        <v>103</v>
      </c>
      <c r="C100" s="10"/>
      <c r="D100" s="11" t="e">
        <f t="shared" si="2"/>
        <v>#DIV/0!</v>
      </c>
    </row>
    <row r="101" spans="1:4" hidden="1" outlineLevel="3" x14ac:dyDescent="0.25">
      <c r="A101" s="35" t="s">
        <v>104</v>
      </c>
      <c r="B101" s="35" t="s">
        <v>105</v>
      </c>
      <c r="C101" s="10"/>
      <c r="D101" s="11" t="e">
        <f t="shared" si="2"/>
        <v>#DIV/0!</v>
      </c>
    </row>
    <row r="102" spans="1:4" hidden="1" outlineLevel="3" x14ac:dyDescent="0.25">
      <c r="A102" s="35" t="s">
        <v>106</v>
      </c>
      <c r="B102" s="35" t="s">
        <v>107</v>
      </c>
      <c r="C102" s="10"/>
      <c r="D102" s="11" t="e">
        <f t="shared" si="2"/>
        <v>#DIV/0!</v>
      </c>
    </row>
    <row r="103" spans="1:4" s="34" customFormat="1" outlineLevel="2" collapsed="1" x14ac:dyDescent="0.25">
      <c r="A103" s="29" t="s">
        <v>108</v>
      </c>
      <c r="B103" s="29" t="s">
        <v>109</v>
      </c>
      <c r="C103" s="13"/>
      <c r="D103" s="31" t="e">
        <f t="shared" si="2"/>
        <v>#DIV/0!</v>
      </c>
    </row>
    <row r="104" spans="1:4" hidden="1" outlineLevel="3" x14ac:dyDescent="0.25">
      <c r="A104" s="35" t="s">
        <v>110</v>
      </c>
      <c r="B104" s="35" t="s">
        <v>111</v>
      </c>
      <c r="C104" s="10"/>
      <c r="D104" s="11" t="e">
        <f t="shared" si="2"/>
        <v>#DIV/0!</v>
      </c>
    </row>
    <row r="105" spans="1:4" hidden="1" outlineLevel="3" x14ac:dyDescent="0.25">
      <c r="A105" s="35" t="s">
        <v>112</v>
      </c>
      <c r="B105" s="35" t="s">
        <v>113</v>
      </c>
      <c r="C105" s="10"/>
      <c r="D105" s="11" t="e">
        <f t="shared" si="2"/>
        <v>#DIV/0!</v>
      </c>
    </row>
    <row r="106" spans="1:4" hidden="1" outlineLevel="3" x14ac:dyDescent="0.25">
      <c r="A106" s="35" t="s">
        <v>114</v>
      </c>
      <c r="B106" s="35" t="s">
        <v>115</v>
      </c>
      <c r="C106" s="10"/>
      <c r="D106" s="11" t="e">
        <f t="shared" si="2"/>
        <v>#DIV/0!</v>
      </c>
    </row>
    <row r="107" spans="1:4" hidden="1" outlineLevel="3" x14ac:dyDescent="0.25">
      <c r="A107" s="35" t="s">
        <v>116</v>
      </c>
      <c r="B107" s="35" t="s">
        <v>117</v>
      </c>
      <c r="C107" s="10"/>
      <c r="D107" s="11" t="e">
        <f t="shared" si="2"/>
        <v>#DIV/0!</v>
      </c>
    </row>
    <row r="108" spans="1:4" hidden="1" outlineLevel="3" x14ac:dyDescent="0.25">
      <c r="A108" s="35" t="s">
        <v>118</v>
      </c>
      <c r="B108" s="35" t="s">
        <v>119</v>
      </c>
      <c r="C108" s="10"/>
      <c r="D108" s="11" t="e">
        <f t="shared" si="2"/>
        <v>#DIV/0!</v>
      </c>
    </row>
    <row r="109" spans="1:4" s="34" customFormat="1" outlineLevel="2" collapsed="1" x14ac:dyDescent="0.25">
      <c r="A109" s="29" t="s">
        <v>120</v>
      </c>
      <c r="B109" s="29" t="s">
        <v>121</v>
      </c>
      <c r="C109" s="13"/>
      <c r="D109" s="31" t="e">
        <f t="shared" si="2"/>
        <v>#DIV/0!</v>
      </c>
    </row>
    <row r="110" spans="1:4" s="34" customFormat="1" outlineLevel="2" x14ac:dyDescent="0.25">
      <c r="A110" s="34" t="s">
        <v>122</v>
      </c>
      <c r="B110" s="34" t="s">
        <v>123</v>
      </c>
      <c r="C110" s="13"/>
      <c r="D110" s="31" t="e">
        <f t="shared" si="2"/>
        <v>#DIV/0!</v>
      </c>
    </row>
    <row r="111" spans="1:4" hidden="1" outlineLevel="3" x14ac:dyDescent="0.25">
      <c r="A111" t="s">
        <v>124</v>
      </c>
      <c r="B111" t="s">
        <v>125</v>
      </c>
      <c r="C111" s="10"/>
      <c r="D111" s="11" t="e">
        <f t="shared" si="2"/>
        <v>#DIV/0!</v>
      </c>
    </row>
    <row r="112" spans="1:4" hidden="1" outlineLevel="3" x14ac:dyDescent="0.25">
      <c r="A112" t="s">
        <v>126</v>
      </c>
      <c r="B112" t="s">
        <v>127</v>
      </c>
      <c r="C112" s="10"/>
      <c r="D112" s="11" t="e">
        <f t="shared" si="2"/>
        <v>#DIV/0!</v>
      </c>
    </row>
    <row r="113" spans="1:4" hidden="1" outlineLevel="3" x14ac:dyDescent="0.25">
      <c r="A113" t="s">
        <v>128</v>
      </c>
      <c r="B113" t="s">
        <v>129</v>
      </c>
      <c r="C113" s="10"/>
      <c r="D113" s="11" t="e">
        <f t="shared" si="2"/>
        <v>#DIV/0!</v>
      </c>
    </row>
    <row r="114" spans="1:4" hidden="1" outlineLevel="3" x14ac:dyDescent="0.25">
      <c r="A114" t="s">
        <v>130</v>
      </c>
      <c r="B114" t="s">
        <v>131</v>
      </c>
      <c r="C114" s="10"/>
      <c r="D114" s="11" t="e">
        <f t="shared" si="2"/>
        <v>#DIV/0!</v>
      </c>
    </row>
    <row r="115" spans="1:4" hidden="1" outlineLevel="3" x14ac:dyDescent="0.25">
      <c r="A115" t="s">
        <v>132</v>
      </c>
      <c r="B115" t="s">
        <v>133</v>
      </c>
      <c r="C115" s="10"/>
      <c r="D115" s="11" t="e">
        <f t="shared" si="2"/>
        <v>#DIV/0!</v>
      </c>
    </row>
    <row r="116" spans="1:4" hidden="1" outlineLevel="3" x14ac:dyDescent="0.25">
      <c r="A116" t="s">
        <v>134</v>
      </c>
      <c r="B116" t="s">
        <v>135</v>
      </c>
      <c r="C116" s="10"/>
      <c r="D116" s="11" t="e">
        <f t="shared" si="2"/>
        <v>#DIV/0!</v>
      </c>
    </row>
    <row r="117" spans="1:4" s="34" customFormat="1" outlineLevel="2" collapsed="1" x14ac:dyDescent="0.25">
      <c r="A117" s="34" t="s">
        <v>136</v>
      </c>
      <c r="B117" s="37" t="s">
        <v>137</v>
      </c>
      <c r="C117" s="13"/>
      <c r="D117" s="31" t="e">
        <f t="shared" si="2"/>
        <v>#DIV/0!</v>
      </c>
    </row>
    <row r="118" spans="1:4" outlineLevel="2" x14ac:dyDescent="0.25">
      <c r="A118" s="27"/>
      <c r="B118" s="38"/>
      <c r="C118" s="21"/>
      <c r="D118" s="13"/>
    </row>
    <row r="119" spans="1:4" outlineLevel="1" x14ac:dyDescent="0.25">
      <c r="A119" s="9"/>
      <c r="B119" s="22" t="s">
        <v>138</v>
      </c>
      <c r="C119" s="13">
        <f>+C94+C103+C109+C110+C117</f>
        <v>0</v>
      </c>
      <c r="D119" s="11" t="e">
        <f>+C119/$C$91</f>
        <v>#DIV/0!</v>
      </c>
    </row>
    <row r="120" spans="1:4" outlineLevel="1" x14ac:dyDescent="0.25">
      <c r="A120" s="39"/>
      <c r="B120" s="13"/>
      <c r="C120" s="13"/>
      <c r="D120" s="10"/>
    </row>
    <row r="121" spans="1:4" outlineLevel="2" x14ac:dyDescent="0.25">
      <c r="A121" s="39"/>
      <c r="B121" s="13" t="s">
        <v>139</v>
      </c>
      <c r="C121" s="13"/>
      <c r="D121" s="10"/>
    </row>
    <row r="122" spans="1:4" s="34" customFormat="1" outlineLevel="2" x14ac:dyDescent="0.25">
      <c r="A122" s="29" t="s">
        <v>140</v>
      </c>
      <c r="B122" s="29" t="s">
        <v>91</v>
      </c>
      <c r="C122" s="30"/>
      <c r="D122" s="31" t="e">
        <f t="shared" ref="D122:D138" si="3">+C122/$C$91</f>
        <v>#DIV/0!</v>
      </c>
    </row>
    <row r="123" spans="1:4" hidden="1" outlineLevel="3" x14ac:dyDescent="0.25">
      <c r="A123" s="35" t="s">
        <v>141</v>
      </c>
      <c r="B123" s="35" t="s">
        <v>93</v>
      </c>
      <c r="C123" s="36"/>
      <c r="D123" s="11" t="e">
        <f t="shared" si="3"/>
        <v>#DIV/0!</v>
      </c>
    </row>
    <row r="124" spans="1:4" hidden="1" outlineLevel="3" x14ac:dyDescent="0.25">
      <c r="A124" s="35" t="s">
        <v>142</v>
      </c>
      <c r="B124" s="35" t="s">
        <v>95</v>
      </c>
      <c r="C124" s="10"/>
      <c r="D124" s="11" t="e">
        <f t="shared" si="3"/>
        <v>#DIV/0!</v>
      </c>
    </row>
    <row r="125" spans="1:4" hidden="1" outlineLevel="3" x14ac:dyDescent="0.25">
      <c r="A125" s="35" t="s">
        <v>143</v>
      </c>
      <c r="B125" s="35" t="s">
        <v>117</v>
      </c>
      <c r="C125" s="10"/>
      <c r="D125" s="11" t="e">
        <f t="shared" si="3"/>
        <v>#DIV/0!</v>
      </c>
    </row>
    <row r="126" spans="1:4" hidden="1" outlineLevel="3" x14ac:dyDescent="0.25">
      <c r="A126" s="35" t="s">
        <v>144</v>
      </c>
      <c r="B126" s="35" t="s">
        <v>99</v>
      </c>
      <c r="C126" s="10"/>
      <c r="D126" s="11" t="e">
        <f t="shared" si="3"/>
        <v>#DIV/0!</v>
      </c>
    </row>
    <row r="127" spans="1:4" hidden="1" outlineLevel="3" x14ac:dyDescent="0.25">
      <c r="A127" s="35" t="s">
        <v>145</v>
      </c>
      <c r="B127" s="35" t="s">
        <v>101</v>
      </c>
      <c r="C127" s="10"/>
      <c r="D127" s="11" t="e">
        <f t="shared" si="3"/>
        <v>#DIV/0!</v>
      </c>
    </row>
    <row r="128" spans="1:4" hidden="1" outlineLevel="3" x14ac:dyDescent="0.25">
      <c r="A128" s="35" t="s">
        <v>146</v>
      </c>
      <c r="B128" s="35" t="s">
        <v>147</v>
      </c>
      <c r="C128" s="10"/>
      <c r="D128" s="11" t="e">
        <f t="shared" si="3"/>
        <v>#DIV/0!</v>
      </c>
    </row>
    <row r="129" spans="1:4" hidden="1" outlineLevel="3" x14ac:dyDescent="0.25">
      <c r="A129" s="35" t="s">
        <v>148</v>
      </c>
      <c r="B129" s="35" t="s">
        <v>103</v>
      </c>
      <c r="C129" s="10"/>
      <c r="D129" s="11" t="e">
        <f t="shared" si="3"/>
        <v>#DIV/0!</v>
      </c>
    </row>
    <row r="130" spans="1:4" hidden="1" outlineLevel="3" x14ac:dyDescent="0.25">
      <c r="A130" s="35" t="s">
        <v>149</v>
      </c>
      <c r="B130" s="35" t="s">
        <v>105</v>
      </c>
      <c r="C130" s="10"/>
      <c r="D130" s="11" t="e">
        <f t="shared" si="3"/>
        <v>#DIV/0!</v>
      </c>
    </row>
    <row r="131" spans="1:4" hidden="1" outlineLevel="3" x14ac:dyDescent="0.25">
      <c r="A131" s="35" t="s">
        <v>150</v>
      </c>
      <c r="B131" s="35" t="s">
        <v>107</v>
      </c>
      <c r="C131" s="10"/>
      <c r="D131" s="11" t="e">
        <f t="shared" si="3"/>
        <v>#DIV/0!</v>
      </c>
    </row>
    <row r="132" spans="1:4" s="34" customFormat="1" outlineLevel="2" collapsed="1" x14ac:dyDescent="0.25">
      <c r="A132" s="29" t="s">
        <v>151</v>
      </c>
      <c r="B132" s="29" t="s">
        <v>109</v>
      </c>
      <c r="C132" s="13"/>
      <c r="D132" s="31" t="e">
        <f t="shared" si="3"/>
        <v>#DIV/0!</v>
      </c>
    </row>
    <row r="133" spans="1:4" hidden="1" outlineLevel="3" x14ac:dyDescent="0.25">
      <c r="A133" s="35" t="s">
        <v>152</v>
      </c>
      <c r="B133" s="35" t="s">
        <v>111</v>
      </c>
      <c r="C133" s="10"/>
      <c r="D133" s="11" t="e">
        <f t="shared" si="3"/>
        <v>#DIV/0!</v>
      </c>
    </row>
    <row r="134" spans="1:4" hidden="1" outlineLevel="3" x14ac:dyDescent="0.25">
      <c r="A134" s="35" t="s">
        <v>153</v>
      </c>
      <c r="B134" s="35" t="s">
        <v>113</v>
      </c>
      <c r="C134" s="10"/>
      <c r="D134" s="11" t="e">
        <f t="shared" si="3"/>
        <v>#DIV/0!</v>
      </c>
    </row>
    <row r="135" spans="1:4" hidden="1" outlineLevel="3" x14ac:dyDescent="0.25">
      <c r="A135" s="35" t="s">
        <v>154</v>
      </c>
      <c r="B135" s="35" t="s">
        <v>115</v>
      </c>
      <c r="C135" s="10"/>
      <c r="D135" s="11" t="e">
        <f t="shared" si="3"/>
        <v>#DIV/0!</v>
      </c>
    </row>
    <row r="136" spans="1:4" hidden="1" outlineLevel="3" x14ac:dyDescent="0.25">
      <c r="A136" s="35" t="s">
        <v>155</v>
      </c>
      <c r="B136" s="35" t="s">
        <v>117</v>
      </c>
      <c r="C136" s="10"/>
      <c r="D136" s="11" t="e">
        <f t="shared" si="3"/>
        <v>#DIV/0!</v>
      </c>
    </row>
    <row r="137" spans="1:4" hidden="1" outlineLevel="3" x14ac:dyDescent="0.25">
      <c r="A137" s="35" t="s">
        <v>156</v>
      </c>
      <c r="B137" s="35" t="s">
        <v>119</v>
      </c>
      <c r="C137" s="10"/>
      <c r="D137" s="11" t="e">
        <f t="shared" si="3"/>
        <v>#DIV/0!</v>
      </c>
    </row>
    <row r="138" spans="1:4" s="34" customFormat="1" outlineLevel="2" collapsed="1" x14ac:dyDescent="0.25">
      <c r="A138" s="29" t="s">
        <v>157</v>
      </c>
      <c r="B138" s="29" t="s">
        <v>121</v>
      </c>
      <c r="C138" s="13"/>
      <c r="D138" s="31" t="e">
        <f t="shared" si="3"/>
        <v>#DIV/0!</v>
      </c>
    </row>
    <row r="139" spans="1:4" outlineLevel="2" x14ac:dyDescent="0.25">
      <c r="A139" s="27"/>
      <c r="B139" s="38"/>
      <c r="C139" s="21"/>
      <c r="D139" s="10"/>
    </row>
    <row r="140" spans="1:4" outlineLevel="1" x14ac:dyDescent="0.25">
      <c r="A140" s="9"/>
      <c r="B140" s="13" t="s">
        <v>158</v>
      </c>
      <c r="C140" s="13">
        <f>+C122+C132+C138</f>
        <v>0</v>
      </c>
      <c r="D140" s="11" t="e">
        <f>+C140/$C$91</f>
        <v>#DIV/0!</v>
      </c>
    </row>
    <row r="141" spans="1:4" outlineLevel="1" x14ac:dyDescent="0.25">
      <c r="A141" s="39"/>
      <c r="B141" s="13"/>
      <c r="C141" s="13"/>
      <c r="D141" s="10"/>
    </row>
    <row r="142" spans="1:4" outlineLevel="2" x14ac:dyDescent="0.25">
      <c r="A142" s="39"/>
      <c r="B142" s="13" t="s">
        <v>159</v>
      </c>
      <c r="C142" s="13"/>
      <c r="D142" s="10"/>
    </row>
    <row r="143" spans="1:4" s="34" customFormat="1" outlineLevel="2" x14ac:dyDescent="0.25">
      <c r="A143" s="29" t="s">
        <v>160</v>
      </c>
      <c r="B143" s="29" t="s">
        <v>91</v>
      </c>
      <c r="C143" s="32"/>
      <c r="D143" s="31" t="e">
        <f t="shared" ref="D143:D204" si="4">+C143/$C$91</f>
        <v>#DIV/0!</v>
      </c>
    </row>
    <row r="144" spans="1:4" hidden="1" outlineLevel="3" x14ac:dyDescent="0.25">
      <c r="A144" s="35" t="s">
        <v>161</v>
      </c>
      <c r="B144" s="35" t="s">
        <v>93</v>
      </c>
      <c r="C144" s="32"/>
      <c r="D144" s="11" t="e">
        <f t="shared" si="4"/>
        <v>#DIV/0!</v>
      </c>
    </row>
    <row r="145" spans="1:4" hidden="1" outlineLevel="3" x14ac:dyDescent="0.25">
      <c r="A145" s="35" t="s">
        <v>162</v>
      </c>
      <c r="B145" s="35" t="s">
        <v>95</v>
      </c>
      <c r="C145" s="32"/>
      <c r="D145" s="11" t="e">
        <f t="shared" si="4"/>
        <v>#DIV/0!</v>
      </c>
    </row>
    <row r="146" spans="1:4" hidden="1" outlineLevel="3" x14ac:dyDescent="0.25">
      <c r="A146" s="35" t="s">
        <v>163</v>
      </c>
      <c r="B146" s="35" t="s">
        <v>97</v>
      </c>
      <c r="C146" s="32"/>
      <c r="D146" s="11" t="e">
        <f t="shared" si="4"/>
        <v>#DIV/0!</v>
      </c>
    </row>
    <row r="147" spans="1:4" hidden="1" outlineLevel="3" x14ac:dyDescent="0.25">
      <c r="A147" s="35" t="s">
        <v>164</v>
      </c>
      <c r="B147" s="35" t="s">
        <v>99</v>
      </c>
      <c r="C147" s="32"/>
      <c r="D147" s="11" t="e">
        <f t="shared" si="4"/>
        <v>#DIV/0!</v>
      </c>
    </row>
    <row r="148" spans="1:4" hidden="1" outlineLevel="3" x14ac:dyDescent="0.25">
      <c r="A148" s="35" t="s">
        <v>165</v>
      </c>
      <c r="B148" s="35" t="s">
        <v>101</v>
      </c>
      <c r="C148" s="32"/>
      <c r="D148" s="11" t="e">
        <f t="shared" si="4"/>
        <v>#DIV/0!</v>
      </c>
    </row>
    <row r="149" spans="1:4" hidden="1" outlineLevel="3" x14ac:dyDescent="0.25">
      <c r="A149" s="35" t="s">
        <v>166</v>
      </c>
      <c r="B149" s="35" t="s">
        <v>103</v>
      </c>
      <c r="C149" s="32"/>
      <c r="D149" s="11" t="e">
        <f t="shared" si="4"/>
        <v>#DIV/0!</v>
      </c>
    </row>
    <row r="150" spans="1:4" hidden="1" outlineLevel="3" x14ac:dyDescent="0.25">
      <c r="A150" s="35" t="s">
        <v>167</v>
      </c>
      <c r="B150" s="35" t="s">
        <v>105</v>
      </c>
      <c r="C150" s="32"/>
      <c r="D150" s="11" t="e">
        <f t="shared" si="4"/>
        <v>#DIV/0!</v>
      </c>
    </row>
    <row r="151" spans="1:4" hidden="1" outlineLevel="3" x14ac:dyDescent="0.25">
      <c r="A151" s="35" t="s">
        <v>168</v>
      </c>
      <c r="B151" s="35" t="s">
        <v>107</v>
      </c>
      <c r="C151" s="32"/>
      <c r="D151" s="11" t="e">
        <f t="shared" si="4"/>
        <v>#DIV/0!</v>
      </c>
    </row>
    <row r="152" spans="1:4" hidden="1" outlineLevel="3" x14ac:dyDescent="0.25">
      <c r="A152" s="35" t="s">
        <v>169</v>
      </c>
      <c r="B152" s="35" t="s">
        <v>93</v>
      </c>
      <c r="C152" s="32"/>
      <c r="D152" s="11" t="e">
        <f t="shared" si="4"/>
        <v>#DIV/0!</v>
      </c>
    </row>
    <row r="153" spans="1:4" hidden="1" outlineLevel="3" x14ac:dyDescent="0.25">
      <c r="A153" s="35" t="s">
        <v>170</v>
      </c>
      <c r="B153" s="35" t="s">
        <v>95</v>
      </c>
      <c r="C153" s="32"/>
      <c r="D153" s="11" t="e">
        <f t="shared" si="4"/>
        <v>#DIV/0!</v>
      </c>
    </row>
    <row r="154" spans="1:4" hidden="1" outlineLevel="3" x14ac:dyDescent="0.25">
      <c r="A154" s="35" t="s">
        <v>171</v>
      </c>
      <c r="B154" s="35" t="s">
        <v>172</v>
      </c>
      <c r="C154" s="32"/>
      <c r="D154" s="11" t="e">
        <f t="shared" si="4"/>
        <v>#DIV/0!</v>
      </c>
    </row>
    <row r="155" spans="1:4" hidden="1" outlineLevel="3" x14ac:dyDescent="0.25">
      <c r="A155" s="35" t="s">
        <v>173</v>
      </c>
      <c r="B155" s="35" t="s">
        <v>99</v>
      </c>
      <c r="C155" s="32"/>
      <c r="D155" s="11" t="e">
        <f t="shared" si="4"/>
        <v>#DIV/0!</v>
      </c>
    </row>
    <row r="156" spans="1:4" hidden="1" outlineLevel="3" x14ac:dyDescent="0.25">
      <c r="A156" s="35" t="s">
        <v>174</v>
      </c>
      <c r="B156" s="35" t="s">
        <v>101</v>
      </c>
      <c r="C156" s="32"/>
      <c r="D156" s="11" t="e">
        <f t="shared" si="4"/>
        <v>#DIV/0!</v>
      </c>
    </row>
    <row r="157" spans="1:4" hidden="1" outlineLevel="3" x14ac:dyDescent="0.25">
      <c r="A157" s="35" t="s">
        <v>175</v>
      </c>
      <c r="B157" s="35" t="s">
        <v>176</v>
      </c>
      <c r="C157" s="32"/>
      <c r="D157" s="11" t="e">
        <f t="shared" si="4"/>
        <v>#DIV/0!</v>
      </c>
    </row>
    <row r="158" spans="1:4" s="34" customFormat="1" outlineLevel="2" collapsed="1" x14ac:dyDescent="0.25">
      <c r="A158" s="29" t="s">
        <v>177</v>
      </c>
      <c r="B158" s="29" t="s">
        <v>109</v>
      </c>
      <c r="C158" s="32"/>
      <c r="D158" s="31" t="e">
        <f t="shared" si="4"/>
        <v>#DIV/0!</v>
      </c>
    </row>
    <row r="159" spans="1:4" hidden="1" outlineLevel="3" x14ac:dyDescent="0.25">
      <c r="A159" s="35" t="s">
        <v>178</v>
      </c>
      <c r="B159" s="35" t="s">
        <v>111</v>
      </c>
      <c r="C159" s="32"/>
      <c r="D159" s="11" t="e">
        <f t="shared" si="4"/>
        <v>#DIV/0!</v>
      </c>
    </row>
    <row r="160" spans="1:4" hidden="1" outlineLevel="3" x14ac:dyDescent="0.25">
      <c r="A160" t="s">
        <v>179</v>
      </c>
      <c r="B160" t="s">
        <v>113</v>
      </c>
      <c r="C160" s="32"/>
      <c r="D160" s="11" t="e">
        <f t="shared" si="4"/>
        <v>#DIV/0!</v>
      </c>
    </row>
    <row r="161" spans="1:4" hidden="1" outlineLevel="3" x14ac:dyDescent="0.25">
      <c r="A161" t="s">
        <v>180</v>
      </c>
      <c r="B161" t="s">
        <v>115</v>
      </c>
      <c r="C161" s="32"/>
      <c r="D161" s="11" t="e">
        <f t="shared" si="4"/>
        <v>#DIV/0!</v>
      </c>
    </row>
    <row r="162" spans="1:4" hidden="1" outlineLevel="3" x14ac:dyDescent="0.25">
      <c r="A162" t="s">
        <v>181</v>
      </c>
      <c r="B162" t="s">
        <v>117</v>
      </c>
      <c r="C162" s="32"/>
      <c r="D162" s="11" t="e">
        <f t="shared" si="4"/>
        <v>#DIV/0!</v>
      </c>
    </row>
    <row r="163" spans="1:4" hidden="1" outlineLevel="3" x14ac:dyDescent="0.25">
      <c r="A163" t="s">
        <v>182</v>
      </c>
      <c r="B163" t="s">
        <v>119</v>
      </c>
      <c r="C163" s="32"/>
      <c r="D163" s="11" t="e">
        <f t="shared" si="4"/>
        <v>#DIV/0!</v>
      </c>
    </row>
    <row r="164" spans="1:4" s="34" customFormat="1" outlineLevel="2" collapsed="1" x14ac:dyDescent="0.25">
      <c r="A164" s="29" t="s">
        <v>183</v>
      </c>
      <c r="B164" s="29" t="s">
        <v>121</v>
      </c>
      <c r="C164" s="32"/>
      <c r="D164" s="31" t="e">
        <f t="shared" si="4"/>
        <v>#DIV/0!</v>
      </c>
    </row>
    <row r="165" spans="1:4" s="34" customFormat="1" outlineLevel="2" x14ac:dyDescent="0.25">
      <c r="A165" s="34" t="s">
        <v>184</v>
      </c>
      <c r="B165" s="34" t="s">
        <v>185</v>
      </c>
      <c r="C165" s="32"/>
      <c r="D165" s="31" t="e">
        <f t="shared" si="4"/>
        <v>#DIV/0!</v>
      </c>
    </row>
    <row r="166" spans="1:4" hidden="1" outlineLevel="3" x14ac:dyDescent="0.25">
      <c r="A166" t="s">
        <v>186</v>
      </c>
      <c r="B166" t="s">
        <v>187</v>
      </c>
      <c r="C166" s="32"/>
      <c r="D166" s="11" t="e">
        <f t="shared" si="4"/>
        <v>#DIV/0!</v>
      </c>
    </row>
    <row r="167" spans="1:4" hidden="1" outlineLevel="3" x14ac:dyDescent="0.25">
      <c r="A167" t="s">
        <v>188</v>
      </c>
      <c r="B167" t="s">
        <v>189</v>
      </c>
      <c r="C167" s="32"/>
      <c r="D167" s="11" t="e">
        <f t="shared" si="4"/>
        <v>#DIV/0!</v>
      </c>
    </row>
    <row r="168" spans="1:4" hidden="1" outlineLevel="3" x14ac:dyDescent="0.25">
      <c r="A168" t="s">
        <v>190</v>
      </c>
      <c r="B168" t="s">
        <v>191</v>
      </c>
      <c r="C168" s="32"/>
      <c r="D168" s="11" t="e">
        <f t="shared" si="4"/>
        <v>#DIV/0!</v>
      </c>
    </row>
    <row r="169" spans="1:4" hidden="1" outlineLevel="3" x14ac:dyDescent="0.25">
      <c r="A169" t="s">
        <v>192</v>
      </c>
      <c r="B169" t="s">
        <v>193</v>
      </c>
      <c r="C169" s="32"/>
      <c r="D169" s="11" t="e">
        <f t="shared" si="4"/>
        <v>#DIV/0!</v>
      </c>
    </row>
    <row r="170" spans="1:4" hidden="1" outlineLevel="3" x14ac:dyDescent="0.25">
      <c r="A170" t="s">
        <v>194</v>
      </c>
      <c r="B170" t="s">
        <v>195</v>
      </c>
      <c r="C170" s="32"/>
      <c r="D170" s="11" t="e">
        <f t="shared" si="4"/>
        <v>#DIV/0!</v>
      </c>
    </row>
    <row r="171" spans="1:4" hidden="1" outlineLevel="3" x14ac:dyDescent="0.25">
      <c r="A171" t="s">
        <v>196</v>
      </c>
      <c r="B171" t="s">
        <v>197</v>
      </c>
      <c r="C171" s="32"/>
      <c r="D171" s="11" t="e">
        <f t="shared" si="4"/>
        <v>#DIV/0!</v>
      </c>
    </row>
    <row r="172" spans="1:4" hidden="1" outlineLevel="3" x14ac:dyDescent="0.25">
      <c r="A172" t="s">
        <v>198</v>
      </c>
      <c r="B172" t="s">
        <v>199</v>
      </c>
      <c r="C172" s="32"/>
      <c r="D172" s="11" t="e">
        <f t="shared" si="4"/>
        <v>#DIV/0!</v>
      </c>
    </row>
    <row r="173" spans="1:4" hidden="1" outlineLevel="3" x14ac:dyDescent="0.25">
      <c r="A173" t="s">
        <v>200</v>
      </c>
      <c r="B173" t="s">
        <v>201</v>
      </c>
      <c r="C173" s="32"/>
      <c r="D173" s="11" t="e">
        <f t="shared" si="4"/>
        <v>#DIV/0!</v>
      </c>
    </row>
    <row r="174" spans="1:4" hidden="1" outlineLevel="3" x14ac:dyDescent="0.25">
      <c r="A174" t="s">
        <v>202</v>
      </c>
      <c r="B174" t="s">
        <v>203</v>
      </c>
      <c r="C174" s="32"/>
      <c r="D174" s="11" t="e">
        <f t="shared" si="4"/>
        <v>#DIV/0!</v>
      </c>
    </row>
    <row r="175" spans="1:4" hidden="1" outlineLevel="3" x14ac:dyDescent="0.25">
      <c r="A175" t="s">
        <v>204</v>
      </c>
      <c r="B175" t="s">
        <v>205</v>
      </c>
      <c r="C175" s="32"/>
      <c r="D175" s="11" t="e">
        <f t="shared" si="4"/>
        <v>#DIV/0!</v>
      </c>
    </row>
    <row r="176" spans="1:4" hidden="1" outlineLevel="3" x14ac:dyDescent="0.25">
      <c r="A176" t="s">
        <v>206</v>
      </c>
      <c r="B176" t="s">
        <v>135</v>
      </c>
      <c r="C176" s="32"/>
      <c r="D176" s="11" t="e">
        <f t="shared" si="4"/>
        <v>#DIV/0!</v>
      </c>
    </row>
    <row r="177" spans="1:4" hidden="1" outlineLevel="3" x14ac:dyDescent="0.25">
      <c r="A177" t="s">
        <v>207</v>
      </c>
      <c r="B177" t="s">
        <v>208</v>
      </c>
      <c r="C177" s="32"/>
      <c r="D177" s="11" t="e">
        <f t="shared" si="4"/>
        <v>#DIV/0!</v>
      </c>
    </row>
    <row r="178" spans="1:4" outlineLevel="2" collapsed="1" x14ac:dyDescent="0.25">
      <c r="A178" s="34" t="s">
        <v>209</v>
      </c>
      <c r="B178" s="34" t="s">
        <v>210</v>
      </c>
      <c r="C178" s="32"/>
      <c r="D178" s="11" t="e">
        <f t="shared" si="4"/>
        <v>#DIV/0!</v>
      </c>
    </row>
    <row r="179" spans="1:4" s="34" customFormat="1" outlineLevel="2" x14ac:dyDescent="0.25">
      <c r="A179" s="34" t="s">
        <v>211</v>
      </c>
      <c r="B179" s="34" t="s">
        <v>212</v>
      </c>
      <c r="C179" s="32"/>
      <c r="D179" s="31" t="e">
        <f t="shared" si="4"/>
        <v>#DIV/0!</v>
      </c>
    </row>
    <row r="180" spans="1:4" s="34" customFormat="1" outlineLevel="2" x14ac:dyDescent="0.25">
      <c r="A180" s="34" t="s">
        <v>213</v>
      </c>
      <c r="B180" s="34" t="s">
        <v>214</v>
      </c>
      <c r="C180" s="32"/>
      <c r="D180" s="31" t="e">
        <f t="shared" si="4"/>
        <v>#DIV/0!</v>
      </c>
    </row>
    <row r="181" spans="1:4" s="34" customFormat="1" outlineLevel="2" x14ac:dyDescent="0.25">
      <c r="A181" s="34" t="s">
        <v>215</v>
      </c>
      <c r="B181" s="34" t="s">
        <v>216</v>
      </c>
      <c r="C181" s="32"/>
      <c r="D181" s="31" t="e">
        <f t="shared" si="4"/>
        <v>#DIV/0!</v>
      </c>
    </row>
    <row r="182" spans="1:4" s="34" customFormat="1" outlineLevel="2" x14ac:dyDescent="0.25">
      <c r="A182" s="34" t="s">
        <v>217</v>
      </c>
      <c r="B182" s="34" t="s">
        <v>218</v>
      </c>
      <c r="C182" s="32"/>
      <c r="D182" s="31" t="e">
        <f t="shared" si="4"/>
        <v>#DIV/0!</v>
      </c>
    </row>
    <row r="183" spans="1:4" s="34" customFormat="1" outlineLevel="2" x14ac:dyDescent="0.25">
      <c r="A183" s="34" t="s">
        <v>219</v>
      </c>
      <c r="B183" s="34" t="s">
        <v>220</v>
      </c>
      <c r="C183" s="32"/>
      <c r="D183" s="31" t="e">
        <f t="shared" si="4"/>
        <v>#DIV/0!</v>
      </c>
    </row>
    <row r="184" spans="1:4" hidden="1" outlineLevel="3" x14ac:dyDescent="0.25">
      <c r="A184" t="s">
        <v>221</v>
      </c>
      <c r="B184" t="s">
        <v>222</v>
      </c>
      <c r="C184" s="32"/>
      <c r="D184" s="11" t="e">
        <f t="shared" si="4"/>
        <v>#DIV/0!</v>
      </c>
    </row>
    <row r="185" spans="1:4" hidden="1" outlineLevel="3" x14ac:dyDescent="0.25">
      <c r="A185" t="s">
        <v>223</v>
      </c>
      <c r="B185" t="s">
        <v>224</v>
      </c>
      <c r="C185" s="32"/>
      <c r="D185" s="11" t="e">
        <f t="shared" si="4"/>
        <v>#DIV/0!</v>
      </c>
    </row>
    <row r="186" spans="1:4" hidden="1" outlineLevel="3" x14ac:dyDescent="0.25">
      <c r="A186" t="s">
        <v>225</v>
      </c>
      <c r="B186" t="s">
        <v>226</v>
      </c>
      <c r="C186" s="32"/>
      <c r="D186" s="11" t="e">
        <f t="shared" si="4"/>
        <v>#DIV/0!</v>
      </c>
    </row>
    <row r="187" spans="1:4" s="34" customFormat="1" outlineLevel="2" collapsed="1" x14ac:dyDescent="0.25">
      <c r="A187" s="34" t="s">
        <v>227</v>
      </c>
      <c r="B187" s="34" t="s">
        <v>228</v>
      </c>
      <c r="C187" s="32"/>
      <c r="D187" s="31" t="e">
        <f t="shared" si="4"/>
        <v>#DIV/0!</v>
      </c>
    </row>
    <row r="188" spans="1:4" s="34" customFormat="1" outlineLevel="2" x14ac:dyDescent="0.25">
      <c r="A188" s="34" t="s">
        <v>229</v>
      </c>
      <c r="B188" s="34" t="s">
        <v>230</v>
      </c>
      <c r="C188" s="32"/>
      <c r="D188" s="31" t="e">
        <f t="shared" si="4"/>
        <v>#DIV/0!</v>
      </c>
    </row>
    <row r="189" spans="1:4" hidden="1" outlineLevel="3" x14ac:dyDescent="0.25">
      <c r="A189" t="s">
        <v>231</v>
      </c>
      <c r="B189" t="s">
        <v>189</v>
      </c>
      <c r="C189" s="32"/>
      <c r="D189" s="11" t="e">
        <f t="shared" si="4"/>
        <v>#DIV/0!</v>
      </c>
    </row>
    <row r="190" spans="1:4" hidden="1" outlineLevel="3" x14ac:dyDescent="0.25">
      <c r="A190" t="s">
        <v>232</v>
      </c>
      <c r="B190" t="s">
        <v>195</v>
      </c>
      <c r="C190" s="32"/>
      <c r="D190" s="11" t="e">
        <f t="shared" si="4"/>
        <v>#DIV/0!</v>
      </c>
    </row>
    <row r="191" spans="1:4" s="34" customFormat="1" outlineLevel="2" collapsed="1" x14ac:dyDescent="0.25">
      <c r="A191" s="34" t="s">
        <v>233</v>
      </c>
      <c r="B191" s="34" t="s">
        <v>234</v>
      </c>
      <c r="C191" s="32"/>
      <c r="D191" s="31" t="e">
        <f t="shared" si="4"/>
        <v>#DIV/0!</v>
      </c>
    </row>
    <row r="192" spans="1:4" s="34" customFormat="1" outlineLevel="2" x14ac:dyDescent="0.25">
      <c r="A192" s="34" t="s">
        <v>235</v>
      </c>
      <c r="B192" s="34" t="s">
        <v>236</v>
      </c>
      <c r="C192" s="32"/>
      <c r="D192" s="31" t="e">
        <f t="shared" si="4"/>
        <v>#DIV/0!</v>
      </c>
    </row>
    <row r="193" spans="1:4" s="34" customFormat="1" outlineLevel="2" x14ac:dyDescent="0.25">
      <c r="A193" s="34" t="s">
        <v>237</v>
      </c>
      <c r="B193" s="34" t="s">
        <v>238</v>
      </c>
      <c r="C193" s="32"/>
      <c r="D193" s="31" t="e">
        <f t="shared" si="4"/>
        <v>#DIV/0!</v>
      </c>
    </row>
    <row r="194" spans="1:4" s="34" customFormat="1" outlineLevel="2" x14ac:dyDescent="0.25">
      <c r="A194" s="34" t="s">
        <v>239</v>
      </c>
      <c r="B194" s="34" t="s">
        <v>240</v>
      </c>
      <c r="C194" s="32"/>
      <c r="D194" s="31" t="e">
        <f t="shared" si="4"/>
        <v>#DIV/0!</v>
      </c>
    </row>
    <row r="195" spans="1:4" hidden="1" outlineLevel="3" x14ac:dyDescent="0.25">
      <c r="A195" t="s">
        <v>241</v>
      </c>
      <c r="B195" t="s">
        <v>242</v>
      </c>
      <c r="C195" s="10"/>
      <c r="D195" s="11" t="e">
        <f t="shared" si="4"/>
        <v>#DIV/0!</v>
      </c>
    </row>
    <row r="196" spans="1:4" hidden="1" outlineLevel="3" x14ac:dyDescent="0.25">
      <c r="A196" t="s">
        <v>243</v>
      </c>
      <c r="B196" t="s">
        <v>244</v>
      </c>
      <c r="C196" s="10"/>
      <c r="D196" s="11" t="e">
        <f t="shared" si="4"/>
        <v>#DIV/0!</v>
      </c>
    </row>
    <row r="197" spans="1:4" hidden="1" outlineLevel="3" x14ac:dyDescent="0.25">
      <c r="A197" t="s">
        <v>245</v>
      </c>
      <c r="B197" t="s">
        <v>119</v>
      </c>
      <c r="C197" s="10"/>
      <c r="D197" s="11" t="e">
        <f t="shared" si="4"/>
        <v>#DIV/0!</v>
      </c>
    </row>
    <row r="198" spans="1:4" hidden="1" outlineLevel="3" x14ac:dyDescent="0.25">
      <c r="A198" t="s">
        <v>246</v>
      </c>
      <c r="B198" t="s">
        <v>218</v>
      </c>
      <c r="C198" s="10"/>
      <c r="D198" s="11" t="e">
        <f t="shared" si="4"/>
        <v>#DIV/0!</v>
      </c>
    </row>
    <row r="199" spans="1:4" hidden="1" outlineLevel="3" x14ac:dyDescent="0.25">
      <c r="A199" t="s">
        <v>247</v>
      </c>
      <c r="B199" t="s">
        <v>216</v>
      </c>
      <c r="C199" s="10"/>
      <c r="D199" s="11" t="e">
        <f t="shared" si="4"/>
        <v>#DIV/0!</v>
      </c>
    </row>
    <row r="200" spans="1:4" hidden="1" outlineLevel="3" x14ac:dyDescent="0.25">
      <c r="A200" t="s">
        <v>248</v>
      </c>
      <c r="B200" t="s">
        <v>91</v>
      </c>
      <c r="C200" s="10"/>
      <c r="D200" s="11" t="e">
        <f t="shared" si="4"/>
        <v>#DIV/0!</v>
      </c>
    </row>
    <row r="201" spans="1:4" hidden="1" outlineLevel="3" x14ac:dyDescent="0.25">
      <c r="A201" t="s">
        <v>249</v>
      </c>
      <c r="B201" t="s">
        <v>250</v>
      </c>
      <c r="C201" s="10"/>
      <c r="D201" s="11" t="e">
        <f t="shared" si="4"/>
        <v>#DIV/0!</v>
      </c>
    </row>
    <row r="202" spans="1:4" hidden="1" outlineLevel="3" x14ac:dyDescent="0.25">
      <c r="A202" t="s">
        <v>251</v>
      </c>
      <c r="B202" t="s">
        <v>121</v>
      </c>
      <c r="C202" s="10"/>
      <c r="D202" s="11" t="e">
        <f t="shared" si="4"/>
        <v>#DIV/0!</v>
      </c>
    </row>
    <row r="203" spans="1:4" outlineLevel="2" collapsed="1" x14ac:dyDescent="0.25">
      <c r="A203" s="34" t="s">
        <v>252</v>
      </c>
      <c r="B203" s="34" t="s">
        <v>253</v>
      </c>
      <c r="C203" s="32"/>
      <c r="D203" s="31" t="e">
        <f t="shared" si="4"/>
        <v>#DIV/0!</v>
      </c>
    </row>
    <row r="204" spans="1:4" outlineLevel="2" collapsed="1" x14ac:dyDescent="0.25">
      <c r="A204" s="34" t="s">
        <v>254</v>
      </c>
      <c r="B204" s="37" t="s">
        <v>137</v>
      </c>
      <c r="C204" s="32"/>
      <c r="D204" s="31" t="e">
        <f t="shared" si="4"/>
        <v>#DIV/0!</v>
      </c>
    </row>
    <row r="205" spans="1:4" outlineLevel="2" x14ac:dyDescent="0.25">
      <c r="A205" s="27"/>
      <c r="B205" s="38"/>
      <c r="C205" s="21"/>
      <c r="D205" s="10"/>
    </row>
    <row r="206" spans="1:4" outlineLevel="1" x14ac:dyDescent="0.25">
      <c r="A206" s="9"/>
      <c r="B206" s="13" t="s">
        <v>255</v>
      </c>
      <c r="C206" s="13">
        <f>+C143+C158+C164+C165+C179+C180+C181+C182+C183+C187+C188+C192+C193+C194+C178+C191+C203+C204</f>
        <v>0</v>
      </c>
      <c r="D206" s="11" t="e">
        <f>+C206/$C$91</f>
        <v>#DIV/0!</v>
      </c>
    </row>
    <row r="207" spans="1:4" outlineLevel="1" x14ac:dyDescent="0.25">
      <c r="A207" s="39"/>
      <c r="B207" s="13"/>
      <c r="C207" s="13"/>
      <c r="D207" s="10"/>
    </row>
    <row r="208" spans="1:4" outlineLevel="2" x14ac:dyDescent="0.25">
      <c r="A208" s="27"/>
      <c r="B208" s="22" t="s">
        <v>256</v>
      </c>
      <c r="C208" s="10"/>
      <c r="D208" s="10"/>
    </row>
    <row r="209" spans="1:4" s="34" customFormat="1" outlineLevel="2" x14ac:dyDescent="0.25">
      <c r="A209" s="34" t="s">
        <v>257</v>
      </c>
      <c r="B209" s="13" t="s">
        <v>185</v>
      </c>
      <c r="C209" s="32"/>
      <c r="D209" s="31" t="e">
        <f t="shared" ref="D209:D239" si="5">+C209/$C$91</f>
        <v>#DIV/0!</v>
      </c>
    </row>
    <row r="210" spans="1:4" hidden="1" outlineLevel="3" x14ac:dyDescent="0.25">
      <c r="A210" t="s">
        <v>258</v>
      </c>
      <c r="B210" s="10" t="s">
        <v>187</v>
      </c>
      <c r="C210" s="36"/>
      <c r="D210" s="11" t="e">
        <f t="shared" si="5"/>
        <v>#DIV/0!</v>
      </c>
    </row>
    <row r="211" spans="1:4" hidden="1" outlineLevel="3" x14ac:dyDescent="0.25">
      <c r="A211" t="s">
        <v>259</v>
      </c>
      <c r="B211" s="10" t="s">
        <v>189</v>
      </c>
      <c r="C211" s="10"/>
      <c r="D211" s="11" t="e">
        <f t="shared" si="5"/>
        <v>#DIV/0!</v>
      </c>
    </row>
    <row r="212" spans="1:4" hidden="1" outlineLevel="3" x14ac:dyDescent="0.25">
      <c r="A212" t="s">
        <v>260</v>
      </c>
      <c r="B212" s="10" t="s">
        <v>191</v>
      </c>
      <c r="C212" s="10"/>
      <c r="D212" s="11" t="e">
        <f t="shared" si="5"/>
        <v>#DIV/0!</v>
      </c>
    </row>
    <row r="213" spans="1:4" hidden="1" outlineLevel="3" x14ac:dyDescent="0.25">
      <c r="A213" t="s">
        <v>261</v>
      </c>
      <c r="B213" s="10" t="s">
        <v>193</v>
      </c>
      <c r="C213" s="10"/>
      <c r="D213" s="11" t="e">
        <f t="shared" si="5"/>
        <v>#DIV/0!</v>
      </c>
    </row>
    <row r="214" spans="1:4" hidden="1" outlineLevel="3" x14ac:dyDescent="0.25">
      <c r="A214" t="s">
        <v>262</v>
      </c>
      <c r="B214" s="10" t="s">
        <v>195</v>
      </c>
      <c r="C214" s="10"/>
      <c r="D214" s="11" t="e">
        <f t="shared" si="5"/>
        <v>#DIV/0!</v>
      </c>
    </row>
    <row r="215" spans="1:4" hidden="1" outlineLevel="3" x14ac:dyDescent="0.25">
      <c r="A215" t="s">
        <v>263</v>
      </c>
      <c r="B215" s="10" t="s">
        <v>264</v>
      </c>
      <c r="C215" s="10"/>
      <c r="D215" s="11" t="e">
        <f t="shared" si="5"/>
        <v>#DIV/0!</v>
      </c>
    </row>
    <row r="216" spans="1:4" hidden="1" outlineLevel="3" x14ac:dyDescent="0.25">
      <c r="A216" t="s">
        <v>265</v>
      </c>
      <c r="B216" s="10" t="s">
        <v>199</v>
      </c>
      <c r="C216" s="10"/>
      <c r="D216" s="11" t="e">
        <f t="shared" si="5"/>
        <v>#DIV/0!</v>
      </c>
    </row>
    <row r="217" spans="1:4" hidden="1" outlineLevel="3" x14ac:dyDescent="0.25">
      <c r="A217" t="s">
        <v>266</v>
      </c>
      <c r="B217" s="10" t="s">
        <v>267</v>
      </c>
      <c r="C217" s="10"/>
      <c r="D217" s="11" t="e">
        <f t="shared" si="5"/>
        <v>#DIV/0!</v>
      </c>
    </row>
    <row r="218" spans="1:4" hidden="1" outlineLevel="3" x14ac:dyDescent="0.25">
      <c r="A218" t="s">
        <v>268</v>
      </c>
      <c r="B218" s="10" t="s">
        <v>201</v>
      </c>
      <c r="C218" s="10"/>
      <c r="D218" s="11" t="e">
        <f t="shared" si="5"/>
        <v>#DIV/0!</v>
      </c>
    </row>
    <row r="219" spans="1:4" hidden="1" outlineLevel="3" x14ac:dyDescent="0.25">
      <c r="A219" t="s">
        <v>269</v>
      </c>
      <c r="B219" s="10" t="s">
        <v>203</v>
      </c>
      <c r="C219" s="10"/>
      <c r="D219" s="11" t="e">
        <f t="shared" si="5"/>
        <v>#DIV/0!</v>
      </c>
    </row>
    <row r="220" spans="1:4" hidden="1" outlineLevel="3" x14ac:dyDescent="0.25">
      <c r="A220" t="s">
        <v>270</v>
      </c>
      <c r="B220" s="10" t="s">
        <v>205</v>
      </c>
      <c r="C220" s="10"/>
      <c r="D220" s="11" t="e">
        <f t="shared" si="5"/>
        <v>#DIV/0!</v>
      </c>
    </row>
    <row r="221" spans="1:4" hidden="1" outlineLevel="3" x14ac:dyDescent="0.25">
      <c r="A221" t="s">
        <v>271</v>
      </c>
      <c r="B221" s="10" t="s">
        <v>135</v>
      </c>
      <c r="C221" s="10"/>
      <c r="D221" s="11" t="e">
        <f t="shared" si="5"/>
        <v>#DIV/0!</v>
      </c>
    </row>
    <row r="222" spans="1:4" hidden="1" outlineLevel="3" x14ac:dyDescent="0.25">
      <c r="A222" t="s">
        <v>272</v>
      </c>
      <c r="B222" s="10" t="s">
        <v>208</v>
      </c>
      <c r="C222" s="10"/>
      <c r="D222" s="11" t="e">
        <f t="shared" si="5"/>
        <v>#DIV/0!</v>
      </c>
    </row>
    <row r="223" spans="1:4" s="34" customFormat="1" outlineLevel="2" collapsed="1" x14ac:dyDescent="0.25">
      <c r="A223" s="34" t="s">
        <v>273</v>
      </c>
      <c r="B223" s="13" t="s">
        <v>123</v>
      </c>
      <c r="C223" s="13"/>
      <c r="D223" s="31" t="e">
        <f t="shared" si="5"/>
        <v>#DIV/0!</v>
      </c>
    </row>
    <row r="224" spans="1:4" hidden="1" outlineLevel="3" x14ac:dyDescent="0.25">
      <c r="A224" t="s">
        <v>274</v>
      </c>
      <c r="B224" s="10" t="s">
        <v>125</v>
      </c>
      <c r="C224" s="10"/>
      <c r="D224" s="11" t="e">
        <f t="shared" si="5"/>
        <v>#DIV/0!</v>
      </c>
    </row>
    <row r="225" spans="1:4" hidden="1" outlineLevel="3" x14ac:dyDescent="0.25">
      <c r="A225" t="s">
        <v>275</v>
      </c>
      <c r="B225" s="10" t="s">
        <v>127</v>
      </c>
      <c r="C225" s="10"/>
      <c r="D225" s="11" t="e">
        <f t="shared" si="5"/>
        <v>#DIV/0!</v>
      </c>
    </row>
    <row r="226" spans="1:4" hidden="1" outlineLevel="3" x14ac:dyDescent="0.25">
      <c r="A226" t="s">
        <v>276</v>
      </c>
      <c r="B226" s="10" t="s">
        <v>129</v>
      </c>
      <c r="C226" s="10"/>
      <c r="D226" s="11" t="e">
        <f t="shared" si="5"/>
        <v>#DIV/0!</v>
      </c>
    </row>
    <row r="227" spans="1:4" hidden="1" outlineLevel="3" x14ac:dyDescent="0.25">
      <c r="A227" t="s">
        <v>277</v>
      </c>
      <c r="B227" s="10" t="s">
        <v>131</v>
      </c>
      <c r="C227" s="10"/>
      <c r="D227" s="11" t="e">
        <f t="shared" si="5"/>
        <v>#DIV/0!</v>
      </c>
    </row>
    <row r="228" spans="1:4" hidden="1" outlineLevel="3" x14ac:dyDescent="0.25">
      <c r="A228" t="s">
        <v>278</v>
      </c>
      <c r="B228" s="10" t="s">
        <v>133</v>
      </c>
      <c r="C228" s="10"/>
      <c r="D228" s="11" t="e">
        <f t="shared" si="5"/>
        <v>#DIV/0!</v>
      </c>
    </row>
    <row r="229" spans="1:4" hidden="1" outlineLevel="3" x14ac:dyDescent="0.25">
      <c r="A229" t="s">
        <v>279</v>
      </c>
      <c r="B229" s="10" t="s">
        <v>135</v>
      </c>
      <c r="C229" s="10"/>
      <c r="D229" s="11" t="e">
        <f t="shared" si="5"/>
        <v>#DIV/0!</v>
      </c>
    </row>
    <row r="230" spans="1:4" s="34" customFormat="1" outlineLevel="2" collapsed="1" x14ac:dyDescent="0.25">
      <c r="A230" s="34" t="s">
        <v>280</v>
      </c>
      <c r="B230" s="13" t="s">
        <v>212</v>
      </c>
      <c r="C230" s="13"/>
      <c r="D230" s="31" t="e">
        <f t="shared" si="5"/>
        <v>#DIV/0!</v>
      </c>
    </row>
    <row r="231" spans="1:4" s="34" customFormat="1" outlineLevel="2" x14ac:dyDescent="0.25">
      <c r="A231" s="34" t="s">
        <v>281</v>
      </c>
      <c r="B231" s="13" t="s">
        <v>230</v>
      </c>
      <c r="C231" s="13"/>
      <c r="D231" s="31" t="e">
        <f t="shared" si="5"/>
        <v>#DIV/0!</v>
      </c>
    </row>
    <row r="232" spans="1:4" hidden="1" outlineLevel="3" x14ac:dyDescent="0.25">
      <c r="A232" t="s">
        <v>282</v>
      </c>
      <c r="B232" s="10" t="s">
        <v>189</v>
      </c>
      <c r="C232" s="10"/>
      <c r="D232" s="11" t="e">
        <f t="shared" si="5"/>
        <v>#DIV/0!</v>
      </c>
    </row>
    <row r="233" spans="1:4" hidden="1" outlineLevel="3" x14ac:dyDescent="0.25">
      <c r="A233" t="s">
        <v>283</v>
      </c>
      <c r="B233" s="10" t="s">
        <v>195</v>
      </c>
      <c r="C233" s="10"/>
      <c r="D233" s="11" t="e">
        <f t="shared" si="5"/>
        <v>#DIV/0!</v>
      </c>
    </row>
    <row r="234" spans="1:4" outlineLevel="2" collapsed="1" x14ac:dyDescent="0.25">
      <c r="A234" s="34" t="s">
        <v>284</v>
      </c>
      <c r="B234" s="13" t="s">
        <v>285</v>
      </c>
      <c r="C234" s="13"/>
      <c r="D234" s="31" t="e">
        <f t="shared" si="5"/>
        <v>#DIV/0!</v>
      </c>
    </row>
    <row r="235" spans="1:4" s="34" customFormat="1" outlineLevel="2" x14ac:dyDescent="0.25">
      <c r="A235" s="34" t="s">
        <v>286</v>
      </c>
      <c r="B235" s="13" t="s">
        <v>240</v>
      </c>
      <c r="C235" s="13"/>
      <c r="D235" s="31" t="e">
        <f t="shared" si="5"/>
        <v>#DIV/0!</v>
      </c>
    </row>
    <row r="236" spans="1:4" hidden="1" outlineLevel="3" x14ac:dyDescent="0.25">
      <c r="A236" t="s">
        <v>287</v>
      </c>
      <c r="B236" s="10" t="s">
        <v>123</v>
      </c>
      <c r="C236" s="10">
        <f>((SUMIFS([6]BALANZAS!$J:$J,[6]BALANZAS!$B:$B,$A236,[6]BALANZAS!$A:$A,'RESULTADOS ACUM'!C$4)))/1000</f>
        <v>0</v>
      </c>
      <c r="D236" s="11" t="e">
        <f t="shared" si="5"/>
        <v>#DIV/0!</v>
      </c>
    </row>
    <row r="237" spans="1:4" hidden="1" outlineLevel="3" x14ac:dyDescent="0.25">
      <c r="A237" t="s">
        <v>288</v>
      </c>
      <c r="B237" s="10" t="s">
        <v>212</v>
      </c>
      <c r="C237" s="10">
        <f>((SUMIFS([6]BALANZAS!$J:$J,[6]BALANZAS!$B:$B,$A237,[6]BALANZAS!$A:$A,'RESULTADOS ACUM'!C$4)))/1000</f>
        <v>0</v>
      </c>
      <c r="D237" s="11" t="e">
        <f t="shared" si="5"/>
        <v>#DIV/0!</v>
      </c>
    </row>
    <row r="238" spans="1:4" hidden="1" outlineLevel="3" x14ac:dyDescent="0.25">
      <c r="A238" t="s">
        <v>289</v>
      </c>
      <c r="B238" s="10" t="s">
        <v>185</v>
      </c>
      <c r="C238" s="10">
        <f>((SUMIFS([6]BALANZAS!$J:$J,[6]BALANZAS!$B:$B,$A238,[6]BALANZAS!$A:$A,'RESULTADOS ACUM'!C$4)))/1000</f>
        <v>0</v>
      </c>
      <c r="D238" s="11" t="e">
        <f t="shared" si="5"/>
        <v>#DIV/0!</v>
      </c>
    </row>
    <row r="239" spans="1:4" hidden="1" outlineLevel="3" x14ac:dyDescent="0.25">
      <c r="A239" t="s">
        <v>290</v>
      </c>
      <c r="B239" s="10" t="s">
        <v>291</v>
      </c>
      <c r="C239" s="10">
        <f>((SUMIFS([6]BALANZAS!$J:$J,[6]BALANZAS!$B:$B,$A239,[6]BALANZAS!$A:$A,'RESULTADOS ACUM'!C$4)))/1000</f>
        <v>0</v>
      </c>
      <c r="D239" s="11" t="e">
        <f t="shared" si="5"/>
        <v>#DIV/0!</v>
      </c>
    </row>
    <row r="240" spans="1:4" outlineLevel="2" collapsed="1" x14ac:dyDescent="0.25">
      <c r="A240" s="27"/>
      <c r="B240" s="38"/>
      <c r="C240" s="21"/>
      <c r="D240" s="10"/>
    </row>
    <row r="241" spans="1:4" outlineLevel="1" x14ac:dyDescent="0.25">
      <c r="A241" s="9"/>
      <c r="B241" s="22" t="s">
        <v>292</v>
      </c>
      <c r="C241" s="13">
        <f>+C209+C223+C230+C231+C235+C234</f>
        <v>0</v>
      </c>
      <c r="D241" s="11" t="e">
        <f>+C241/$C$91</f>
        <v>#DIV/0!</v>
      </c>
    </row>
    <row r="242" spans="1:4" outlineLevel="1" x14ac:dyDescent="0.25">
      <c r="A242" s="39"/>
      <c r="B242" s="13"/>
      <c r="C242" s="13"/>
    </row>
    <row r="243" spans="1:4" outlineLevel="2" x14ac:dyDescent="0.25">
      <c r="A243" s="39"/>
      <c r="B243" s="13" t="s">
        <v>293</v>
      </c>
      <c r="C243" s="13"/>
    </row>
    <row r="244" spans="1:4" s="34" customFormat="1" outlineLevel="2" x14ac:dyDescent="0.25">
      <c r="A244" s="29" t="s">
        <v>294</v>
      </c>
      <c r="B244" s="29" t="s">
        <v>91</v>
      </c>
      <c r="C244" s="30"/>
      <c r="D244" s="31" t="e">
        <f t="shared" ref="D244:D307" si="6">+C244/$C$91</f>
        <v>#DIV/0!</v>
      </c>
    </row>
    <row r="245" spans="1:4" hidden="1" outlineLevel="3" x14ac:dyDescent="0.25">
      <c r="A245" s="35" t="s">
        <v>295</v>
      </c>
      <c r="B245" s="35" t="s">
        <v>93</v>
      </c>
      <c r="C245" s="30"/>
      <c r="D245" s="11" t="e">
        <f t="shared" si="6"/>
        <v>#DIV/0!</v>
      </c>
    </row>
    <row r="246" spans="1:4" hidden="1" outlineLevel="3" x14ac:dyDescent="0.25">
      <c r="A246" s="35" t="s">
        <v>296</v>
      </c>
      <c r="B246" s="35" t="s">
        <v>95</v>
      </c>
      <c r="C246" s="30"/>
      <c r="D246" s="11" t="e">
        <f t="shared" si="6"/>
        <v>#DIV/0!</v>
      </c>
    </row>
    <row r="247" spans="1:4" hidden="1" outlineLevel="3" x14ac:dyDescent="0.25">
      <c r="A247" s="35" t="s">
        <v>297</v>
      </c>
      <c r="B247" s="35" t="s">
        <v>97</v>
      </c>
      <c r="C247" s="30"/>
      <c r="D247" s="11" t="e">
        <f t="shared" si="6"/>
        <v>#DIV/0!</v>
      </c>
    </row>
    <row r="248" spans="1:4" hidden="1" outlineLevel="3" x14ac:dyDescent="0.25">
      <c r="A248" s="35" t="s">
        <v>298</v>
      </c>
      <c r="B248" s="35" t="s">
        <v>99</v>
      </c>
      <c r="C248" s="30"/>
      <c r="D248" s="11" t="e">
        <f t="shared" si="6"/>
        <v>#DIV/0!</v>
      </c>
    </row>
    <row r="249" spans="1:4" hidden="1" outlineLevel="3" x14ac:dyDescent="0.25">
      <c r="A249" s="35" t="s">
        <v>299</v>
      </c>
      <c r="B249" s="35" t="s">
        <v>101</v>
      </c>
      <c r="C249" s="30"/>
      <c r="D249" s="11" t="e">
        <f t="shared" si="6"/>
        <v>#DIV/0!</v>
      </c>
    </row>
    <row r="250" spans="1:4" hidden="1" outlineLevel="3" x14ac:dyDescent="0.25">
      <c r="A250" s="35" t="s">
        <v>300</v>
      </c>
      <c r="B250" s="35" t="s">
        <v>147</v>
      </c>
      <c r="C250" s="30"/>
      <c r="D250" s="11" t="e">
        <f t="shared" si="6"/>
        <v>#DIV/0!</v>
      </c>
    </row>
    <row r="251" spans="1:4" hidden="1" outlineLevel="3" x14ac:dyDescent="0.25">
      <c r="A251" s="35" t="s">
        <v>301</v>
      </c>
      <c r="B251" s="35" t="s">
        <v>103</v>
      </c>
      <c r="C251" s="30"/>
      <c r="D251" s="11" t="e">
        <f t="shared" si="6"/>
        <v>#DIV/0!</v>
      </c>
    </row>
    <row r="252" spans="1:4" hidden="1" outlineLevel="3" x14ac:dyDescent="0.25">
      <c r="A252" s="35" t="s">
        <v>302</v>
      </c>
      <c r="B252" s="35" t="s">
        <v>105</v>
      </c>
      <c r="C252" s="30"/>
      <c r="D252" s="11" t="e">
        <f t="shared" si="6"/>
        <v>#DIV/0!</v>
      </c>
    </row>
    <row r="253" spans="1:4" hidden="1" outlineLevel="3" x14ac:dyDescent="0.25">
      <c r="A253" s="35" t="s">
        <v>303</v>
      </c>
      <c r="B253" s="35" t="s">
        <v>107</v>
      </c>
      <c r="C253" s="30"/>
      <c r="D253" s="11" t="e">
        <f t="shared" si="6"/>
        <v>#DIV/0!</v>
      </c>
    </row>
    <row r="254" spans="1:4" hidden="1" outlineLevel="3" x14ac:dyDescent="0.25">
      <c r="A254" s="35" t="s">
        <v>304</v>
      </c>
      <c r="B254" s="35" t="s">
        <v>305</v>
      </c>
      <c r="C254" s="30"/>
      <c r="D254" s="11" t="e">
        <f t="shared" si="6"/>
        <v>#DIV/0!</v>
      </c>
    </row>
    <row r="255" spans="1:4" s="34" customFormat="1" outlineLevel="2" collapsed="1" x14ac:dyDescent="0.25">
      <c r="A255" s="29" t="s">
        <v>306</v>
      </c>
      <c r="B255" s="29" t="s">
        <v>109</v>
      </c>
      <c r="C255" s="30"/>
      <c r="D255" s="31" t="e">
        <f t="shared" si="6"/>
        <v>#DIV/0!</v>
      </c>
    </row>
    <row r="256" spans="1:4" hidden="1" outlineLevel="3" x14ac:dyDescent="0.25">
      <c r="A256" s="35" t="s">
        <v>307</v>
      </c>
      <c r="B256" s="35" t="s">
        <v>111</v>
      </c>
      <c r="C256" s="30"/>
      <c r="D256" s="11" t="e">
        <f t="shared" si="6"/>
        <v>#DIV/0!</v>
      </c>
    </row>
    <row r="257" spans="1:4" hidden="1" outlineLevel="3" x14ac:dyDescent="0.25">
      <c r="A257" s="35" t="s">
        <v>308</v>
      </c>
      <c r="B257" s="35" t="s">
        <v>113</v>
      </c>
      <c r="C257" s="30"/>
      <c r="D257" s="11" t="e">
        <f t="shared" si="6"/>
        <v>#DIV/0!</v>
      </c>
    </row>
    <row r="258" spans="1:4" hidden="1" outlineLevel="3" x14ac:dyDescent="0.25">
      <c r="A258" s="35" t="s">
        <v>309</v>
      </c>
      <c r="B258" s="35" t="s">
        <v>115</v>
      </c>
      <c r="C258" s="30"/>
      <c r="D258" s="11" t="e">
        <f t="shared" si="6"/>
        <v>#DIV/0!</v>
      </c>
    </row>
    <row r="259" spans="1:4" hidden="1" outlineLevel="3" x14ac:dyDescent="0.25">
      <c r="A259" s="35" t="s">
        <v>310</v>
      </c>
      <c r="B259" s="35" t="s">
        <v>117</v>
      </c>
      <c r="C259" s="30"/>
      <c r="D259" s="11" t="e">
        <f t="shared" si="6"/>
        <v>#DIV/0!</v>
      </c>
    </row>
    <row r="260" spans="1:4" hidden="1" outlineLevel="3" x14ac:dyDescent="0.25">
      <c r="A260" s="35" t="s">
        <v>311</v>
      </c>
      <c r="B260" s="35" t="s">
        <v>119</v>
      </c>
      <c r="C260" s="30"/>
      <c r="D260" s="11" t="e">
        <f t="shared" si="6"/>
        <v>#DIV/0!</v>
      </c>
    </row>
    <row r="261" spans="1:4" s="34" customFormat="1" outlineLevel="2" collapsed="1" x14ac:dyDescent="0.25">
      <c r="A261" s="29" t="s">
        <v>312</v>
      </c>
      <c r="B261" s="29" t="s">
        <v>121</v>
      </c>
      <c r="C261" s="30"/>
      <c r="D261" s="31" t="e">
        <f t="shared" si="6"/>
        <v>#DIV/0!</v>
      </c>
    </row>
    <row r="262" spans="1:4" s="34" customFormat="1" outlineLevel="2" x14ac:dyDescent="0.25">
      <c r="A262" s="34" t="s">
        <v>313</v>
      </c>
      <c r="B262" s="34" t="s">
        <v>185</v>
      </c>
      <c r="C262" s="30"/>
      <c r="D262" s="31" t="e">
        <f t="shared" si="6"/>
        <v>#DIV/0!</v>
      </c>
    </row>
    <row r="263" spans="1:4" hidden="1" outlineLevel="3" x14ac:dyDescent="0.25">
      <c r="A263" t="s">
        <v>314</v>
      </c>
      <c r="B263" t="s">
        <v>187</v>
      </c>
      <c r="C263" s="30"/>
      <c r="D263" s="11" t="e">
        <f t="shared" si="6"/>
        <v>#DIV/0!</v>
      </c>
    </row>
    <row r="264" spans="1:4" hidden="1" outlineLevel="3" x14ac:dyDescent="0.25">
      <c r="A264" t="s">
        <v>315</v>
      </c>
      <c r="B264" t="s">
        <v>189</v>
      </c>
      <c r="C264" s="30"/>
      <c r="D264" s="11" t="e">
        <f t="shared" si="6"/>
        <v>#DIV/0!</v>
      </c>
    </row>
    <row r="265" spans="1:4" hidden="1" outlineLevel="3" x14ac:dyDescent="0.25">
      <c r="A265" t="s">
        <v>316</v>
      </c>
      <c r="B265" t="s">
        <v>191</v>
      </c>
      <c r="C265" s="30"/>
      <c r="D265" s="11" t="e">
        <f t="shared" si="6"/>
        <v>#DIV/0!</v>
      </c>
    </row>
    <row r="266" spans="1:4" hidden="1" outlineLevel="3" x14ac:dyDescent="0.25">
      <c r="A266" t="s">
        <v>317</v>
      </c>
      <c r="B266" t="s">
        <v>193</v>
      </c>
      <c r="C266" s="30"/>
      <c r="D266" s="11" t="e">
        <f t="shared" si="6"/>
        <v>#DIV/0!</v>
      </c>
    </row>
    <row r="267" spans="1:4" hidden="1" outlineLevel="3" x14ac:dyDescent="0.25">
      <c r="A267" t="s">
        <v>318</v>
      </c>
      <c r="B267" t="s">
        <v>195</v>
      </c>
      <c r="C267" s="30"/>
      <c r="D267" s="11" t="e">
        <f t="shared" si="6"/>
        <v>#DIV/0!</v>
      </c>
    </row>
    <row r="268" spans="1:4" hidden="1" outlineLevel="3" x14ac:dyDescent="0.25">
      <c r="A268" s="40" t="s">
        <v>319</v>
      </c>
      <c r="B268" t="s">
        <v>197</v>
      </c>
      <c r="C268" s="30"/>
      <c r="D268" s="11" t="e">
        <f t="shared" si="6"/>
        <v>#DIV/0!</v>
      </c>
    </row>
    <row r="269" spans="1:4" hidden="1" outlineLevel="3" x14ac:dyDescent="0.25">
      <c r="A269" t="s">
        <v>320</v>
      </c>
      <c r="B269" t="s">
        <v>199</v>
      </c>
      <c r="C269" s="30"/>
      <c r="D269" s="11" t="e">
        <f t="shared" si="6"/>
        <v>#DIV/0!</v>
      </c>
    </row>
    <row r="270" spans="1:4" hidden="1" outlineLevel="3" x14ac:dyDescent="0.25">
      <c r="A270" s="40" t="s">
        <v>321</v>
      </c>
      <c r="B270" t="s">
        <v>201</v>
      </c>
      <c r="C270" s="30"/>
      <c r="D270" s="11" t="e">
        <f t="shared" si="6"/>
        <v>#DIV/0!</v>
      </c>
    </row>
    <row r="271" spans="1:4" hidden="1" outlineLevel="3" x14ac:dyDescent="0.25">
      <c r="A271" t="s">
        <v>322</v>
      </c>
      <c r="B271" t="s">
        <v>205</v>
      </c>
      <c r="C271" s="30"/>
      <c r="D271" s="11" t="e">
        <f t="shared" si="6"/>
        <v>#DIV/0!</v>
      </c>
    </row>
    <row r="272" spans="1:4" hidden="1" outlineLevel="3" x14ac:dyDescent="0.25">
      <c r="A272" t="s">
        <v>323</v>
      </c>
      <c r="B272" t="s">
        <v>135</v>
      </c>
      <c r="C272" s="30"/>
      <c r="D272" s="11" t="e">
        <f t="shared" si="6"/>
        <v>#DIV/0!</v>
      </c>
    </row>
    <row r="273" spans="1:4" hidden="1" outlineLevel="3" x14ac:dyDescent="0.25">
      <c r="A273" t="s">
        <v>324</v>
      </c>
      <c r="B273" t="s">
        <v>208</v>
      </c>
      <c r="C273" s="30"/>
      <c r="D273" s="11" t="e">
        <f t="shared" si="6"/>
        <v>#DIV/0!</v>
      </c>
    </row>
    <row r="274" spans="1:4" outlineLevel="2" collapsed="1" x14ac:dyDescent="0.25">
      <c r="A274" s="34" t="s">
        <v>325</v>
      </c>
      <c r="B274" s="34" t="s">
        <v>210</v>
      </c>
      <c r="C274" s="30"/>
      <c r="D274" s="31" t="e">
        <f t="shared" si="6"/>
        <v>#DIV/0!</v>
      </c>
    </row>
    <row r="275" spans="1:4" s="34" customFormat="1" outlineLevel="2" x14ac:dyDescent="0.25">
      <c r="A275" s="34" t="s">
        <v>326</v>
      </c>
      <c r="B275" s="34" t="s">
        <v>123</v>
      </c>
      <c r="C275" s="30"/>
      <c r="D275" s="31" t="e">
        <f t="shared" si="6"/>
        <v>#DIV/0!</v>
      </c>
    </row>
    <row r="276" spans="1:4" hidden="1" outlineLevel="3" x14ac:dyDescent="0.25">
      <c r="A276" t="s">
        <v>327</v>
      </c>
      <c r="B276" t="s">
        <v>125</v>
      </c>
      <c r="C276" s="30"/>
      <c r="D276" s="11" t="e">
        <f t="shared" si="6"/>
        <v>#DIV/0!</v>
      </c>
    </row>
    <row r="277" spans="1:4" hidden="1" outlineLevel="3" x14ac:dyDescent="0.25">
      <c r="A277" t="s">
        <v>328</v>
      </c>
      <c r="B277" t="s">
        <v>127</v>
      </c>
      <c r="C277" s="30"/>
      <c r="D277" s="11" t="e">
        <f t="shared" si="6"/>
        <v>#DIV/0!</v>
      </c>
    </row>
    <row r="278" spans="1:4" hidden="1" outlineLevel="3" x14ac:dyDescent="0.25">
      <c r="A278" t="s">
        <v>329</v>
      </c>
      <c r="B278" t="s">
        <v>129</v>
      </c>
      <c r="C278" s="30"/>
      <c r="D278" s="11" t="e">
        <f t="shared" si="6"/>
        <v>#DIV/0!</v>
      </c>
    </row>
    <row r="279" spans="1:4" hidden="1" outlineLevel="3" x14ac:dyDescent="0.25">
      <c r="A279" t="s">
        <v>330</v>
      </c>
      <c r="B279" t="s">
        <v>131</v>
      </c>
      <c r="C279" s="30"/>
      <c r="D279" s="11" t="e">
        <f t="shared" si="6"/>
        <v>#DIV/0!</v>
      </c>
    </row>
    <row r="280" spans="1:4" hidden="1" outlineLevel="3" x14ac:dyDescent="0.25">
      <c r="A280" t="s">
        <v>331</v>
      </c>
      <c r="B280" t="s">
        <v>133</v>
      </c>
      <c r="C280" s="30"/>
      <c r="D280" s="11" t="e">
        <f t="shared" si="6"/>
        <v>#DIV/0!</v>
      </c>
    </row>
    <row r="281" spans="1:4" hidden="1" outlineLevel="3" x14ac:dyDescent="0.25">
      <c r="A281" t="s">
        <v>332</v>
      </c>
      <c r="B281" t="s">
        <v>135</v>
      </c>
      <c r="C281" s="30"/>
      <c r="D281" s="11" t="e">
        <f t="shared" si="6"/>
        <v>#DIV/0!</v>
      </c>
    </row>
    <row r="282" spans="1:4" s="34" customFormat="1" outlineLevel="2" collapsed="1" x14ac:dyDescent="0.25">
      <c r="A282" s="34" t="s">
        <v>333</v>
      </c>
      <c r="B282" s="34" t="s">
        <v>205</v>
      </c>
      <c r="C282" s="30"/>
      <c r="D282" s="31" t="e">
        <f t="shared" si="6"/>
        <v>#DIV/0!</v>
      </c>
    </row>
    <row r="283" spans="1:4" hidden="1" outlineLevel="3" x14ac:dyDescent="0.25">
      <c r="A283" t="s">
        <v>334</v>
      </c>
      <c r="B283" t="s">
        <v>335</v>
      </c>
      <c r="C283" s="30"/>
      <c r="D283" s="11" t="e">
        <f t="shared" si="6"/>
        <v>#DIV/0!</v>
      </c>
    </row>
    <row r="284" spans="1:4" hidden="1" outlineLevel="3" x14ac:dyDescent="0.25">
      <c r="A284" t="s">
        <v>336</v>
      </c>
      <c r="B284" t="s">
        <v>337</v>
      </c>
      <c r="C284" s="30"/>
      <c r="D284" s="11" t="e">
        <f t="shared" si="6"/>
        <v>#DIV/0!</v>
      </c>
    </row>
    <row r="285" spans="1:4" s="34" customFormat="1" outlineLevel="2" collapsed="1" x14ac:dyDescent="0.25">
      <c r="A285" s="34" t="s">
        <v>338</v>
      </c>
      <c r="B285" s="34" t="s">
        <v>212</v>
      </c>
      <c r="C285" s="30"/>
      <c r="D285" s="31" t="e">
        <f t="shared" si="6"/>
        <v>#DIV/0!</v>
      </c>
    </row>
    <row r="286" spans="1:4" s="34" customFormat="1" outlineLevel="2" collapsed="1" x14ac:dyDescent="0.25">
      <c r="A286" s="34" t="s">
        <v>339</v>
      </c>
      <c r="B286" s="34" t="s">
        <v>199</v>
      </c>
      <c r="C286" s="30"/>
      <c r="D286" s="31" t="e">
        <f t="shared" si="6"/>
        <v>#DIV/0!</v>
      </c>
    </row>
    <row r="287" spans="1:4" s="34" customFormat="1" outlineLevel="2" x14ac:dyDescent="0.25">
      <c r="A287" s="34" t="s">
        <v>340</v>
      </c>
      <c r="B287" s="34" t="s">
        <v>214</v>
      </c>
      <c r="C287" s="30"/>
      <c r="D287" s="31" t="e">
        <f t="shared" si="6"/>
        <v>#DIV/0!</v>
      </c>
    </row>
    <row r="288" spans="1:4" s="34" customFormat="1" outlineLevel="2" x14ac:dyDescent="0.25">
      <c r="A288" s="34" t="s">
        <v>341</v>
      </c>
      <c r="B288" s="34" t="s">
        <v>216</v>
      </c>
      <c r="C288" s="30"/>
      <c r="D288" s="31" t="e">
        <f t="shared" si="6"/>
        <v>#DIV/0!</v>
      </c>
    </row>
    <row r="289" spans="1:4" s="34" customFormat="1" outlineLevel="2" x14ac:dyDescent="0.25">
      <c r="A289" s="34" t="s">
        <v>342</v>
      </c>
      <c r="B289" s="34" t="s">
        <v>228</v>
      </c>
      <c r="C289" s="30"/>
      <c r="D289" s="31" t="e">
        <f t="shared" si="6"/>
        <v>#DIV/0!</v>
      </c>
    </row>
    <row r="290" spans="1:4" s="34" customFormat="1" outlineLevel="2" x14ac:dyDescent="0.25">
      <c r="A290" s="34" t="s">
        <v>343</v>
      </c>
      <c r="B290" s="34" t="s">
        <v>344</v>
      </c>
      <c r="C290" s="30"/>
      <c r="D290" s="31" t="e">
        <f t="shared" si="6"/>
        <v>#DIV/0!</v>
      </c>
    </row>
    <row r="291" spans="1:4" s="34" customFormat="1" outlineLevel="2" x14ac:dyDescent="0.25">
      <c r="A291" s="34" t="s">
        <v>345</v>
      </c>
      <c r="B291" s="34" t="s">
        <v>346</v>
      </c>
      <c r="C291" s="30"/>
      <c r="D291" s="31" t="e">
        <f t="shared" si="6"/>
        <v>#DIV/0!</v>
      </c>
    </row>
    <row r="292" spans="1:4" s="34" customFormat="1" outlineLevel="2" x14ac:dyDescent="0.25">
      <c r="A292" s="34" t="s">
        <v>347</v>
      </c>
      <c r="B292" s="34" t="s">
        <v>348</v>
      </c>
      <c r="C292" s="30"/>
      <c r="D292" s="31" t="e">
        <f t="shared" si="6"/>
        <v>#DIV/0!</v>
      </c>
    </row>
    <row r="293" spans="1:4" s="34" customFormat="1" outlineLevel="2" x14ac:dyDescent="0.25">
      <c r="A293" s="34" t="s">
        <v>349</v>
      </c>
      <c r="B293" s="34" t="s">
        <v>135</v>
      </c>
      <c r="C293" s="30"/>
      <c r="D293" s="31" t="e">
        <f t="shared" si="6"/>
        <v>#DIV/0!</v>
      </c>
    </row>
    <row r="294" spans="1:4" s="34" customFormat="1" outlineLevel="2" x14ac:dyDescent="0.25">
      <c r="A294" s="34" t="s">
        <v>350</v>
      </c>
      <c r="B294" s="34" t="s">
        <v>230</v>
      </c>
      <c r="C294" s="30"/>
      <c r="D294" s="31" t="e">
        <f t="shared" si="6"/>
        <v>#DIV/0!</v>
      </c>
    </row>
    <row r="295" spans="1:4" hidden="1" outlineLevel="3" x14ac:dyDescent="0.25">
      <c r="A295" t="s">
        <v>351</v>
      </c>
      <c r="B295" t="s">
        <v>187</v>
      </c>
      <c r="C295" s="30"/>
      <c r="D295" s="11" t="e">
        <f t="shared" si="6"/>
        <v>#DIV/0!</v>
      </c>
    </row>
    <row r="296" spans="1:4" hidden="1" outlineLevel="3" x14ac:dyDescent="0.25">
      <c r="A296" t="s">
        <v>352</v>
      </c>
      <c r="B296" t="s">
        <v>189</v>
      </c>
      <c r="C296" s="30"/>
      <c r="D296" s="11" t="e">
        <f t="shared" si="6"/>
        <v>#DIV/0!</v>
      </c>
    </row>
    <row r="297" spans="1:4" hidden="1" outlineLevel="3" x14ac:dyDescent="0.25">
      <c r="A297" t="s">
        <v>353</v>
      </c>
      <c r="B297" t="s">
        <v>191</v>
      </c>
      <c r="C297" s="30"/>
      <c r="D297" s="11" t="e">
        <f t="shared" si="6"/>
        <v>#DIV/0!</v>
      </c>
    </row>
    <row r="298" spans="1:4" hidden="1" outlineLevel="3" x14ac:dyDescent="0.25">
      <c r="A298" t="s">
        <v>354</v>
      </c>
      <c r="B298" t="s">
        <v>193</v>
      </c>
      <c r="C298" s="30"/>
      <c r="D298" s="11" t="e">
        <f t="shared" si="6"/>
        <v>#DIV/0!</v>
      </c>
    </row>
    <row r="299" spans="1:4" hidden="1" outlineLevel="3" x14ac:dyDescent="0.25">
      <c r="A299" t="s">
        <v>355</v>
      </c>
      <c r="B299" t="s">
        <v>195</v>
      </c>
      <c r="C299" s="30"/>
      <c r="D299" s="11" t="e">
        <f t="shared" si="6"/>
        <v>#DIV/0!</v>
      </c>
    </row>
    <row r="300" spans="1:4" hidden="1" outlineLevel="3" x14ac:dyDescent="0.25">
      <c r="A300" t="s">
        <v>356</v>
      </c>
      <c r="B300" t="s">
        <v>199</v>
      </c>
      <c r="C300" s="30"/>
      <c r="D300" s="11" t="e">
        <f t="shared" si="6"/>
        <v>#DIV/0!</v>
      </c>
    </row>
    <row r="301" spans="1:4" hidden="1" outlineLevel="3" x14ac:dyDescent="0.25">
      <c r="A301" t="s">
        <v>357</v>
      </c>
      <c r="B301" t="s">
        <v>205</v>
      </c>
      <c r="C301" s="30"/>
      <c r="D301" s="11" t="e">
        <f t="shared" si="6"/>
        <v>#DIV/0!</v>
      </c>
    </row>
    <row r="302" spans="1:4" hidden="1" outlineLevel="3" x14ac:dyDescent="0.25">
      <c r="A302" t="s">
        <v>358</v>
      </c>
      <c r="B302" t="s">
        <v>135</v>
      </c>
      <c r="C302" s="30"/>
      <c r="D302" s="11" t="e">
        <f t="shared" si="6"/>
        <v>#DIV/0!</v>
      </c>
    </row>
    <row r="303" spans="1:4" hidden="1" outlineLevel="3" x14ac:dyDescent="0.25">
      <c r="A303" t="s">
        <v>359</v>
      </c>
      <c r="B303" t="s">
        <v>208</v>
      </c>
      <c r="C303" s="30"/>
      <c r="D303" s="11" t="e">
        <f t="shared" si="6"/>
        <v>#DIV/0!</v>
      </c>
    </row>
    <row r="304" spans="1:4" s="34" customFormat="1" outlineLevel="2" collapsed="1" x14ac:dyDescent="0.25">
      <c r="A304" s="34" t="s">
        <v>360</v>
      </c>
      <c r="B304" s="34" t="s">
        <v>361</v>
      </c>
      <c r="C304" s="30"/>
      <c r="D304" s="31" t="e">
        <f t="shared" si="6"/>
        <v>#DIV/0!</v>
      </c>
    </row>
    <row r="305" spans="1:4" hidden="1" outlineLevel="3" x14ac:dyDescent="0.25">
      <c r="A305" t="s">
        <v>362</v>
      </c>
      <c r="B305" t="s">
        <v>363</v>
      </c>
      <c r="C305" s="30"/>
      <c r="D305" s="11" t="e">
        <f t="shared" si="6"/>
        <v>#DIV/0!</v>
      </c>
    </row>
    <row r="306" spans="1:4" hidden="1" outlineLevel="3" x14ac:dyDescent="0.25">
      <c r="A306" t="s">
        <v>364</v>
      </c>
      <c r="B306" t="s">
        <v>365</v>
      </c>
      <c r="C306" s="30"/>
      <c r="D306" s="11" t="e">
        <f t="shared" si="6"/>
        <v>#DIV/0!</v>
      </c>
    </row>
    <row r="307" spans="1:4" hidden="1" outlineLevel="3" x14ac:dyDescent="0.25">
      <c r="A307" t="s">
        <v>366</v>
      </c>
      <c r="B307" t="s">
        <v>367</v>
      </c>
      <c r="C307" s="30"/>
      <c r="D307" s="11" t="e">
        <f t="shared" si="6"/>
        <v>#DIV/0!</v>
      </c>
    </row>
    <row r="308" spans="1:4" hidden="1" outlineLevel="3" x14ac:dyDescent="0.25">
      <c r="A308" t="s">
        <v>368</v>
      </c>
      <c r="B308" t="s">
        <v>214</v>
      </c>
      <c r="C308" s="30"/>
      <c r="D308" s="11" t="e">
        <f t="shared" ref="D308:D329" si="7">+C308/$C$91</f>
        <v>#DIV/0!</v>
      </c>
    </row>
    <row r="309" spans="1:4" s="34" customFormat="1" outlineLevel="2" collapsed="1" x14ac:dyDescent="0.25">
      <c r="A309" s="34" t="s">
        <v>369</v>
      </c>
      <c r="B309" s="34" t="s">
        <v>370</v>
      </c>
      <c r="C309" s="30"/>
      <c r="D309" s="31" t="e">
        <f t="shared" si="7"/>
        <v>#DIV/0!</v>
      </c>
    </row>
    <row r="310" spans="1:4" s="34" customFormat="1" outlineLevel="2" x14ac:dyDescent="0.25">
      <c r="A310" s="34" t="s">
        <v>371</v>
      </c>
      <c r="B310" s="34" t="s">
        <v>372</v>
      </c>
      <c r="C310" s="30"/>
      <c r="D310" s="31" t="e">
        <f t="shared" si="7"/>
        <v>#DIV/0!</v>
      </c>
    </row>
    <row r="311" spans="1:4" s="34" customFormat="1" outlineLevel="2" x14ac:dyDescent="0.25">
      <c r="A311" s="29" t="s">
        <v>373</v>
      </c>
      <c r="B311" s="29" t="s">
        <v>91</v>
      </c>
      <c r="C311" s="30"/>
      <c r="D311" s="31" t="e">
        <f t="shared" si="7"/>
        <v>#DIV/0!</v>
      </c>
    </row>
    <row r="312" spans="1:4" hidden="1" outlineLevel="3" x14ac:dyDescent="0.25">
      <c r="A312" s="35" t="s">
        <v>374</v>
      </c>
      <c r="B312" s="35" t="s">
        <v>93</v>
      </c>
      <c r="C312" s="30"/>
      <c r="D312" s="11" t="e">
        <f t="shared" si="7"/>
        <v>#DIV/0!</v>
      </c>
    </row>
    <row r="313" spans="1:4" hidden="1" outlineLevel="3" x14ac:dyDescent="0.25">
      <c r="A313" s="35" t="s">
        <v>375</v>
      </c>
      <c r="B313" s="35" t="s">
        <v>95</v>
      </c>
      <c r="C313" s="30"/>
      <c r="D313" s="11" t="e">
        <f t="shared" si="7"/>
        <v>#DIV/0!</v>
      </c>
    </row>
    <row r="314" spans="1:4" hidden="1" outlineLevel="3" x14ac:dyDescent="0.25">
      <c r="A314" s="35" t="s">
        <v>376</v>
      </c>
      <c r="B314" s="35" t="s">
        <v>97</v>
      </c>
      <c r="C314" s="30"/>
      <c r="D314" s="11" t="e">
        <f t="shared" si="7"/>
        <v>#DIV/0!</v>
      </c>
    </row>
    <row r="315" spans="1:4" hidden="1" outlineLevel="3" x14ac:dyDescent="0.25">
      <c r="A315" s="35" t="s">
        <v>377</v>
      </c>
      <c r="B315" s="35" t="s">
        <v>99</v>
      </c>
      <c r="C315" s="30"/>
      <c r="D315" s="11" t="e">
        <f t="shared" si="7"/>
        <v>#DIV/0!</v>
      </c>
    </row>
    <row r="316" spans="1:4" hidden="1" outlineLevel="3" x14ac:dyDescent="0.25">
      <c r="A316" s="35" t="s">
        <v>378</v>
      </c>
      <c r="B316" s="35" t="s">
        <v>101</v>
      </c>
      <c r="C316" s="30"/>
      <c r="D316" s="11" t="e">
        <f t="shared" si="7"/>
        <v>#DIV/0!</v>
      </c>
    </row>
    <row r="317" spans="1:4" hidden="1" outlineLevel="3" x14ac:dyDescent="0.25">
      <c r="A317" s="35" t="s">
        <v>379</v>
      </c>
      <c r="B317" s="35" t="s">
        <v>147</v>
      </c>
      <c r="C317" s="30"/>
      <c r="D317" s="11" t="e">
        <f t="shared" si="7"/>
        <v>#DIV/0!</v>
      </c>
    </row>
    <row r="318" spans="1:4" hidden="1" outlineLevel="3" x14ac:dyDescent="0.25">
      <c r="A318" s="35" t="s">
        <v>380</v>
      </c>
      <c r="B318" s="35" t="s">
        <v>103</v>
      </c>
      <c r="C318" s="30"/>
      <c r="D318" s="11" t="e">
        <f t="shared" si="7"/>
        <v>#DIV/0!</v>
      </c>
    </row>
    <row r="319" spans="1:4" hidden="1" outlineLevel="3" x14ac:dyDescent="0.25">
      <c r="A319" s="35" t="s">
        <v>381</v>
      </c>
      <c r="B319" s="35" t="s">
        <v>105</v>
      </c>
      <c r="C319" s="30"/>
      <c r="D319" s="11" t="e">
        <f t="shared" si="7"/>
        <v>#DIV/0!</v>
      </c>
    </row>
    <row r="320" spans="1:4" hidden="1" outlineLevel="3" x14ac:dyDescent="0.25">
      <c r="A320" s="35" t="s">
        <v>382</v>
      </c>
      <c r="B320" s="35" t="s">
        <v>107</v>
      </c>
      <c r="C320" s="30"/>
      <c r="D320" s="11" t="e">
        <f t="shared" si="7"/>
        <v>#DIV/0!</v>
      </c>
    </row>
    <row r="321" spans="1:4" hidden="1" outlineLevel="3" x14ac:dyDescent="0.25">
      <c r="A321" s="35" t="s">
        <v>383</v>
      </c>
      <c r="B321" s="35" t="s">
        <v>305</v>
      </c>
      <c r="C321" s="30"/>
      <c r="D321" s="11" t="e">
        <f t="shared" si="7"/>
        <v>#DIV/0!</v>
      </c>
    </row>
    <row r="322" spans="1:4" s="34" customFormat="1" outlineLevel="2" collapsed="1" x14ac:dyDescent="0.25">
      <c r="A322" s="29" t="s">
        <v>384</v>
      </c>
      <c r="B322" s="29" t="s">
        <v>109</v>
      </c>
      <c r="C322" s="30"/>
      <c r="D322" s="31" t="e">
        <f t="shared" si="7"/>
        <v>#DIV/0!</v>
      </c>
    </row>
    <row r="323" spans="1:4" hidden="1" outlineLevel="3" x14ac:dyDescent="0.25">
      <c r="A323" s="35" t="s">
        <v>385</v>
      </c>
      <c r="B323" s="35" t="s">
        <v>111</v>
      </c>
      <c r="C323" s="30"/>
      <c r="D323" s="11" t="e">
        <f t="shared" si="7"/>
        <v>#DIV/0!</v>
      </c>
    </row>
    <row r="324" spans="1:4" hidden="1" outlineLevel="3" x14ac:dyDescent="0.25">
      <c r="A324" s="35" t="s">
        <v>386</v>
      </c>
      <c r="B324" s="35" t="s">
        <v>113</v>
      </c>
      <c r="C324" s="30"/>
      <c r="D324" s="11" t="e">
        <f t="shared" si="7"/>
        <v>#DIV/0!</v>
      </c>
    </row>
    <row r="325" spans="1:4" hidden="1" outlineLevel="3" x14ac:dyDescent="0.25">
      <c r="A325" s="35" t="s">
        <v>387</v>
      </c>
      <c r="B325" s="35" t="s">
        <v>115</v>
      </c>
      <c r="C325" s="30"/>
      <c r="D325" s="11" t="e">
        <f t="shared" si="7"/>
        <v>#DIV/0!</v>
      </c>
    </row>
    <row r="326" spans="1:4" hidden="1" outlineLevel="3" x14ac:dyDescent="0.25">
      <c r="A326" s="35" t="s">
        <v>388</v>
      </c>
      <c r="B326" s="35" t="s">
        <v>117</v>
      </c>
      <c r="C326" s="30"/>
      <c r="D326" s="11" t="e">
        <f t="shared" si="7"/>
        <v>#DIV/0!</v>
      </c>
    </row>
    <row r="327" spans="1:4" hidden="1" outlineLevel="3" x14ac:dyDescent="0.25">
      <c r="A327" s="35" t="s">
        <v>389</v>
      </c>
      <c r="B327" s="35" t="s">
        <v>119</v>
      </c>
      <c r="C327" s="30"/>
      <c r="D327" s="11" t="e">
        <f t="shared" si="7"/>
        <v>#DIV/0!</v>
      </c>
    </row>
    <row r="328" spans="1:4" s="34" customFormat="1" outlineLevel="2" collapsed="1" x14ac:dyDescent="0.25">
      <c r="A328" s="29" t="s">
        <v>390</v>
      </c>
      <c r="B328" s="29" t="s">
        <v>121</v>
      </c>
      <c r="C328" s="30"/>
      <c r="D328" s="31" t="e">
        <f t="shared" si="7"/>
        <v>#DIV/0!</v>
      </c>
    </row>
    <row r="329" spans="1:4" s="34" customFormat="1" outlineLevel="2" collapsed="1" x14ac:dyDescent="0.25">
      <c r="A329" s="37" t="s">
        <v>391</v>
      </c>
      <c r="B329" s="37" t="s">
        <v>137</v>
      </c>
      <c r="C329" s="30"/>
      <c r="D329" s="31" t="e">
        <f t="shared" si="7"/>
        <v>#DIV/0!</v>
      </c>
    </row>
    <row r="330" spans="1:4" outlineLevel="2" x14ac:dyDescent="0.25">
      <c r="A330" s="27"/>
      <c r="B330" s="38"/>
      <c r="C330" s="21"/>
    </row>
    <row r="331" spans="1:4" outlineLevel="1" x14ac:dyDescent="0.25">
      <c r="A331" s="9"/>
      <c r="B331" s="13" t="s">
        <v>392</v>
      </c>
      <c r="C331" s="13">
        <f>+C244+C255+C261+C262+C275+C282+C285+C290+C291+C294+C304+C309+C310+C287+C274+C286+C311+C322+C328+C293+C289+C329+C292+C288</f>
        <v>0</v>
      </c>
      <c r="D331" s="11" t="e">
        <f>+C331/$C$91</f>
        <v>#DIV/0!</v>
      </c>
    </row>
    <row r="332" spans="1:4" outlineLevel="1" x14ac:dyDescent="0.25">
      <c r="A332" s="39"/>
      <c r="B332" s="13"/>
      <c r="C332" s="13"/>
    </row>
    <row r="333" spans="1:4" outlineLevel="2" x14ac:dyDescent="0.25">
      <c r="A333" s="27"/>
      <c r="B333" s="13" t="s">
        <v>393</v>
      </c>
      <c r="C333" s="10"/>
    </row>
    <row r="334" spans="1:4" s="34" customFormat="1" outlineLevel="2" x14ac:dyDescent="0.25">
      <c r="A334" s="34" t="s">
        <v>394</v>
      </c>
      <c r="B334" s="13" t="s">
        <v>238</v>
      </c>
      <c r="C334" s="41"/>
      <c r="D334" s="31" t="e">
        <f t="shared" ref="D334:D336" si="8">+C334/$C$91</f>
        <v>#DIV/0!</v>
      </c>
    </row>
    <row r="335" spans="1:4" s="34" customFormat="1" outlineLevel="2" x14ac:dyDescent="0.25">
      <c r="A335" s="34" t="s">
        <v>395</v>
      </c>
      <c r="B335" s="13" t="s">
        <v>396</v>
      </c>
      <c r="C335" s="41"/>
      <c r="D335" s="31" t="e">
        <f t="shared" si="8"/>
        <v>#DIV/0!</v>
      </c>
    </row>
    <row r="336" spans="1:4" s="34" customFormat="1" outlineLevel="2" x14ac:dyDescent="0.25">
      <c r="A336" s="34" t="s">
        <v>397</v>
      </c>
      <c r="B336" s="13" t="s">
        <v>398</v>
      </c>
      <c r="C336" s="41"/>
      <c r="D336" s="31" t="e">
        <f t="shared" si="8"/>
        <v>#DIV/0!</v>
      </c>
    </row>
    <row r="337" spans="1:4" outlineLevel="2" x14ac:dyDescent="0.25">
      <c r="A337" s="27"/>
      <c r="B337" s="38"/>
      <c r="C337" s="21"/>
    </row>
    <row r="338" spans="1:4" outlineLevel="1" x14ac:dyDescent="0.25">
      <c r="A338" s="9"/>
      <c r="B338" s="22" t="s">
        <v>399</v>
      </c>
      <c r="C338" s="13">
        <f>SUBTOTAL(9,C334:C337)</f>
        <v>0</v>
      </c>
      <c r="D338" s="11" t="e">
        <f>+C338/$C$91</f>
        <v>#DIV/0!</v>
      </c>
    </row>
    <row r="339" spans="1:4" outlineLevel="1" x14ac:dyDescent="0.25">
      <c r="A339" s="39"/>
      <c r="B339" s="13"/>
      <c r="C339" s="13"/>
    </row>
    <row r="340" spans="1:4" outlineLevel="2" x14ac:dyDescent="0.25">
      <c r="A340" s="39"/>
      <c r="B340" s="13" t="s">
        <v>400</v>
      </c>
      <c r="C340" s="13"/>
    </row>
    <row r="341" spans="1:4" s="34" customFormat="1" outlineLevel="2" x14ac:dyDescent="0.25">
      <c r="A341" s="29" t="s">
        <v>401</v>
      </c>
      <c r="B341" s="29" t="s">
        <v>91</v>
      </c>
      <c r="C341" s="30"/>
      <c r="D341" s="31" t="e">
        <f t="shared" ref="D341:D373" si="9">+C341/$C$91</f>
        <v>#DIV/0!</v>
      </c>
    </row>
    <row r="342" spans="1:4" hidden="1" outlineLevel="3" x14ac:dyDescent="0.25">
      <c r="A342" s="35" t="s">
        <v>402</v>
      </c>
      <c r="B342" s="35" t="s">
        <v>93</v>
      </c>
      <c r="C342" s="36"/>
      <c r="D342" s="11" t="e">
        <f t="shared" si="9"/>
        <v>#DIV/0!</v>
      </c>
    </row>
    <row r="343" spans="1:4" hidden="1" outlineLevel="3" x14ac:dyDescent="0.25">
      <c r="A343" s="35" t="s">
        <v>403</v>
      </c>
      <c r="B343" s="35" t="s">
        <v>95</v>
      </c>
      <c r="C343" s="10"/>
      <c r="D343" s="11" t="e">
        <f t="shared" si="9"/>
        <v>#DIV/0!</v>
      </c>
    </row>
    <row r="344" spans="1:4" hidden="1" outlineLevel="3" x14ac:dyDescent="0.25">
      <c r="A344" s="35" t="s">
        <v>404</v>
      </c>
      <c r="B344" s="35" t="s">
        <v>172</v>
      </c>
      <c r="C344" s="10"/>
      <c r="D344" s="11" t="e">
        <f t="shared" si="9"/>
        <v>#DIV/0!</v>
      </c>
    </row>
    <row r="345" spans="1:4" hidden="1" outlineLevel="3" x14ac:dyDescent="0.25">
      <c r="A345" s="35" t="s">
        <v>405</v>
      </c>
      <c r="B345" s="35" t="s">
        <v>97</v>
      </c>
      <c r="C345" s="10"/>
      <c r="D345" s="11" t="e">
        <f t="shared" si="9"/>
        <v>#DIV/0!</v>
      </c>
    </row>
    <row r="346" spans="1:4" hidden="1" outlineLevel="3" x14ac:dyDescent="0.25">
      <c r="A346" s="35" t="s">
        <v>406</v>
      </c>
      <c r="B346" s="35" t="s">
        <v>99</v>
      </c>
      <c r="C346" s="10"/>
      <c r="D346" s="11" t="e">
        <f t="shared" si="9"/>
        <v>#DIV/0!</v>
      </c>
    </row>
    <row r="347" spans="1:4" hidden="1" outlineLevel="3" x14ac:dyDescent="0.25">
      <c r="A347" s="35" t="s">
        <v>407</v>
      </c>
      <c r="B347" s="35" t="s">
        <v>101</v>
      </c>
      <c r="C347" s="10"/>
      <c r="D347" s="11" t="e">
        <f t="shared" si="9"/>
        <v>#DIV/0!</v>
      </c>
    </row>
    <row r="348" spans="1:4" hidden="1" outlineLevel="3" x14ac:dyDescent="0.25">
      <c r="A348" s="35" t="s">
        <v>408</v>
      </c>
      <c r="B348" s="35" t="s">
        <v>147</v>
      </c>
      <c r="C348" s="10"/>
      <c r="D348" s="11" t="e">
        <f t="shared" si="9"/>
        <v>#DIV/0!</v>
      </c>
    </row>
    <row r="349" spans="1:4" hidden="1" outlineLevel="3" x14ac:dyDescent="0.25">
      <c r="A349" s="35" t="s">
        <v>409</v>
      </c>
      <c r="B349" s="35" t="s">
        <v>103</v>
      </c>
      <c r="C349" s="10"/>
      <c r="D349" s="11" t="e">
        <f t="shared" si="9"/>
        <v>#DIV/0!</v>
      </c>
    </row>
    <row r="350" spans="1:4" hidden="1" outlineLevel="3" x14ac:dyDescent="0.25">
      <c r="A350" s="35" t="s">
        <v>410</v>
      </c>
      <c r="B350" s="35" t="s">
        <v>105</v>
      </c>
      <c r="C350" s="10"/>
      <c r="D350" s="11" t="e">
        <f t="shared" si="9"/>
        <v>#DIV/0!</v>
      </c>
    </row>
    <row r="351" spans="1:4" hidden="1" outlineLevel="3" x14ac:dyDescent="0.25">
      <c r="A351" s="35" t="s">
        <v>411</v>
      </c>
      <c r="B351" s="35" t="s">
        <v>107</v>
      </c>
      <c r="C351" s="10"/>
      <c r="D351" s="11" t="e">
        <f t="shared" si="9"/>
        <v>#DIV/0!</v>
      </c>
    </row>
    <row r="352" spans="1:4" hidden="1" outlineLevel="3" x14ac:dyDescent="0.25">
      <c r="A352" s="35" t="s">
        <v>412</v>
      </c>
      <c r="B352" s="35" t="s">
        <v>176</v>
      </c>
      <c r="C352" s="10"/>
      <c r="D352" s="11" t="e">
        <f t="shared" si="9"/>
        <v>#DIV/0!</v>
      </c>
    </row>
    <row r="353" spans="1:5" s="34" customFormat="1" outlineLevel="2" collapsed="1" x14ac:dyDescent="0.25">
      <c r="A353" s="29" t="s">
        <v>413</v>
      </c>
      <c r="B353" s="29" t="s">
        <v>109</v>
      </c>
      <c r="C353" s="13"/>
      <c r="D353" s="31" t="e">
        <f t="shared" si="9"/>
        <v>#DIV/0!</v>
      </c>
    </row>
    <row r="354" spans="1:5" hidden="1" outlineLevel="3" x14ac:dyDescent="0.25">
      <c r="A354" s="35" t="s">
        <v>414</v>
      </c>
      <c r="B354" s="35" t="s">
        <v>111</v>
      </c>
      <c r="C354" s="10"/>
      <c r="D354" s="11" t="e">
        <f t="shared" si="9"/>
        <v>#DIV/0!</v>
      </c>
    </row>
    <row r="355" spans="1:5" hidden="1" outlineLevel="3" x14ac:dyDescent="0.25">
      <c r="A355" s="35" t="s">
        <v>415</v>
      </c>
      <c r="B355" s="35" t="s">
        <v>113</v>
      </c>
      <c r="C355" s="10"/>
      <c r="D355" s="11" t="e">
        <f t="shared" si="9"/>
        <v>#DIV/0!</v>
      </c>
    </row>
    <row r="356" spans="1:5" hidden="1" outlineLevel="3" x14ac:dyDescent="0.25">
      <c r="A356" s="35" t="s">
        <v>416</v>
      </c>
      <c r="B356" s="35" t="s">
        <v>115</v>
      </c>
      <c r="C356" s="10"/>
      <c r="D356" s="11" t="e">
        <f t="shared" si="9"/>
        <v>#DIV/0!</v>
      </c>
    </row>
    <row r="357" spans="1:5" hidden="1" outlineLevel="3" x14ac:dyDescent="0.25">
      <c r="A357" s="35" t="s">
        <v>417</v>
      </c>
      <c r="B357" s="35" t="s">
        <v>117</v>
      </c>
      <c r="C357" s="10"/>
      <c r="D357" s="11" t="e">
        <f t="shared" si="9"/>
        <v>#DIV/0!</v>
      </c>
    </row>
    <row r="358" spans="1:5" hidden="1" outlineLevel="3" x14ac:dyDescent="0.25">
      <c r="A358" s="35" t="s">
        <v>418</v>
      </c>
      <c r="B358" s="35" t="s">
        <v>119</v>
      </c>
      <c r="C358" s="10"/>
      <c r="D358" s="11" t="e">
        <f t="shared" si="9"/>
        <v>#DIV/0!</v>
      </c>
    </row>
    <row r="359" spans="1:5" s="34" customFormat="1" outlineLevel="2" collapsed="1" x14ac:dyDescent="0.25">
      <c r="A359" s="29" t="s">
        <v>419</v>
      </c>
      <c r="B359" s="29" t="s">
        <v>121</v>
      </c>
      <c r="C359" s="13"/>
      <c r="D359" s="31" t="e">
        <f t="shared" si="9"/>
        <v>#DIV/0!</v>
      </c>
    </row>
    <row r="360" spans="1:5" s="34" customFormat="1" outlineLevel="2" x14ac:dyDescent="0.25">
      <c r="A360" s="34" t="s">
        <v>420</v>
      </c>
      <c r="B360" s="34" t="s">
        <v>185</v>
      </c>
      <c r="C360" s="13"/>
      <c r="D360" s="31" t="e">
        <f t="shared" si="9"/>
        <v>#DIV/0!</v>
      </c>
    </row>
    <row r="361" spans="1:5" s="34" customFormat="1" outlineLevel="2" x14ac:dyDescent="0.25">
      <c r="A361" s="34" t="s">
        <v>421</v>
      </c>
      <c r="B361" s="34" t="s">
        <v>210</v>
      </c>
      <c r="C361" s="13"/>
      <c r="D361" s="31" t="e">
        <f t="shared" si="9"/>
        <v>#DIV/0!</v>
      </c>
      <c r="E361" s="34" t="s">
        <v>422</v>
      </c>
    </row>
    <row r="362" spans="1:5" s="34" customFormat="1" outlineLevel="2" x14ac:dyDescent="0.25">
      <c r="A362" s="34" t="s">
        <v>423</v>
      </c>
      <c r="B362" s="34" t="s">
        <v>205</v>
      </c>
      <c r="C362" s="41"/>
      <c r="D362" s="31" t="e">
        <f t="shared" si="9"/>
        <v>#DIV/0!</v>
      </c>
    </row>
    <row r="363" spans="1:5" s="34" customFormat="1" outlineLevel="2" x14ac:dyDescent="0.25">
      <c r="A363" s="34" t="s">
        <v>424</v>
      </c>
      <c r="B363" s="34" t="s">
        <v>425</v>
      </c>
      <c r="C363" s="41"/>
      <c r="D363" s="31" t="e">
        <f t="shared" si="9"/>
        <v>#DIV/0!</v>
      </c>
    </row>
    <row r="364" spans="1:5" s="34" customFormat="1" outlineLevel="2" x14ac:dyDescent="0.25">
      <c r="A364" s="29" t="s">
        <v>426</v>
      </c>
      <c r="B364" s="29" t="s">
        <v>348</v>
      </c>
      <c r="C364" s="13"/>
      <c r="D364" s="31" t="e">
        <f t="shared" si="9"/>
        <v>#DIV/0!</v>
      </c>
    </row>
    <row r="365" spans="1:5" s="34" customFormat="1" outlineLevel="2" x14ac:dyDescent="0.25">
      <c r="A365" s="34" t="s">
        <v>427</v>
      </c>
      <c r="B365" s="34" t="s">
        <v>135</v>
      </c>
      <c r="C365" s="13"/>
      <c r="D365" s="31" t="e">
        <f t="shared" si="9"/>
        <v>#DIV/0!</v>
      </c>
    </row>
    <row r="366" spans="1:5" s="34" customFormat="1" outlineLevel="2" x14ac:dyDescent="0.25">
      <c r="A366" s="34" t="s">
        <v>428</v>
      </c>
      <c r="B366" s="34" t="s">
        <v>230</v>
      </c>
      <c r="C366" s="13"/>
      <c r="D366" s="31" t="e">
        <f t="shared" si="9"/>
        <v>#DIV/0!</v>
      </c>
    </row>
    <row r="367" spans="1:5" s="34" customFormat="1" outlineLevel="2" x14ac:dyDescent="0.25">
      <c r="A367" s="34" t="s">
        <v>429</v>
      </c>
      <c r="B367" s="34" t="s">
        <v>234</v>
      </c>
      <c r="C367" s="13"/>
      <c r="D367" s="31" t="e">
        <f t="shared" si="9"/>
        <v>#DIV/0!</v>
      </c>
    </row>
    <row r="368" spans="1:5" s="34" customFormat="1" outlineLevel="2" x14ac:dyDescent="0.25">
      <c r="A368" s="34" t="s">
        <v>430</v>
      </c>
      <c r="B368" s="34" t="s">
        <v>431</v>
      </c>
      <c r="C368" s="13"/>
      <c r="D368" s="31" t="e">
        <f t="shared" si="9"/>
        <v>#DIV/0!</v>
      </c>
    </row>
    <row r="369" spans="1:4" s="34" customFormat="1" outlineLevel="2" x14ac:dyDescent="0.25">
      <c r="A369" s="34" t="s">
        <v>432</v>
      </c>
      <c r="B369" s="34" t="s">
        <v>372</v>
      </c>
      <c r="C369" s="13"/>
      <c r="D369" s="31" t="e">
        <f t="shared" si="9"/>
        <v>#DIV/0!</v>
      </c>
    </row>
    <row r="370" spans="1:4" s="34" customFormat="1" outlineLevel="2" x14ac:dyDescent="0.25">
      <c r="A370" s="34" t="s">
        <v>433</v>
      </c>
      <c r="B370" s="34" t="s">
        <v>240</v>
      </c>
      <c r="C370" s="13"/>
      <c r="D370" s="31" t="e">
        <f t="shared" si="9"/>
        <v>#DIV/0!</v>
      </c>
    </row>
    <row r="371" spans="1:4" s="34" customFormat="1" outlineLevel="2" x14ac:dyDescent="0.25">
      <c r="A371" s="37" t="s">
        <v>434</v>
      </c>
      <c r="B371" s="37" t="s">
        <v>137</v>
      </c>
      <c r="C371" s="13"/>
      <c r="D371" s="31" t="e">
        <f t="shared" si="9"/>
        <v>#DIV/0!</v>
      </c>
    </row>
    <row r="372" spans="1:4" s="34" customFormat="1" outlineLevel="2" x14ac:dyDescent="0.25">
      <c r="A372" s="37" t="s">
        <v>435</v>
      </c>
      <c r="B372" s="37" t="s">
        <v>436</v>
      </c>
      <c r="C372" s="13"/>
      <c r="D372" s="31" t="e">
        <f t="shared" si="9"/>
        <v>#DIV/0!</v>
      </c>
    </row>
    <row r="373" spans="1:4" s="34" customFormat="1" outlineLevel="2" x14ac:dyDescent="0.25">
      <c r="A373" s="37" t="s">
        <v>437</v>
      </c>
      <c r="B373" s="37" t="s">
        <v>438</v>
      </c>
      <c r="C373" s="13"/>
      <c r="D373" s="31" t="e">
        <f t="shared" si="9"/>
        <v>#DIV/0!</v>
      </c>
    </row>
    <row r="374" spans="1:4" outlineLevel="2" x14ac:dyDescent="0.25">
      <c r="A374" s="25"/>
      <c r="B374" s="38"/>
      <c r="C374" s="21"/>
    </row>
    <row r="375" spans="1:4" outlineLevel="1" x14ac:dyDescent="0.25">
      <c r="A375" s="9"/>
      <c r="B375" s="13" t="s">
        <v>439</v>
      </c>
      <c r="C375" s="13">
        <f>+C341+C353+C359+C361+C365+C368+C369+C370+C364+C367+C360+C362+C366+C363+C371+C372+C373</f>
        <v>0</v>
      </c>
      <c r="D375" s="11" t="e">
        <f>+C375/$C$91</f>
        <v>#DIV/0!</v>
      </c>
    </row>
    <row r="376" spans="1:4" outlineLevel="1" x14ac:dyDescent="0.25">
      <c r="A376" s="9"/>
      <c r="B376" s="28"/>
      <c r="C376" s="10"/>
    </row>
    <row r="377" spans="1:4" outlineLevel="2" x14ac:dyDescent="0.25">
      <c r="A377" s="27"/>
      <c r="B377" s="22" t="s">
        <v>440</v>
      </c>
      <c r="C377" s="10"/>
    </row>
    <row r="378" spans="1:4" s="34" customFormat="1" outlineLevel="2" x14ac:dyDescent="0.25">
      <c r="A378" s="34" t="s">
        <v>441</v>
      </c>
      <c r="B378" s="13" t="s">
        <v>425</v>
      </c>
      <c r="C378" s="32"/>
      <c r="D378" s="31" t="e">
        <f t="shared" ref="D378:D382" si="10">+C378/$C$91</f>
        <v>#DIV/0!</v>
      </c>
    </row>
    <row r="379" spans="1:4" s="34" customFormat="1" outlineLevel="2" x14ac:dyDescent="0.25">
      <c r="A379" s="34" t="s">
        <v>442</v>
      </c>
      <c r="B379" s="13" t="s">
        <v>238</v>
      </c>
      <c r="C379" s="32"/>
      <c r="D379" s="31" t="e">
        <f t="shared" si="10"/>
        <v>#DIV/0!</v>
      </c>
    </row>
    <row r="380" spans="1:4" s="34" customFormat="1" outlineLevel="2" x14ac:dyDescent="0.25">
      <c r="A380" s="34" t="s">
        <v>443</v>
      </c>
      <c r="B380" s="34" t="s">
        <v>234</v>
      </c>
      <c r="C380" s="32"/>
      <c r="D380" s="31" t="e">
        <f t="shared" si="10"/>
        <v>#DIV/0!</v>
      </c>
    </row>
    <row r="381" spans="1:4" s="34" customFormat="1" outlineLevel="2" x14ac:dyDescent="0.25">
      <c r="A381" s="34" t="s">
        <v>444</v>
      </c>
      <c r="B381" s="13" t="s">
        <v>396</v>
      </c>
      <c r="C381" s="32"/>
      <c r="D381" s="31" t="e">
        <f t="shared" si="10"/>
        <v>#DIV/0!</v>
      </c>
    </row>
    <row r="382" spans="1:4" s="34" customFormat="1" outlineLevel="2" x14ac:dyDescent="0.25">
      <c r="A382" s="34" t="s">
        <v>445</v>
      </c>
      <c r="B382" s="13" t="s">
        <v>285</v>
      </c>
      <c r="C382" s="32"/>
      <c r="D382" s="31" t="e">
        <f t="shared" si="10"/>
        <v>#DIV/0!</v>
      </c>
    </row>
    <row r="383" spans="1:4" outlineLevel="2" x14ac:dyDescent="0.25">
      <c r="A383" s="27"/>
      <c r="B383" s="38"/>
      <c r="C383" s="21"/>
    </row>
    <row r="384" spans="1:4" outlineLevel="1" x14ac:dyDescent="0.25">
      <c r="A384" s="9"/>
      <c r="B384" s="22" t="s">
        <v>446</v>
      </c>
      <c r="C384" s="13">
        <f>SUBTOTAL(9,C378:C383)</f>
        <v>0</v>
      </c>
      <c r="D384" s="11" t="e">
        <f>+C384/$C$91</f>
        <v>#DIV/0!</v>
      </c>
    </row>
    <row r="385" spans="1:4" x14ac:dyDescent="0.25">
      <c r="A385" s="39"/>
      <c r="B385" s="13"/>
      <c r="C385" s="13"/>
    </row>
    <row r="386" spans="1:4" x14ac:dyDescent="0.25">
      <c r="A386" s="9"/>
      <c r="B386" s="17" t="s">
        <v>447</v>
      </c>
      <c r="C386" s="18">
        <f>+C384+C375+C338+C331+C241+C206+C140+C119</f>
        <v>0</v>
      </c>
      <c r="D386" s="16" t="e">
        <f>+C386/$C$91</f>
        <v>#DIV/0!</v>
      </c>
    </row>
    <row r="387" spans="1:4" x14ac:dyDescent="0.25">
      <c r="A387" s="9"/>
      <c r="B387" s="42"/>
      <c r="C387" s="10"/>
    </row>
    <row r="388" spans="1:4" x14ac:dyDescent="0.25">
      <c r="A388" s="9"/>
      <c r="B388" s="17" t="s">
        <v>448</v>
      </c>
      <c r="C388" s="18">
        <f>+C91-C386</f>
        <v>0</v>
      </c>
      <c r="D388" s="16" t="e">
        <f>+C388/$C$91</f>
        <v>#DIV/0!</v>
      </c>
    </row>
    <row r="389" spans="1:4" x14ac:dyDescent="0.25">
      <c r="A389" s="9"/>
      <c r="B389" s="26"/>
      <c r="C389" s="10"/>
    </row>
    <row r="390" spans="1:4" outlineLevel="2" x14ac:dyDescent="0.25">
      <c r="A390" s="9"/>
      <c r="B390" s="43" t="s">
        <v>449</v>
      </c>
      <c r="C390" s="10"/>
    </row>
    <row r="391" spans="1:4" s="34" customFormat="1" outlineLevel="2" x14ac:dyDescent="0.25">
      <c r="A391" s="29" t="s">
        <v>450</v>
      </c>
      <c r="B391" s="29" t="s">
        <v>91</v>
      </c>
      <c r="C391" s="30"/>
      <c r="D391" s="31" t="e">
        <f t="shared" ref="D391:D430" si="11">+C391/$C$91</f>
        <v>#DIV/0!</v>
      </c>
    </row>
    <row r="392" spans="1:4" hidden="1" outlineLevel="3" x14ac:dyDescent="0.25">
      <c r="A392" s="35" t="s">
        <v>451</v>
      </c>
      <c r="B392" s="35" t="s">
        <v>93</v>
      </c>
      <c r="C392" s="36"/>
      <c r="D392" s="11" t="e">
        <f t="shared" si="11"/>
        <v>#DIV/0!</v>
      </c>
    </row>
    <row r="393" spans="1:4" hidden="1" outlineLevel="3" x14ac:dyDescent="0.25">
      <c r="A393" s="35" t="s">
        <v>452</v>
      </c>
      <c r="B393" s="35" t="s">
        <v>95</v>
      </c>
      <c r="C393" s="10"/>
      <c r="D393" s="11" t="e">
        <f t="shared" si="11"/>
        <v>#DIV/0!</v>
      </c>
    </row>
    <row r="394" spans="1:4" hidden="1" outlineLevel="3" x14ac:dyDescent="0.25">
      <c r="A394" s="35" t="s">
        <v>453</v>
      </c>
      <c r="B394" s="35" t="s">
        <v>97</v>
      </c>
      <c r="C394" s="10"/>
      <c r="D394" s="11" t="e">
        <f t="shared" si="11"/>
        <v>#DIV/0!</v>
      </c>
    </row>
    <row r="395" spans="1:4" hidden="1" outlineLevel="3" x14ac:dyDescent="0.25">
      <c r="A395" s="35" t="s">
        <v>454</v>
      </c>
      <c r="B395" s="35" t="s">
        <v>99</v>
      </c>
      <c r="C395" s="10"/>
      <c r="D395" s="11" t="e">
        <f t="shared" si="11"/>
        <v>#DIV/0!</v>
      </c>
    </row>
    <row r="396" spans="1:4" hidden="1" outlineLevel="3" x14ac:dyDescent="0.25">
      <c r="A396" s="35" t="s">
        <v>455</v>
      </c>
      <c r="B396" s="35" t="s">
        <v>101</v>
      </c>
      <c r="C396" s="10"/>
      <c r="D396" s="11" t="e">
        <f t="shared" si="11"/>
        <v>#DIV/0!</v>
      </c>
    </row>
    <row r="397" spans="1:4" hidden="1" outlineLevel="3" x14ac:dyDescent="0.25">
      <c r="A397" s="35" t="s">
        <v>456</v>
      </c>
      <c r="B397" s="35" t="s">
        <v>147</v>
      </c>
      <c r="C397" s="10"/>
      <c r="D397" s="11" t="e">
        <f t="shared" si="11"/>
        <v>#DIV/0!</v>
      </c>
    </row>
    <row r="398" spans="1:4" hidden="1" outlineLevel="3" x14ac:dyDescent="0.25">
      <c r="A398" s="35" t="s">
        <v>457</v>
      </c>
      <c r="B398" s="35" t="s">
        <v>103</v>
      </c>
      <c r="C398" s="10"/>
      <c r="D398" s="11" t="e">
        <f t="shared" si="11"/>
        <v>#DIV/0!</v>
      </c>
    </row>
    <row r="399" spans="1:4" hidden="1" outlineLevel="3" x14ac:dyDescent="0.25">
      <c r="A399" s="35" t="s">
        <v>458</v>
      </c>
      <c r="B399" s="35" t="s">
        <v>105</v>
      </c>
      <c r="C399" s="10"/>
      <c r="D399" s="11" t="e">
        <f t="shared" si="11"/>
        <v>#DIV/0!</v>
      </c>
    </row>
    <row r="400" spans="1:4" hidden="1" outlineLevel="3" x14ac:dyDescent="0.25">
      <c r="A400" s="35" t="s">
        <v>459</v>
      </c>
      <c r="B400" s="35" t="s">
        <v>107</v>
      </c>
      <c r="C400" s="10"/>
      <c r="D400" s="11" t="e">
        <f t="shared" si="11"/>
        <v>#DIV/0!</v>
      </c>
    </row>
    <row r="401" spans="1:4" s="34" customFormat="1" outlineLevel="2" collapsed="1" x14ac:dyDescent="0.25">
      <c r="A401" s="29" t="s">
        <v>460</v>
      </c>
      <c r="B401" s="29" t="s">
        <v>109</v>
      </c>
      <c r="C401" s="30"/>
      <c r="D401" s="31" t="e">
        <f t="shared" si="11"/>
        <v>#DIV/0!</v>
      </c>
    </row>
    <row r="402" spans="1:4" hidden="1" outlineLevel="3" x14ac:dyDescent="0.25">
      <c r="A402" s="35" t="s">
        <v>461</v>
      </c>
      <c r="B402" s="35" t="s">
        <v>111</v>
      </c>
      <c r="C402" s="30"/>
      <c r="D402" s="11" t="e">
        <f t="shared" si="11"/>
        <v>#DIV/0!</v>
      </c>
    </row>
    <row r="403" spans="1:4" hidden="1" outlineLevel="3" x14ac:dyDescent="0.25">
      <c r="A403" s="35" t="s">
        <v>462</v>
      </c>
      <c r="B403" s="35" t="s">
        <v>113</v>
      </c>
      <c r="C403" s="30"/>
      <c r="D403" s="11" t="e">
        <f t="shared" si="11"/>
        <v>#DIV/0!</v>
      </c>
    </row>
    <row r="404" spans="1:4" hidden="1" outlineLevel="3" x14ac:dyDescent="0.25">
      <c r="A404" s="35" t="s">
        <v>463</v>
      </c>
      <c r="B404" s="35" t="s">
        <v>115</v>
      </c>
      <c r="C404" s="30"/>
      <c r="D404" s="11" t="e">
        <f t="shared" si="11"/>
        <v>#DIV/0!</v>
      </c>
    </row>
    <row r="405" spans="1:4" hidden="1" outlineLevel="3" x14ac:dyDescent="0.25">
      <c r="A405" s="35" t="s">
        <v>464</v>
      </c>
      <c r="B405" s="35" t="s">
        <v>117</v>
      </c>
      <c r="C405" s="30"/>
      <c r="D405" s="11" t="e">
        <f t="shared" si="11"/>
        <v>#DIV/0!</v>
      </c>
    </row>
    <row r="406" spans="1:4" hidden="1" outlineLevel="3" x14ac:dyDescent="0.25">
      <c r="A406" s="35" t="s">
        <v>465</v>
      </c>
      <c r="B406" s="35" t="s">
        <v>119</v>
      </c>
      <c r="C406" s="30"/>
      <c r="D406" s="11" t="e">
        <f t="shared" si="11"/>
        <v>#DIV/0!</v>
      </c>
    </row>
    <row r="407" spans="1:4" s="34" customFormat="1" outlineLevel="2" collapsed="1" x14ac:dyDescent="0.25">
      <c r="A407" s="29" t="s">
        <v>466</v>
      </c>
      <c r="B407" s="29" t="s">
        <v>121</v>
      </c>
      <c r="C407" s="30"/>
      <c r="D407" s="31" t="e">
        <f t="shared" si="11"/>
        <v>#DIV/0!</v>
      </c>
    </row>
    <row r="408" spans="1:4" s="34" customFormat="1" outlineLevel="2" x14ac:dyDescent="0.25">
      <c r="A408" s="34" t="s">
        <v>467</v>
      </c>
      <c r="B408" s="34" t="s">
        <v>185</v>
      </c>
      <c r="C408" s="30"/>
      <c r="D408" s="31" t="e">
        <f t="shared" si="11"/>
        <v>#DIV/0!</v>
      </c>
    </row>
    <row r="409" spans="1:4" hidden="1" outlineLevel="3" x14ac:dyDescent="0.25">
      <c r="A409" t="s">
        <v>468</v>
      </c>
      <c r="B409" t="s">
        <v>187</v>
      </c>
      <c r="C409" s="30"/>
      <c r="D409" s="11" t="e">
        <f t="shared" si="11"/>
        <v>#DIV/0!</v>
      </c>
    </row>
    <row r="410" spans="1:4" hidden="1" outlineLevel="3" x14ac:dyDescent="0.25">
      <c r="A410" t="s">
        <v>469</v>
      </c>
      <c r="B410" t="s">
        <v>189</v>
      </c>
      <c r="C410" s="30"/>
      <c r="D410" s="11" t="e">
        <f t="shared" si="11"/>
        <v>#DIV/0!</v>
      </c>
    </row>
    <row r="411" spans="1:4" hidden="1" outlineLevel="3" x14ac:dyDescent="0.25">
      <c r="A411" t="s">
        <v>470</v>
      </c>
      <c r="B411" t="s">
        <v>193</v>
      </c>
      <c r="C411" s="30"/>
      <c r="D411" s="11" t="e">
        <f t="shared" si="11"/>
        <v>#DIV/0!</v>
      </c>
    </row>
    <row r="412" spans="1:4" hidden="1" outlineLevel="3" x14ac:dyDescent="0.25">
      <c r="A412" t="s">
        <v>471</v>
      </c>
      <c r="B412" t="s">
        <v>195</v>
      </c>
      <c r="C412" s="30"/>
      <c r="D412" s="11" t="e">
        <f t="shared" si="11"/>
        <v>#DIV/0!</v>
      </c>
    </row>
    <row r="413" spans="1:4" hidden="1" outlineLevel="3" x14ac:dyDescent="0.25">
      <c r="A413" t="s">
        <v>472</v>
      </c>
      <c r="B413" t="s">
        <v>199</v>
      </c>
      <c r="C413" s="30"/>
      <c r="D413" s="11" t="e">
        <f t="shared" si="11"/>
        <v>#DIV/0!</v>
      </c>
    </row>
    <row r="414" spans="1:4" hidden="1" outlineLevel="3" x14ac:dyDescent="0.25">
      <c r="A414" t="s">
        <v>473</v>
      </c>
      <c r="B414" t="s">
        <v>201</v>
      </c>
      <c r="C414" s="30"/>
      <c r="D414" s="11" t="e">
        <f t="shared" si="11"/>
        <v>#DIV/0!</v>
      </c>
    </row>
    <row r="415" spans="1:4" hidden="1" outlineLevel="3" x14ac:dyDescent="0.25">
      <c r="A415" t="s">
        <v>474</v>
      </c>
      <c r="B415" t="s">
        <v>203</v>
      </c>
      <c r="C415" s="30"/>
      <c r="D415" s="11" t="e">
        <f t="shared" si="11"/>
        <v>#DIV/0!</v>
      </c>
    </row>
    <row r="416" spans="1:4" hidden="1" outlineLevel="3" x14ac:dyDescent="0.25">
      <c r="A416" t="s">
        <v>475</v>
      </c>
      <c r="B416" t="s">
        <v>205</v>
      </c>
      <c r="C416" s="30"/>
      <c r="D416" s="11" t="e">
        <f t="shared" si="11"/>
        <v>#DIV/0!</v>
      </c>
    </row>
    <row r="417" spans="1:4" hidden="1" outlineLevel="3" x14ac:dyDescent="0.25">
      <c r="A417" t="s">
        <v>476</v>
      </c>
      <c r="B417" t="s">
        <v>135</v>
      </c>
      <c r="C417" s="30"/>
      <c r="D417" s="11" t="e">
        <f t="shared" si="11"/>
        <v>#DIV/0!</v>
      </c>
    </row>
    <row r="418" spans="1:4" hidden="1" outlineLevel="3" x14ac:dyDescent="0.25">
      <c r="A418" t="s">
        <v>477</v>
      </c>
      <c r="B418" t="s">
        <v>208</v>
      </c>
      <c r="C418" s="30"/>
      <c r="D418" s="11" t="e">
        <f t="shared" si="11"/>
        <v>#DIV/0!</v>
      </c>
    </row>
    <row r="419" spans="1:4" s="34" customFormat="1" outlineLevel="2" collapsed="1" x14ac:dyDescent="0.25">
      <c r="A419" s="34" t="s">
        <v>478</v>
      </c>
      <c r="B419" s="34" t="s">
        <v>479</v>
      </c>
      <c r="C419" s="30"/>
      <c r="D419" s="31" t="e">
        <f t="shared" si="11"/>
        <v>#DIV/0!</v>
      </c>
    </row>
    <row r="420" spans="1:4" hidden="1" outlineLevel="3" x14ac:dyDescent="0.25">
      <c r="A420" t="s">
        <v>480</v>
      </c>
      <c r="B420" t="s">
        <v>189</v>
      </c>
      <c r="C420" s="30"/>
      <c r="D420" s="11" t="e">
        <f t="shared" si="11"/>
        <v>#DIV/0!</v>
      </c>
    </row>
    <row r="421" spans="1:4" s="34" customFormat="1" outlineLevel="2" collapsed="1" x14ac:dyDescent="0.25">
      <c r="A421" s="34" t="s">
        <v>481</v>
      </c>
      <c r="B421" s="34" t="s">
        <v>205</v>
      </c>
      <c r="C421" s="30"/>
      <c r="D421" s="31" t="e">
        <f t="shared" si="11"/>
        <v>#DIV/0!</v>
      </c>
    </row>
    <row r="422" spans="1:4" hidden="1" outlineLevel="3" x14ac:dyDescent="0.25">
      <c r="A422" t="s">
        <v>482</v>
      </c>
      <c r="B422" t="s">
        <v>335</v>
      </c>
      <c r="C422" s="30"/>
      <c r="D422" s="11" t="e">
        <f t="shared" si="11"/>
        <v>#DIV/0!</v>
      </c>
    </row>
    <row r="423" spans="1:4" s="34" customFormat="1" outlineLevel="2" collapsed="1" x14ac:dyDescent="0.25">
      <c r="A423" s="34" t="s">
        <v>483</v>
      </c>
      <c r="B423" s="34" t="s">
        <v>484</v>
      </c>
      <c r="C423" s="30"/>
      <c r="D423" s="31" t="e">
        <f t="shared" si="11"/>
        <v>#DIV/0!</v>
      </c>
    </row>
    <row r="424" spans="1:4" hidden="1" outlineLevel="3" x14ac:dyDescent="0.25">
      <c r="A424" t="s">
        <v>485</v>
      </c>
      <c r="B424" t="s">
        <v>486</v>
      </c>
      <c r="C424" s="30"/>
      <c r="D424" s="11" t="e">
        <f t="shared" si="11"/>
        <v>#DIV/0!</v>
      </c>
    </row>
    <row r="425" spans="1:4" s="34" customFormat="1" outlineLevel="2" collapsed="1" x14ac:dyDescent="0.25">
      <c r="A425" s="34" t="s">
        <v>487</v>
      </c>
      <c r="B425" s="34" t="s">
        <v>488</v>
      </c>
      <c r="C425" s="30"/>
      <c r="D425" s="31" t="e">
        <f t="shared" si="11"/>
        <v>#DIV/0!</v>
      </c>
    </row>
    <row r="426" spans="1:4" s="34" customFormat="1" outlineLevel="2" x14ac:dyDescent="0.25">
      <c r="A426" s="34" t="s">
        <v>489</v>
      </c>
      <c r="B426" s="34" t="s">
        <v>490</v>
      </c>
      <c r="C426" s="30"/>
      <c r="D426" s="31" t="e">
        <f t="shared" si="11"/>
        <v>#DIV/0!</v>
      </c>
    </row>
    <row r="427" spans="1:4" s="34" customFormat="1" outlineLevel="2" x14ac:dyDescent="0.25">
      <c r="A427" s="34" t="s">
        <v>491</v>
      </c>
      <c r="B427" s="34" t="s">
        <v>208</v>
      </c>
      <c r="C427" s="30"/>
      <c r="D427" s="31" t="e">
        <f t="shared" si="11"/>
        <v>#DIV/0!</v>
      </c>
    </row>
    <row r="428" spans="1:4" s="34" customFormat="1" outlineLevel="2" x14ac:dyDescent="0.25">
      <c r="A428" s="34" t="s">
        <v>492</v>
      </c>
      <c r="B428" s="34" t="s">
        <v>493</v>
      </c>
      <c r="C428" s="30"/>
      <c r="D428" s="31" t="e">
        <f t="shared" si="11"/>
        <v>#DIV/0!</v>
      </c>
    </row>
    <row r="429" spans="1:4" s="34" customFormat="1" outlineLevel="2" x14ac:dyDescent="0.25">
      <c r="A429" s="34" t="s">
        <v>494</v>
      </c>
      <c r="B429" s="34" t="s">
        <v>135</v>
      </c>
      <c r="C429" s="30"/>
      <c r="D429" s="31" t="e">
        <f t="shared" si="11"/>
        <v>#DIV/0!</v>
      </c>
    </row>
    <row r="430" spans="1:4" s="34" customFormat="1" outlineLevel="2" x14ac:dyDescent="0.25">
      <c r="A430" s="34" t="s">
        <v>495</v>
      </c>
      <c r="B430" s="37" t="s">
        <v>137</v>
      </c>
      <c r="C430" s="30"/>
      <c r="D430" s="31" t="e">
        <f t="shared" si="11"/>
        <v>#DIV/0!</v>
      </c>
    </row>
    <row r="431" spans="1:4" outlineLevel="2" x14ac:dyDescent="0.25">
      <c r="A431" s="25"/>
      <c r="B431" s="26"/>
      <c r="C431" s="21"/>
    </row>
    <row r="432" spans="1:4" outlineLevel="1" x14ac:dyDescent="0.25">
      <c r="A432" s="9"/>
      <c r="B432" s="42" t="s">
        <v>496</v>
      </c>
      <c r="C432" s="13">
        <f>+C391+C401+C407+C408+C419+C421+C423+C425+C426+C429+C428+C427+C430</f>
        <v>0</v>
      </c>
      <c r="D432" s="11" t="e">
        <f>+C432/$C$91</f>
        <v>#DIV/0!</v>
      </c>
    </row>
    <row r="433" spans="1:4" outlineLevel="1" x14ac:dyDescent="0.25">
      <c r="A433" s="9"/>
      <c r="B433" s="42"/>
      <c r="C433" s="10"/>
    </row>
    <row r="434" spans="1:4" outlineLevel="2" x14ac:dyDescent="0.25">
      <c r="A434" s="9"/>
      <c r="B434" s="43" t="s">
        <v>497</v>
      </c>
      <c r="C434" s="10"/>
    </row>
    <row r="435" spans="1:4" s="34" customFormat="1" outlineLevel="2" x14ac:dyDescent="0.25">
      <c r="A435" s="29" t="s">
        <v>498</v>
      </c>
      <c r="B435" s="29" t="s">
        <v>91</v>
      </c>
      <c r="C435" s="30"/>
      <c r="D435" s="31" t="e">
        <f t="shared" ref="D435:D476" si="12">+C435/$C$91</f>
        <v>#DIV/0!</v>
      </c>
    </row>
    <row r="436" spans="1:4" hidden="1" outlineLevel="3" x14ac:dyDescent="0.25">
      <c r="A436" s="35" t="s">
        <v>499</v>
      </c>
      <c r="B436" s="35" t="s">
        <v>93</v>
      </c>
      <c r="C436" s="30"/>
      <c r="D436" s="11" t="e">
        <f t="shared" si="12"/>
        <v>#DIV/0!</v>
      </c>
    </row>
    <row r="437" spans="1:4" hidden="1" outlineLevel="3" x14ac:dyDescent="0.25">
      <c r="A437" s="35" t="s">
        <v>500</v>
      </c>
      <c r="B437" s="35" t="s">
        <v>95</v>
      </c>
      <c r="C437" s="30"/>
      <c r="D437" s="11" t="e">
        <f t="shared" si="12"/>
        <v>#DIV/0!</v>
      </c>
    </row>
    <row r="438" spans="1:4" hidden="1" outlineLevel="3" x14ac:dyDescent="0.25">
      <c r="A438" s="35" t="s">
        <v>501</v>
      </c>
      <c r="B438" s="35" t="s">
        <v>97</v>
      </c>
      <c r="C438" s="30"/>
      <c r="D438" s="11" t="e">
        <f t="shared" si="12"/>
        <v>#DIV/0!</v>
      </c>
    </row>
    <row r="439" spans="1:4" hidden="1" outlineLevel="3" x14ac:dyDescent="0.25">
      <c r="A439" s="35" t="s">
        <v>502</v>
      </c>
      <c r="B439" s="35" t="s">
        <v>99</v>
      </c>
      <c r="C439" s="30"/>
      <c r="D439" s="11" t="e">
        <f t="shared" si="12"/>
        <v>#DIV/0!</v>
      </c>
    </row>
    <row r="440" spans="1:4" hidden="1" outlineLevel="3" x14ac:dyDescent="0.25">
      <c r="A440" s="35" t="s">
        <v>503</v>
      </c>
      <c r="B440" s="35" t="s">
        <v>101</v>
      </c>
      <c r="C440" s="30"/>
      <c r="D440" s="11" t="e">
        <f t="shared" si="12"/>
        <v>#DIV/0!</v>
      </c>
    </row>
    <row r="441" spans="1:4" hidden="1" outlineLevel="3" x14ac:dyDescent="0.25">
      <c r="A441" s="35" t="s">
        <v>504</v>
      </c>
      <c r="B441" s="35" t="s">
        <v>103</v>
      </c>
      <c r="C441" s="30"/>
      <c r="D441" s="11" t="e">
        <f t="shared" si="12"/>
        <v>#DIV/0!</v>
      </c>
    </row>
    <row r="442" spans="1:4" hidden="1" outlineLevel="3" x14ac:dyDescent="0.25">
      <c r="A442" s="35" t="s">
        <v>505</v>
      </c>
      <c r="B442" s="35" t="s">
        <v>105</v>
      </c>
      <c r="C442" s="30"/>
      <c r="D442" s="11" t="e">
        <f t="shared" si="12"/>
        <v>#DIV/0!</v>
      </c>
    </row>
    <row r="443" spans="1:4" hidden="1" outlineLevel="3" x14ac:dyDescent="0.25">
      <c r="A443" s="35" t="s">
        <v>506</v>
      </c>
      <c r="B443" s="35" t="s">
        <v>107</v>
      </c>
      <c r="C443" s="30"/>
      <c r="D443" s="11" t="e">
        <f t="shared" si="12"/>
        <v>#DIV/0!</v>
      </c>
    </row>
    <row r="444" spans="1:4" s="34" customFormat="1" outlineLevel="2" collapsed="1" x14ac:dyDescent="0.25">
      <c r="A444" s="29" t="s">
        <v>507</v>
      </c>
      <c r="B444" s="29" t="s">
        <v>109</v>
      </c>
      <c r="C444" s="30"/>
      <c r="D444" s="31" t="e">
        <f t="shared" si="12"/>
        <v>#DIV/0!</v>
      </c>
    </row>
    <row r="445" spans="1:4" hidden="1" outlineLevel="3" x14ac:dyDescent="0.25">
      <c r="A445" s="35" t="s">
        <v>508</v>
      </c>
      <c r="B445" s="35" t="s">
        <v>111</v>
      </c>
      <c r="C445" s="30"/>
      <c r="D445" s="11" t="e">
        <f t="shared" si="12"/>
        <v>#DIV/0!</v>
      </c>
    </row>
    <row r="446" spans="1:4" hidden="1" outlineLevel="3" x14ac:dyDescent="0.25">
      <c r="A446" s="35" t="s">
        <v>509</v>
      </c>
      <c r="B446" s="35" t="s">
        <v>113</v>
      </c>
      <c r="C446" s="30"/>
      <c r="D446" s="11" t="e">
        <f t="shared" si="12"/>
        <v>#DIV/0!</v>
      </c>
    </row>
    <row r="447" spans="1:4" hidden="1" outlineLevel="3" x14ac:dyDescent="0.25">
      <c r="A447" s="35" t="s">
        <v>510</v>
      </c>
      <c r="B447" s="35" t="s">
        <v>115</v>
      </c>
      <c r="C447" s="30"/>
      <c r="D447" s="11" t="e">
        <f t="shared" si="12"/>
        <v>#DIV/0!</v>
      </c>
    </row>
    <row r="448" spans="1:4" hidden="1" outlineLevel="3" x14ac:dyDescent="0.25">
      <c r="A448" s="35" t="s">
        <v>511</v>
      </c>
      <c r="B448" s="35" t="s">
        <v>117</v>
      </c>
      <c r="C448" s="30"/>
      <c r="D448" s="11" t="e">
        <f t="shared" si="12"/>
        <v>#DIV/0!</v>
      </c>
    </row>
    <row r="449" spans="1:4" hidden="1" outlineLevel="3" x14ac:dyDescent="0.25">
      <c r="A449" s="35" t="s">
        <v>512</v>
      </c>
      <c r="B449" s="35" t="s">
        <v>119</v>
      </c>
      <c r="C449" s="30"/>
      <c r="D449" s="11" t="e">
        <f t="shared" si="12"/>
        <v>#DIV/0!</v>
      </c>
    </row>
    <row r="450" spans="1:4" s="34" customFormat="1" outlineLevel="2" collapsed="1" x14ac:dyDescent="0.25">
      <c r="A450" s="29" t="s">
        <v>513</v>
      </c>
      <c r="B450" s="29" t="s">
        <v>121</v>
      </c>
      <c r="C450" s="30"/>
      <c r="D450" s="31" t="e">
        <f t="shared" si="12"/>
        <v>#DIV/0!</v>
      </c>
    </row>
    <row r="451" spans="1:4" s="34" customFormat="1" outlineLevel="2" x14ac:dyDescent="0.25">
      <c r="A451" s="34" t="s">
        <v>514</v>
      </c>
      <c r="B451" s="34" t="s">
        <v>185</v>
      </c>
      <c r="C451" s="30"/>
      <c r="D451" s="31" t="e">
        <f t="shared" si="12"/>
        <v>#DIV/0!</v>
      </c>
    </row>
    <row r="452" spans="1:4" hidden="1" outlineLevel="3" x14ac:dyDescent="0.25">
      <c r="A452" t="s">
        <v>515</v>
      </c>
      <c r="B452" t="s">
        <v>187</v>
      </c>
      <c r="C452" s="30"/>
      <c r="D452" s="11" t="e">
        <f t="shared" si="12"/>
        <v>#DIV/0!</v>
      </c>
    </row>
    <row r="453" spans="1:4" hidden="1" outlineLevel="3" x14ac:dyDescent="0.25">
      <c r="A453" t="s">
        <v>516</v>
      </c>
      <c r="B453" t="s">
        <v>189</v>
      </c>
      <c r="C453" s="30"/>
      <c r="D453" s="11" t="e">
        <f t="shared" si="12"/>
        <v>#DIV/0!</v>
      </c>
    </row>
    <row r="454" spans="1:4" hidden="1" outlineLevel="3" x14ac:dyDescent="0.25">
      <c r="A454" t="s">
        <v>517</v>
      </c>
      <c r="B454" t="s">
        <v>191</v>
      </c>
      <c r="C454" s="30"/>
      <c r="D454" s="11" t="e">
        <f t="shared" si="12"/>
        <v>#DIV/0!</v>
      </c>
    </row>
    <row r="455" spans="1:4" hidden="1" outlineLevel="3" x14ac:dyDescent="0.25">
      <c r="A455" t="s">
        <v>518</v>
      </c>
      <c r="B455" t="s">
        <v>193</v>
      </c>
      <c r="C455" s="30"/>
      <c r="D455" s="11" t="e">
        <f t="shared" si="12"/>
        <v>#DIV/0!</v>
      </c>
    </row>
    <row r="456" spans="1:4" hidden="1" outlineLevel="3" x14ac:dyDescent="0.25">
      <c r="A456" t="s">
        <v>519</v>
      </c>
      <c r="B456" t="s">
        <v>195</v>
      </c>
      <c r="C456" s="30"/>
      <c r="D456" s="11" t="e">
        <f t="shared" si="12"/>
        <v>#DIV/0!</v>
      </c>
    </row>
    <row r="457" spans="1:4" hidden="1" outlineLevel="3" x14ac:dyDescent="0.25">
      <c r="A457" t="s">
        <v>520</v>
      </c>
      <c r="B457" t="s">
        <v>201</v>
      </c>
      <c r="C457" s="30"/>
      <c r="D457" s="11" t="e">
        <f t="shared" si="12"/>
        <v>#DIV/0!</v>
      </c>
    </row>
    <row r="458" spans="1:4" hidden="1" outlineLevel="3" x14ac:dyDescent="0.25">
      <c r="A458" t="s">
        <v>521</v>
      </c>
      <c r="B458" t="s">
        <v>205</v>
      </c>
      <c r="C458" s="30"/>
      <c r="D458" s="11" t="e">
        <f t="shared" si="12"/>
        <v>#DIV/0!</v>
      </c>
    </row>
    <row r="459" spans="1:4" hidden="1" outlineLevel="3" x14ac:dyDescent="0.25">
      <c r="A459" t="s">
        <v>522</v>
      </c>
      <c r="B459" t="s">
        <v>135</v>
      </c>
      <c r="C459" s="30"/>
      <c r="D459" s="11" t="e">
        <f t="shared" si="12"/>
        <v>#DIV/0!</v>
      </c>
    </row>
    <row r="460" spans="1:4" hidden="1" outlineLevel="3" x14ac:dyDescent="0.25">
      <c r="A460" t="s">
        <v>523</v>
      </c>
      <c r="B460" t="s">
        <v>208</v>
      </c>
      <c r="C460" s="30"/>
      <c r="D460" s="11" t="e">
        <f t="shared" si="12"/>
        <v>#DIV/0!</v>
      </c>
    </row>
    <row r="461" spans="1:4" s="34" customFormat="1" outlineLevel="2" collapsed="1" x14ac:dyDescent="0.25">
      <c r="A461" s="34" t="s">
        <v>524</v>
      </c>
      <c r="B461" s="34" t="s">
        <v>479</v>
      </c>
      <c r="C461" s="30"/>
      <c r="D461" s="31" t="e">
        <f t="shared" si="12"/>
        <v>#DIV/0!</v>
      </c>
    </row>
    <row r="462" spans="1:4" hidden="1" outlineLevel="3" x14ac:dyDescent="0.25">
      <c r="A462" t="s">
        <v>525</v>
      </c>
      <c r="B462" t="s">
        <v>187</v>
      </c>
      <c r="C462" s="30"/>
      <c r="D462" s="11" t="e">
        <f t="shared" si="12"/>
        <v>#DIV/0!</v>
      </c>
    </row>
    <row r="463" spans="1:4" hidden="1" outlineLevel="3" x14ac:dyDescent="0.25">
      <c r="A463" t="s">
        <v>526</v>
      </c>
      <c r="B463" t="s">
        <v>189</v>
      </c>
      <c r="C463" s="30"/>
      <c r="D463" s="11" t="e">
        <f t="shared" si="12"/>
        <v>#DIV/0!</v>
      </c>
    </row>
    <row r="464" spans="1:4" hidden="1" outlineLevel="3" x14ac:dyDescent="0.25">
      <c r="A464" t="s">
        <v>527</v>
      </c>
      <c r="B464" t="s">
        <v>193</v>
      </c>
      <c r="C464" s="30"/>
      <c r="D464" s="11" t="e">
        <f t="shared" si="12"/>
        <v>#DIV/0!</v>
      </c>
    </row>
    <row r="465" spans="1:4" hidden="1" outlineLevel="3" x14ac:dyDescent="0.25">
      <c r="A465" t="s">
        <v>528</v>
      </c>
      <c r="B465" t="s">
        <v>195</v>
      </c>
      <c r="C465" s="30"/>
      <c r="D465" s="11" t="e">
        <f t="shared" si="12"/>
        <v>#DIV/0!</v>
      </c>
    </row>
    <row r="466" spans="1:4" hidden="1" outlineLevel="3" x14ac:dyDescent="0.25">
      <c r="A466" t="s">
        <v>529</v>
      </c>
      <c r="B466" t="s">
        <v>135</v>
      </c>
      <c r="C466" s="30"/>
      <c r="D466" s="11" t="e">
        <f t="shared" si="12"/>
        <v>#DIV/0!</v>
      </c>
    </row>
    <row r="467" spans="1:4" s="34" customFormat="1" outlineLevel="2" collapsed="1" x14ac:dyDescent="0.25">
      <c r="A467" s="34" t="s">
        <v>530</v>
      </c>
      <c r="B467" s="34" t="s">
        <v>205</v>
      </c>
      <c r="C467" s="30"/>
      <c r="D467" s="31" t="e">
        <f t="shared" si="12"/>
        <v>#DIV/0!</v>
      </c>
    </row>
    <row r="468" spans="1:4" hidden="1" outlineLevel="3" x14ac:dyDescent="0.25">
      <c r="A468" t="s">
        <v>531</v>
      </c>
      <c r="B468" t="s">
        <v>335</v>
      </c>
      <c r="C468" s="30"/>
      <c r="D468" s="11" t="e">
        <f t="shared" si="12"/>
        <v>#DIV/0!</v>
      </c>
    </row>
    <row r="469" spans="1:4" s="34" customFormat="1" outlineLevel="2" collapsed="1" x14ac:dyDescent="0.25">
      <c r="A469" s="34" t="s">
        <v>532</v>
      </c>
      <c r="B469" s="34" t="s">
        <v>199</v>
      </c>
      <c r="C469" s="30"/>
      <c r="D469" s="31" t="e">
        <f t="shared" si="12"/>
        <v>#DIV/0!</v>
      </c>
    </row>
    <row r="470" spans="1:4" s="34" customFormat="1" outlineLevel="2" x14ac:dyDescent="0.25">
      <c r="A470" s="29" t="s">
        <v>533</v>
      </c>
      <c r="B470" s="29" t="s">
        <v>488</v>
      </c>
      <c r="C470" s="30"/>
      <c r="D470" s="31" t="e">
        <f t="shared" si="12"/>
        <v>#DIV/0!</v>
      </c>
    </row>
    <row r="471" spans="1:4" s="34" customFormat="1" outlineLevel="2" x14ac:dyDescent="0.25">
      <c r="A471" s="29" t="s">
        <v>534</v>
      </c>
      <c r="B471" s="29" t="s">
        <v>214</v>
      </c>
      <c r="C471" s="30"/>
      <c r="D471" s="31" t="e">
        <f t="shared" si="12"/>
        <v>#DIV/0!</v>
      </c>
    </row>
    <row r="472" spans="1:4" s="34" customFormat="1" outlineLevel="2" x14ac:dyDescent="0.25">
      <c r="A472" s="34" t="s">
        <v>535</v>
      </c>
      <c r="B472" s="34" t="s">
        <v>208</v>
      </c>
      <c r="C472" s="33"/>
      <c r="D472" s="44" t="e">
        <f>+C472/$C$91</f>
        <v>#DIV/0!</v>
      </c>
    </row>
    <row r="473" spans="1:4" s="34" customFormat="1" outlineLevel="2" x14ac:dyDescent="0.25">
      <c r="A473" s="34" t="s">
        <v>536</v>
      </c>
      <c r="B473" s="34" t="s">
        <v>346</v>
      </c>
      <c r="C473" s="33"/>
      <c r="D473" s="44" t="e">
        <f>+C473/$C$91</f>
        <v>#DIV/0!</v>
      </c>
    </row>
    <row r="474" spans="1:4" s="34" customFormat="1" outlineLevel="2" x14ac:dyDescent="0.25">
      <c r="A474" s="34" t="s">
        <v>537</v>
      </c>
      <c r="B474" s="34" t="s">
        <v>348</v>
      </c>
      <c r="C474" s="33"/>
      <c r="D474" s="44" t="e">
        <f>+C474/$C$91</f>
        <v>#DIV/0!</v>
      </c>
    </row>
    <row r="475" spans="1:4" s="34" customFormat="1" outlineLevel="2" x14ac:dyDescent="0.25">
      <c r="A475" s="34" t="s">
        <v>538</v>
      </c>
      <c r="B475" s="34" t="s">
        <v>135</v>
      </c>
      <c r="C475" s="30"/>
      <c r="D475" s="31" t="e">
        <f t="shared" si="12"/>
        <v>#DIV/0!</v>
      </c>
    </row>
    <row r="476" spans="1:4" s="34" customFormat="1" outlineLevel="2" x14ac:dyDescent="0.25">
      <c r="A476" s="34" t="s">
        <v>539</v>
      </c>
      <c r="B476" s="37" t="s">
        <v>137</v>
      </c>
      <c r="C476" s="30"/>
      <c r="D476" s="31" t="e">
        <f t="shared" si="12"/>
        <v>#DIV/0!</v>
      </c>
    </row>
    <row r="477" spans="1:4" outlineLevel="2" x14ac:dyDescent="0.25">
      <c r="A477" s="25"/>
      <c r="B477" s="26"/>
      <c r="C477" s="21"/>
    </row>
    <row r="478" spans="1:4" outlineLevel="1" x14ac:dyDescent="0.25">
      <c r="A478" s="9"/>
      <c r="B478" s="42" t="s">
        <v>540</v>
      </c>
      <c r="C478" s="13">
        <f>+C435+C444+C450+C451+C461+C467+C470+C471+C475+C472+C474+C469+C476+C473</f>
        <v>0</v>
      </c>
      <c r="D478" s="11" t="e">
        <f>+C478/$C$91</f>
        <v>#DIV/0!</v>
      </c>
    </row>
    <row r="479" spans="1:4" outlineLevel="1" x14ac:dyDescent="0.25">
      <c r="A479" s="9"/>
      <c r="B479" s="42"/>
      <c r="C479" s="10"/>
    </row>
    <row r="480" spans="1:4" outlineLevel="2" x14ac:dyDescent="0.25">
      <c r="A480" s="9"/>
      <c r="B480" s="43" t="s">
        <v>541</v>
      </c>
      <c r="C480" s="10"/>
    </row>
    <row r="481" spans="1:4" s="34" customFormat="1" outlineLevel="2" x14ac:dyDescent="0.25">
      <c r="A481" s="29" t="s">
        <v>542</v>
      </c>
      <c r="B481" s="29" t="s">
        <v>91</v>
      </c>
      <c r="C481" s="30"/>
      <c r="D481" s="31" t="e">
        <f t="shared" ref="D481:D514" si="13">+C481/$C$91</f>
        <v>#DIV/0!</v>
      </c>
    </row>
    <row r="482" spans="1:4" hidden="1" outlineLevel="3" x14ac:dyDescent="0.25">
      <c r="A482" s="35" t="s">
        <v>543</v>
      </c>
      <c r="B482" s="35" t="s">
        <v>93</v>
      </c>
      <c r="C482" s="36"/>
      <c r="D482" s="11" t="e">
        <f t="shared" si="13"/>
        <v>#DIV/0!</v>
      </c>
    </row>
    <row r="483" spans="1:4" hidden="1" outlineLevel="3" x14ac:dyDescent="0.25">
      <c r="A483" s="35" t="s">
        <v>544</v>
      </c>
      <c r="B483" s="35" t="s">
        <v>95</v>
      </c>
      <c r="C483" s="10"/>
      <c r="D483" s="11" t="e">
        <f t="shared" si="13"/>
        <v>#DIV/0!</v>
      </c>
    </row>
    <row r="484" spans="1:4" hidden="1" outlineLevel="3" x14ac:dyDescent="0.25">
      <c r="A484" s="35" t="s">
        <v>545</v>
      </c>
      <c r="B484" s="35" t="s">
        <v>97</v>
      </c>
      <c r="C484" s="10"/>
      <c r="D484" s="11" t="e">
        <f t="shared" si="13"/>
        <v>#DIV/0!</v>
      </c>
    </row>
    <row r="485" spans="1:4" hidden="1" outlineLevel="3" x14ac:dyDescent="0.25">
      <c r="A485" s="35" t="s">
        <v>546</v>
      </c>
      <c r="B485" s="35" t="s">
        <v>99</v>
      </c>
      <c r="C485" s="10"/>
      <c r="D485" s="11" t="e">
        <f t="shared" si="13"/>
        <v>#DIV/0!</v>
      </c>
    </row>
    <row r="486" spans="1:4" hidden="1" outlineLevel="3" x14ac:dyDescent="0.25">
      <c r="A486" s="35" t="s">
        <v>547</v>
      </c>
      <c r="B486" s="35" t="s">
        <v>101</v>
      </c>
      <c r="C486" s="10"/>
      <c r="D486" s="11" t="e">
        <f t="shared" si="13"/>
        <v>#DIV/0!</v>
      </c>
    </row>
    <row r="487" spans="1:4" hidden="1" outlineLevel="3" x14ac:dyDescent="0.25">
      <c r="A487" s="35" t="s">
        <v>548</v>
      </c>
      <c r="B487" s="35" t="s">
        <v>147</v>
      </c>
      <c r="C487" s="10"/>
      <c r="D487" s="11" t="e">
        <f t="shared" si="13"/>
        <v>#DIV/0!</v>
      </c>
    </row>
    <row r="488" spans="1:4" hidden="1" outlineLevel="3" x14ac:dyDescent="0.25">
      <c r="A488" s="35" t="s">
        <v>549</v>
      </c>
      <c r="B488" s="35" t="s">
        <v>103</v>
      </c>
      <c r="C488" s="10"/>
      <c r="D488" s="11" t="e">
        <f t="shared" si="13"/>
        <v>#DIV/0!</v>
      </c>
    </row>
    <row r="489" spans="1:4" hidden="1" outlineLevel="3" x14ac:dyDescent="0.25">
      <c r="A489" s="35" t="s">
        <v>550</v>
      </c>
      <c r="B489" s="35" t="s">
        <v>105</v>
      </c>
      <c r="C489" s="10"/>
      <c r="D489" s="11" t="e">
        <f t="shared" si="13"/>
        <v>#DIV/0!</v>
      </c>
    </row>
    <row r="490" spans="1:4" hidden="1" outlineLevel="3" x14ac:dyDescent="0.25">
      <c r="A490" s="35" t="s">
        <v>551</v>
      </c>
      <c r="B490" s="35" t="s">
        <v>107</v>
      </c>
      <c r="C490" s="10"/>
      <c r="D490" s="11" t="e">
        <f t="shared" si="13"/>
        <v>#DIV/0!</v>
      </c>
    </row>
    <row r="491" spans="1:4" s="34" customFormat="1" outlineLevel="2" collapsed="1" x14ac:dyDescent="0.25">
      <c r="A491" s="29" t="s">
        <v>552</v>
      </c>
      <c r="B491" s="29" t="s">
        <v>109</v>
      </c>
      <c r="C491" s="30"/>
      <c r="D491" s="31" t="e">
        <f t="shared" si="13"/>
        <v>#DIV/0!</v>
      </c>
    </row>
    <row r="492" spans="1:4" hidden="1" outlineLevel="3" x14ac:dyDescent="0.25">
      <c r="A492" s="35" t="s">
        <v>553</v>
      </c>
      <c r="B492" s="35" t="s">
        <v>111</v>
      </c>
      <c r="C492" s="30"/>
      <c r="D492" s="11" t="e">
        <f t="shared" si="13"/>
        <v>#DIV/0!</v>
      </c>
    </row>
    <row r="493" spans="1:4" hidden="1" outlineLevel="3" x14ac:dyDescent="0.25">
      <c r="A493" s="35" t="s">
        <v>554</v>
      </c>
      <c r="B493" s="35" t="s">
        <v>113</v>
      </c>
      <c r="C493" s="30"/>
      <c r="D493" s="11" t="e">
        <f t="shared" si="13"/>
        <v>#DIV/0!</v>
      </c>
    </row>
    <row r="494" spans="1:4" hidden="1" outlineLevel="3" x14ac:dyDescent="0.25">
      <c r="A494" s="35" t="s">
        <v>555</v>
      </c>
      <c r="B494" s="35" t="s">
        <v>115</v>
      </c>
      <c r="C494" s="30"/>
      <c r="D494" s="11" t="e">
        <f t="shared" si="13"/>
        <v>#DIV/0!</v>
      </c>
    </row>
    <row r="495" spans="1:4" hidden="1" outlineLevel="3" x14ac:dyDescent="0.25">
      <c r="A495" s="35" t="s">
        <v>556</v>
      </c>
      <c r="B495" s="35" t="s">
        <v>117</v>
      </c>
      <c r="C495" s="30"/>
      <c r="D495" s="11" t="e">
        <f t="shared" si="13"/>
        <v>#DIV/0!</v>
      </c>
    </row>
    <row r="496" spans="1:4" hidden="1" outlineLevel="3" x14ac:dyDescent="0.25">
      <c r="A496" s="35" t="s">
        <v>557</v>
      </c>
      <c r="B496" s="35" t="s">
        <v>119</v>
      </c>
      <c r="C496" s="30"/>
      <c r="D496" s="11" t="e">
        <f t="shared" si="13"/>
        <v>#DIV/0!</v>
      </c>
    </row>
    <row r="497" spans="1:4" s="34" customFormat="1" outlineLevel="2" collapsed="1" x14ac:dyDescent="0.25">
      <c r="A497" s="29" t="s">
        <v>558</v>
      </c>
      <c r="B497" s="29" t="s">
        <v>121</v>
      </c>
      <c r="C497" s="30"/>
      <c r="D497" s="31" t="e">
        <f t="shared" si="13"/>
        <v>#DIV/0!</v>
      </c>
    </row>
    <row r="498" spans="1:4" s="34" customFormat="1" outlineLevel="2" x14ac:dyDescent="0.25">
      <c r="A498" s="34" t="s">
        <v>559</v>
      </c>
      <c r="B498" s="34" t="s">
        <v>185</v>
      </c>
      <c r="C498" s="30"/>
      <c r="D498" s="31" t="e">
        <f t="shared" si="13"/>
        <v>#DIV/0!</v>
      </c>
    </row>
    <row r="499" spans="1:4" hidden="1" outlineLevel="3" x14ac:dyDescent="0.25">
      <c r="A499" t="s">
        <v>560</v>
      </c>
      <c r="B499" t="s">
        <v>187</v>
      </c>
      <c r="C499" s="30"/>
      <c r="D499" s="11" t="e">
        <f t="shared" si="13"/>
        <v>#DIV/0!</v>
      </c>
    </row>
    <row r="500" spans="1:4" hidden="1" outlineLevel="3" x14ac:dyDescent="0.25">
      <c r="A500" t="s">
        <v>561</v>
      </c>
      <c r="B500" t="s">
        <v>189</v>
      </c>
      <c r="C500" s="30"/>
      <c r="D500" s="11" t="e">
        <f t="shared" si="13"/>
        <v>#DIV/0!</v>
      </c>
    </row>
    <row r="501" spans="1:4" hidden="1" outlineLevel="3" x14ac:dyDescent="0.25">
      <c r="A501" t="s">
        <v>562</v>
      </c>
      <c r="B501" t="s">
        <v>191</v>
      </c>
      <c r="C501" s="30"/>
      <c r="D501" s="11" t="e">
        <f t="shared" si="13"/>
        <v>#DIV/0!</v>
      </c>
    </row>
    <row r="502" spans="1:4" hidden="1" outlineLevel="3" x14ac:dyDescent="0.25">
      <c r="A502" t="s">
        <v>563</v>
      </c>
      <c r="B502" t="s">
        <v>193</v>
      </c>
      <c r="C502" s="30"/>
      <c r="D502" s="11" t="e">
        <f t="shared" si="13"/>
        <v>#DIV/0!</v>
      </c>
    </row>
    <row r="503" spans="1:4" hidden="1" outlineLevel="3" x14ac:dyDescent="0.25">
      <c r="A503" t="s">
        <v>564</v>
      </c>
      <c r="B503" t="s">
        <v>195</v>
      </c>
      <c r="C503" s="30"/>
      <c r="D503" s="11" t="e">
        <f t="shared" si="13"/>
        <v>#DIV/0!</v>
      </c>
    </row>
    <row r="504" spans="1:4" hidden="1" outlineLevel="3" x14ac:dyDescent="0.25">
      <c r="A504" t="s">
        <v>565</v>
      </c>
      <c r="B504" t="s">
        <v>566</v>
      </c>
      <c r="C504" s="30"/>
      <c r="D504" s="11" t="e">
        <f t="shared" si="13"/>
        <v>#DIV/0!</v>
      </c>
    </row>
    <row r="505" spans="1:4" hidden="1" outlineLevel="3" x14ac:dyDescent="0.25">
      <c r="A505" t="s">
        <v>567</v>
      </c>
      <c r="B505" t="s">
        <v>201</v>
      </c>
      <c r="C505" s="30"/>
      <c r="D505" s="11" t="e">
        <f t="shared" si="13"/>
        <v>#DIV/0!</v>
      </c>
    </row>
    <row r="506" spans="1:4" hidden="1" outlineLevel="3" x14ac:dyDescent="0.25">
      <c r="A506" t="s">
        <v>568</v>
      </c>
      <c r="B506" t="s">
        <v>203</v>
      </c>
      <c r="C506" s="30"/>
      <c r="D506" s="11" t="e">
        <f t="shared" si="13"/>
        <v>#DIV/0!</v>
      </c>
    </row>
    <row r="507" spans="1:4" hidden="1" outlineLevel="3" x14ac:dyDescent="0.25">
      <c r="A507" t="s">
        <v>569</v>
      </c>
      <c r="B507" t="s">
        <v>135</v>
      </c>
      <c r="C507" s="30"/>
      <c r="D507" s="11" t="e">
        <f t="shared" si="13"/>
        <v>#DIV/0!</v>
      </c>
    </row>
    <row r="508" spans="1:4" s="34" customFormat="1" outlineLevel="2" collapsed="1" x14ac:dyDescent="0.25">
      <c r="A508" s="34" t="s">
        <v>570</v>
      </c>
      <c r="B508" s="34" t="s">
        <v>479</v>
      </c>
      <c r="C508" s="30"/>
      <c r="D508" s="31" t="e">
        <f t="shared" si="13"/>
        <v>#DIV/0!</v>
      </c>
    </row>
    <row r="509" spans="1:4" s="34" customFormat="1" outlineLevel="2" x14ac:dyDescent="0.25">
      <c r="A509" s="34" t="s">
        <v>571</v>
      </c>
      <c r="B509" s="34" t="s">
        <v>205</v>
      </c>
      <c r="C509" s="30"/>
      <c r="D509" s="31" t="e">
        <f t="shared" si="13"/>
        <v>#DIV/0!</v>
      </c>
    </row>
    <row r="510" spans="1:4" hidden="1" outlineLevel="3" x14ac:dyDescent="0.25">
      <c r="A510" t="s">
        <v>572</v>
      </c>
      <c r="B510" t="s">
        <v>335</v>
      </c>
      <c r="C510" s="10"/>
      <c r="D510" s="11" t="e">
        <f t="shared" si="13"/>
        <v>#DIV/0!</v>
      </c>
    </row>
    <row r="511" spans="1:4" s="34" customFormat="1" outlineLevel="2" collapsed="1" x14ac:dyDescent="0.25">
      <c r="A511" s="34" t="s">
        <v>573</v>
      </c>
      <c r="B511" s="34" t="s">
        <v>488</v>
      </c>
      <c r="C511" s="13"/>
      <c r="D511" s="31" t="e">
        <f t="shared" si="13"/>
        <v>#DIV/0!</v>
      </c>
    </row>
    <row r="512" spans="1:4" s="34" customFormat="1" outlineLevel="2" collapsed="1" x14ac:dyDescent="0.25">
      <c r="A512" s="34" t="s">
        <v>574</v>
      </c>
      <c r="B512" s="34" t="s">
        <v>490</v>
      </c>
      <c r="C512" s="13"/>
      <c r="D512" s="31" t="e">
        <f t="shared" si="13"/>
        <v>#DIV/0!</v>
      </c>
    </row>
    <row r="513" spans="1:4" s="34" customFormat="1" outlineLevel="2" collapsed="1" x14ac:dyDescent="0.25">
      <c r="A513" s="34" t="s">
        <v>575</v>
      </c>
      <c r="B513" s="34" t="s">
        <v>135</v>
      </c>
      <c r="C513" s="13"/>
      <c r="D513" s="31" t="e">
        <f t="shared" si="13"/>
        <v>#DIV/0!</v>
      </c>
    </row>
    <row r="514" spans="1:4" s="34" customFormat="1" outlineLevel="2" collapsed="1" x14ac:dyDescent="0.25">
      <c r="A514" s="34" t="s">
        <v>576</v>
      </c>
      <c r="B514" s="37" t="s">
        <v>137</v>
      </c>
      <c r="C514" s="13"/>
      <c r="D514" s="31" t="e">
        <f t="shared" si="13"/>
        <v>#DIV/0!</v>
      </c>
    </row>
    <row r="515" spans="1:4" outlineLevel="2" x14ac:dyDescent="0.25">
      <c r="A515" s="25"/>
      <c r="B515" s="26"/>
      <c r="C515" s="21"/>
    </row>
    <row r="516" spans="1:4" outlineLevel="1" x14ac:dyDescent="0.25">
      <c r="A516" s="9"/>
      <c r="B516" s="42" t="s">
        <v>577</v>
      </c>
      <c r="C516" s="13">
        <f>+C481+C491+C497+C498+C509+C511+C513+C508+C512+C514</f>
        <v>0</v>
      </c>
      <c r="D516" s="11" t="e">
        <f>+C516/$C$91</f>
        <v>#DIV/0!</v>
      </c>
    </row>
    <row r="517" spans="1:4" outlineLevel="1" x14ac:dyDescent="0.25">
      <c r="A517" s="9"/>
      <c r="B517" s="42"/>
      <c r="C517" s="10"/>
    </row>
    <row r="518" spans="1:4" outlineLevel="2" x14ac:dyDescent="0.25">
      <c r="A518" s="9"/>
      <c r="B518" s="43" t="s">
        <v>578</v>
      </c>
      <c r="C518" s="10"/>
    </row>
    <row r="519" spans="1:4" s="34" customFormat="1" outlineLevel="2" x14ac:dyDescent="0.25">
      <c r="A519" s="29" t="s">
        <v>579</v>
      </c>
      <c r="B519" s="29" t="s">
        <v>91</v>
      </c>
      <c r="C519" s="30"/>
      <c r="D519" s="31" t="e">
        <f t="shared" ref="D519:D594" si="14">+C519/$C$91</f>
        <v>#DIV/0!</v>
      </c>
    </row>
    <row r="520" spans="1:4" hidden="1" outlineLevel="3" x14ac:dyDescent="0.25">
      <c r="A520" s="35" t="s">
        <v>580</v>
      </c>
      <c r="B520" s="35" t="s">
        <v>93</v>
      </c>
      <c r="C520" s="30"/>
      <c r="D520" s="11" t="e">
        <f t="shared" si="14"/>
        <v>#DIV/0!</v>
      </c>
    </row>
    <row r="521" spans="1:4" hidden="1" outlineLevel="3" x14ac:dyDescent="0.25">
      <c r="A521" s="35" t="s">
        <v>581</v>
      </c>
      <c r="B521" s="35" t="s">
        <v>95</v>
      </c>
      <c r="C521" s="30"/>
      <c r="D521" s="11" t="e">
        <f t="shared" si="14"/>
        <v>#DIV/0!</v>
      </c>
    </row>
    <row r="522" spans="1:4" hidden="1" outlineLevel="3" x14ac:dyDescent="0.25">
      <c r="A522" s="35" t="s">
        <v>582</v>
      </c>
      <c r="B522" s="35" t="s">
        <v>97</v>
      </c>
      <c r="C522" s="30"/>
      <c r="D522" s="11" t="e">
        <f t="shared" si="14"/>
        <v>#DIV/0!</v>
      </c>
    </row>
    <row r="523" spans="1:4" hidden="1" outlineLevel="3" x14ac:dyDescent="0.25">
      <c r="A523" s="35" t="s">
        <v>583</v>
      </c>
      <c r="B523" s="35" t="s">
        <v>99</v>
      </c>
      <c r="C523" s="30"/>
      <c r="D523" s="11" t="e">
        <f t="shared" si="14"/>
        <v>#DIV/0!</v>
      </c>
    </row>
    <row r="524" spans="1:4" hidden="1" outlineLevel="3" x14ac:dyDescent="0.25">
      <c r="A524" s="35" t="s">
        <v>584</v>
      </c>
      <c r="B524" s="35" t="s">
        <v>101</v>
      </c>
      <c r="C524" s="30"/>
      <c r="D524" s="11" t="e">
        <f t="shared" si="14"/>
        <v>#DIV/0!</v>
      </c>
    </row>
    <row r="525" spans="1:4" hidden="1" outlineLevel="3" x14ac:dyDescent="0.25">
      <c r="A525" s="35" t="s">
        <v>585</v>
      </c>
      <c r="B525" s="35" t="s">
        <v>147</v>
      </c>
      <c r="C525" s="30"/>
      <c r="D525" s="11" t="e">
        <f t="shared" si="14"/>
        <v>#DIV/0!</v>
      </c>
    </row>
    <row r="526" spans="1:4" hidden="1" outlineLevel="3" x14ac:dyDescent="0.25">
      <c r="A526" s="35" t="s">
        <v>586</v>
      </c>
      <c r="B526" s="35" t="s">
        <v>103</v>
      </c>
      <c r="C526" s="30"/>
      <c r="D526" s="11" t="e">
        <f t="shared" si="14"/>
        <v>#DIV/0!</v>
      </c>
    </row>
    <row r="527" spans="1:4" hidden="1" outlineLevel="3" x14ac:dyDescent="0.25">
      <c r="A527" s="35" t="s">
        <v>587</v>
      </c>
      <c r="B527" s="35" t="s">
        <v>105</v>
      </c>
      <c r="C527" s="30"/>
      <c r="D527" s="11" t="e">
        <f t="shared" si="14"/>
        <v>#DIV/0!</v>
      </c>
    </row>
    <row r="528" spans="1:4" hidden="1" outlineLevel="3" x14ac:dyDescent="0.25">
      <c r="A528" s="35" t="s">
        <v>588</v>
      </c>
      <c r="B528" s="35" t="s">
        <v>107</v>
      </c>
      <c r="C528" s="30"/>
      <c r="D528" s="11" t="e">
        <f t="shared" si="14"/>
        <v>#DIV/0!</v>
      </c>
    </row>
    <row r="529" spans="1:4" s="34" customFormat="1" outlineLevel="2" collapsed="1" x14ac:dyDescent="0.25">
      <c r="A529" s="29" t="s">
        <v>589</v>
      </c>
      <c r="B529" s="29" t="s">
        <v>109</v>
      </c>
      <c r="C529" s="30"/>
      <c r="D529" s="31" t="e">
        <f t="shared" si="14"/>
        <v>#DIV/0!</v>
      </c>
    </row>
    <row r="530" spans="1:4" hidden="1" outlineLevel="3" x14ac:dyDescent="0.25">
      <c r="A530" s="35" t="s">
        <v>590</v>
      </c>
      <c r="B530" s="35" t="s">
        <v>111</v>
      </c>
      <c r="C530" s="30"/>
      <c r="D530" s="11" t="e">
        <f t="shared" si="14"/>
        <v>#DIV/0!</v>
      </c>
    </row>
    <row r="531" spans="1:4" hidden="1" outlineLevel="3" x14ac:dyDescent="0.25">
      <c r="A531" s="35" t="s">
        <v>591</v>
      </c>
      <c r="B531" s="35" t="s">
        <v>113</v>
      </c>
      <c r="C531" s="30"/>
      <c r="D531" s="11" t="e">
        <f t="shared" si="14"/>
        <v>#DIV/0!</v>
      </c>
    </row>
    <row r="532" spans="1:4" hidden="1" outlineLevel="3" x14ac:dyDescent="0.25">
      <c r="A532" s="35" t="s">
        <v>592</v>
      </c>
      <c r="B532" s="35" t="s">
        <v>115</v>
      </c>
      <c r="C532" s="30"/>
      <c r="D532" s="11" t="e">
        <f t="shared" si="14"/>
        <v>#DIV/0!</v>
      </c>
    </row>
    <row r="533" spans="1:4" hidden="1" outlineLevel="3" x14ac:dyDescent="0.25">
      <c r="A533" s="35" t="s">
        <v>593</v>
      </c>
      <c r="B533" s="35" t="s">
        <v>117</v>
      </c>
      <c r="C533" s="30"/>
      <c r="D533" s="11" t="e">
        <f t="shared" si="14"/>
        <v>#DIV/0!</v>
      </c>
    </row>
    <row r="534" spans="1:4" hidden="1" outlineLevel="3" x14ac:dyDescent="0.25">
      <c r="A534" s="35" t="s">
        <v>594</v>
      </c>
      <c r="B534" s="35" t="s">
        <v>119</v>
      </c>
      <c r="C534" s="30"/>
      <c r="D534" s="11" t="e">
        <f t="shared" si="14"/>
        <v>#DIV/0!</v>
      </c>
    </row>
    <row r="535" spans="1:4" s="34" customFormat="1" outlineLevel="2" collapsed="1" x14ac:dyDescent="0.25">
      <c r="A535" s="29" t="s">
        <v>595</v>
      </c>
      <c r="B535" s="29" t="s">
        <v>121</v>
      </c>
      <c r="C535" s="30"/>
      <c r="D535" s="31" t="e">
        <f t="shared" si="14"/>
        <v>#DIV/0!</v>
      </c>
    </row>
    <row r="536" spans="1:4" s="34" customFormat="1" outlineLevel="2" x14ac:dyDescent="0.25">
      <c r="A536" s="34" t="s">
        <v>596</v>
      </c>
      <c r="B536" s="34" t="s">
        <v>185</v>
      </c>
      <c r="C536" s="30"/>
      <c r="D536" s="31" t="e">
        <f t="shared" si="14"/>
        <v>#DIV/0!</v>
      </c>
    </row>
    <row r="537" spans="1:4" hidden="1" outlineLevel="3" x14ac:dyDescent="0.25">
      <c r="A537" t="s">
        <v>597</v>
      </c>
      <c r="B537" t="s">
        <v>187</v>
      </c>
      <c r="C537" s="30"/>
      <c r="D537" s="11" t="e">
        <f t="shared" si="14"/>
        <v>#DIV/0!</v>
      </c>
    </row>
    <row r="538" spans="1:4" hidden="1" outlineLevel="3" x14ac:dyDescent="0.25">
      <c r="A538" t="s">
        <v>598</v>
      </c>
      <c r="B538" t="s">
        <v>189</v>
      </c>
      <c r="C538" s="30"/>
      <c r="D538" s="11" t="e">
        <f t="shared" si="14"/>
        <v>#DIV/0!</v>
      </c>
    </row>
    <row r="539" spans="1:4" hidden="1" outlineLevel="3" x14ac:dyDescent="0.25">
      <c r="A539" t="s">
        <v>599</v>
      </c>
      <c r="B539" t="s">
        <v>191</v>
      </c>
      <c r="C539" s="30"/>
      <c r="D539" s="11" t="e">
        <f t="shared" si="14"/>
        <v>#DIV/0!</v>
      </c>
    </row>
    <row r="540" spans="1:4" hidden="1" outlineLevel="3" x14ac:dyDescent="0.25">
      <c r="A540" t="s">
        <v>600</v>
      </c>
      <c r="B540" t="s">
        <v>193</v>
      </c>
      <c r="C540" s="30"/>
      <c r="D540" s="11" t="e">
        <f t="shared" si="14"/>
        <v>#DIV/0!</v>
      </c>
    </row>
    <row r="541" spans="1:4" hidden="1" outlineLevel="3" x14ac:dyDescent="0.25">
      <c r="A541" t="s">
        <v>601</v>
      </c>
      <c r="B541" t="s">
        <v>195</v>
      </c>
      <c r="C541" s="30"/>
      <c r="D541" s="11" t="e">
        <f t="shared" si="14"/>
        <v>#DIV/0!</v>
      </c>
    </row>
    <row r="542" spans="1:4" hidden="1" outlineLevel="3" x14ac:dyDescent="0.25">
      <c r="A542" t="s">
        <v>602</v>
      </c>
      <c r="B542" t="s">
        <v>199</v>
      </c>
      <c r="C542" s="30"/>
      <c r="D542" s="11" t="e">
        <f t="shared" si="14"/>
        <v>#DIV/0!</v>
      </c>
    </row>
    <row r="543" spans="1:4" hidden="1" outlineLevel="3" x14ac:dyDescent="0.25">
      <c r="A543" t="s">
        <v>603</v>
      </c>
      <c r="B543" t="s">
        <v>604</v>
      </c>
      <c r="C543" s="30"/>
      <c r="D543" s="11" t="e">
        <f t="shared" si="14"/>
        <v>#DIV/0!</v>
      </c>
    </row>
    <row r="544" spans="1:4" hidden="1" outlineLevel="3" x14ac:dyDescent="0.25">
      <c r="A544" t="s">
        <v>605</v>
      </c>
      <c r="B544" t="s">
        <v>201</v>
      </c>
      <c r="C544" s="30"/>
      <c r="D544" s="11" t="e">
        <f t="shared" si="14"/>
        <v>#DIV/0!</v>
      </c>
    </row>
    <row r="545" spans="1:4" hidden="1" outlineLevel="3" x14ac:dyDescent="0.25">
      <c r="A545" t="s">
        <v>606</v>
      </c>
      <c r="B545" t="s">
        <v>203</v>
      </c>
      <c r="C545" s="30"/>
      <c r="D545" s="11" t="e">
        <f t="shared" si="14"/>
        <v>#DIV/0!</v>
      </c>
    </row>
    <row r="546" spans="1:4" hidden="1" outlineLevel="3" x14ac:dyDescent="0.25">
      <c r="A546" t="s">
        <v>607</v>
      </c>
      <c r="B546" t="s">
        <v>205</v>
      </c>
      <c r="C546" s="30"/>
      <c r="D546" s="11" t="e">
        <f t="shared" si="14"/>
        <v>#DIV/0!</v>
      </c>
    </row>
    <row r="547" spans="1:4" hidden="1" outlineLevel="3" x14ac:dyDescent="0.25">
      <c r="A547" t="s">
        <v>608</v>
      </c>
      <c r="B547" t="s">
        <v>135</v>
      </c>
      <c r="C547" s="30"/>
      <c r="D547" s="11" t="e">
        <f t="shared" si="14"/>
        <v>#DIV/0!</v>
      </c>
    </row>
    <row r="548" spans="1:4" hidden="1" outlineLevel="3" x14ac:dyDescent="0.25">
      <c r="A548" t="s">
        <v>609</v>
      </c>
      <c r="B548" t="s">
        <v>208</v>
      </c>
      <c r="C548" s="30"/>
      <c r="D548" s="11" t="e">
        <f t="shared" si="14"/>
        <v>#DIV/0!</v>
      </c>
    </row>
    <row r="549" spans="1:4" s="34" customFormat="1" outlineLevel="2" collapsed="1" x14ac:dyDescent="0.25">
      <c r="A549" s="34" t="s">
        <v>610</v>
      </c>
      <c r="B549" s="34" t="s">
        <v>479</v>
      </c>
      <c r="C549" s="30"/>
      <c r="D549" s="31" t="e">
        <f t="shared" si="14"/>
        <v>#DIV/0!</v>
      </c>
    </row>
    <row r="550" spans="1:4" hidden="1" outlineLevel="3" x14ac:dyDescent="0.25">
      <c r="A550" t="s">
        <v>611</v>
      </c>
      <c r="B550" t="s">
        <v>187</v>
      </c>
      <c r="C550" s="30"/>
      <c r="D550" s="11" t="e">
        <f t="shared" si="14"/>
        <v>#DIV/0!</v>
      </c>
    </row>
    <row r="551" spans="1:4" hidden="1" outlineLevel="3" x14ac:dyDescent="0.25">
      <c r="A551" t="s">
        <v>612</v>
      </c>
      <c r="B551" t="s">
        <v>189</v>
      </c>
      <c r="C551" s="30"/>
      <c r="D551" s="11" t="e">
        <f t="shared" si="14"/>
        <v>#DIV/0!</v>
      </c>
    </row>
    <row r="552" spans="1:4" hidden="1" outlineLevel="3" x14ac:dyDescent="0.25">
      <c r="A552" t="s">
        <v>613</v>
      </c>
      <c r="B552" t="s">
        <v>191</v>
      </c>
      <c r="C552" s="30"/>
      <c r="D552" s="11" t="e">
        <f t="shared" si="14"/>
        <v>#DIV/0!</v>
      </c>
    </row>
    <row r="553" spans="1:4" hidden="1" outlineLevel="3" x14ac:dyDescent="0.25">
      <c r="A553" t="s">
        <v>614</v>
      </c>
      <c r="B553" t="s">
        <v>193</v>
      </c>
      <c r="C553" s="30"/>
      <c r="D553" s="11" t="e">
        <f t="shared" si="14"/>
        <v>#DIV/0!</v>
      </c>
    </row>
    <row r="554" spans="1:4" hidden="1" outlineLevel="3" x14ac:dyDescent="0.25">
      <c r="A554" t="s">
        <v>615</v>
      </c>
      <c r="B554" t="s">
        <v>195</v>
      </c>
      <c r="C554" s="30"/>
      <c r="D554" s="11" t="e">
        <f t="shared" si="14"/>
        <v>#DIV/0!</v>
      </c>
    </row>
    <row r="555" spans="1:4" hidden="1" outlineLevel="3" x14ac:dyDescent="0.25">
      <c r="A555" t="s">
        <v>616</v>
      </c>
      <c r="B555" t="s">
        <v>135</v>
      </c>
      <c r="C555" s="30"/>
      <c r="D555" s="11" t="e">
        <f t="shared" si="14"/>
        <v>#DIV/0!</v>
      </c>
    </row>
    <row r="556" spans="1:4" s="34" customFormat="1" outlineLevel="2" collapsed="1" x14ac:dyDescent="0.25">
      <c r="A556" s="34" t="s">
        <v>617</v>
      </c>
      <c r="B556" s="34" t="s">
        <v>210</v>
      </c>
      <c r="C556" s="30"/>
      <c r="D556" s="31" t="e">
        <f t="shared" si="14"/>
        <v>#DIV/0!</v>
      </c>
    </row>
    <row r="557" spans="1:4" s="34" customFormat="1" outlineLevel="2" x14ac:dyDescent="0.25">
      <c r="A557" s="34" t="s">
        <v>618</v>
      </c>
      <c r="B557" s="34" t="s">
        <v>205</v>
      </c>
      <c r="C557" s="30"/>
      <c r="D557" s="31" t="e">
        <f t="shared" si="14"/>
        <v>#DIV/0!</v>
      </c>
    </row>
    <row r="558" spans="1:4" hidden="1" outlineLevel="3" x14ac:dyDescent="0.25">
      <c r="A558" t="s">
        <v>619</v>
      </c>
      <c r="B558" t="s">
        <v>620</v>
      </c>
      <c r="C558" s="30"/>
      <c r="D558" s="11" t="e">
        <f t="shared" si="14"/>
        <v>#DIV/0!</v>
      </c>
    </row>
    <row r="559" spans="1:4" hidden="1" outlineLevel="3" x14ac:dyDescent="0.25">
      <c r="A559" t="s">
        <v>621</v>
      </c>
      <c r="B559" t="s">
        <v>622</v>
      </c>
      <c r="C559" s="30"/>
      <c r="D559" s="11" t="e">
        <f t="shared" si="14"/>
        <v>#DIV/0!</v>
      </c>
    </row>
    <row r="560" spans="1:4" hidden="1" outlineLevel="3" x14ac:dyDescent="0.25">
      <c r="A560" t="s">
        <v>623</v>
      </c>
      <c r="B560" t="s">
        <v>335</v>
      </c>
      <c r="C560" s="30"/>
      <c r="D560" s="11" t="e">
        <f t="shared" si="14"/>
        <v>#DIV/0!</v>
      </c>
    </row>
    <row r="561" spans="1:4" hidden="1" outlineLevel="3" x14ac:dyDescent="0.25">
      <c r="A561" t="s">
        <v>624</v>
      </c>
      <c r="B561" t="s">
        <v>337</v>
      </c>
      <c r="C561" s="30"/>
      <c r="D561" s="11" t="e">
        <f t="shared" si="14"/>
        <v>#DIV/0!</v>
      </c>
    </row>
    <row r="562" spans="1:4" s="34" customFormat="1" outlineLevel="2" collapsed="1" x14ac:dyDescent="0.25">
      <c r="A562" s="34" t="s">
        <v>625</v>
      </c>
      <c r="B562" s="34" t="s">
        <v>212</v>
      </c>
      <c r="C562" s="30"/>
      <c r="D562" s="31" t="e">
        <f t="shared" si="14"/>
        <v>#DIV/0!</v>
      </c>
    </row>
    <row r="563" spans="1:4" s="34" customFormat="1" outlineLevel="2" x14ac:dyDescent="0.25">
      <c r="A563" s="34" t="s">
        <v>626</v>
      </c>
      <c r="B563" s="34" t="s">
        <v>484</v>
      </c>
      <c r="C563" s="30"/>
      <c r="D563" s="31" t="e">
        <f t="shared" si="14"/>
        <v>#DIV/0!</v>
      </c>
    </row>
    <row r="564" spans="1:4" hidden="1" outlineLevel="3" x14ac:dyDescent="0.25">
      <c r="A564" t="s">
        <v>627</v>
      </c>
      <c r="B564" t="s">
        <v>486</v>
      </c>
      <c r="C564" s="30"/>
      <c r="D564" s="11" t="e">
        <f t="shared" si="14"/>
        <v>#DIV/0!</v>
      </c>
    </row>
    <row r="565" spans="1:4" hidden="1" outlineLevel="3" x14ac:dyDescent="0.25">
      <c r="A565" t="s">
        <v>628</v>
      </c>
      <c r="B565" t="s">
        <v>629</v>
      </c>
      <c r="C565" s="30"/>
      <c r="D565" s="11" t="e">
        <f t="shared" si="14"/>
        <v>#DIV/0!</v>
      </c>
    </row>
    <row r="566" spans="1:4" hidden="1" outlineLevel="3" x14ac:dyDescent="0.25">
      <c r="A566" t="s">
        <v>630</v>
      </c>
      <c r="B566" t="s">
        <v>631</v>
      </c>
      <c r="C566" s="30"/>
      <c r="D566" s="11" t="e">
        <f t="shared" si="14"/>
        <v>#DIV/0!</v>
      </c>
    </row>
    <row r="567" spans="1:4" s="34" customFormat="1" outlineLevel="2" collapsed="1" x14ac:dyDescent="0.25">
      <c r="A567" s="29" t="s">
        <v>632</v>
      </c>
      <c r="B567" s="29" t="s">
        <v>488</v>
      </c>
      <c r="C567" s="30"/>
      <c r="D567" s="31" t="e">
        <f t="shared" si="14"/>
        <v>#DIV/0!</v>
      </c>
    </row>
    <row r="568" spans="1:4" s="34" customFormat="1" outlineLevel="2" x14ac:dyDescent="0.25">
      <c r="A568" s="29" t="s">
        <v>633</v>
      </c>
      <c r="B568" s="29" t="s">
        <v>634</v>
      </c>
      <c r="C568" s="30"/>
      <c r="D568" s="31" t="e">
        <f t="shared" si="14"/>
        <v>#DIV/0!</v>
      </c>
    </row>
    <row r="569" spans="1:4" hidden="1" outlineLevel="3" x14ac:dyDescent="0.25">
      <c r="A569" t="s">
        <v>635</v>
      </c>
      <c r="B569" t="s">
        <v>636</v>
      </c>
      <c r="C569" s="30"/>
      <c r="D569" s="11" t="e">
        <f t="shared" si="14"/>
        <v>#DIV/0!</v>
      </c>
    </row>
    <row r="570" spans="1:4" hidden="1" outlineLevel="3" x14ac:dyDescent="0.25">
      <c r="A570" t="s">
        <v>637</v>
      </c>
      <c r="B570" t="s">
        <v>638</v>
      </c>
      <c r="C570" s="30"/>
      <c r="D570" s="11" t="e">
        <f t="shared" si="14"/>
        <v>#DIV/0!</v>
      </c>
    </row>
    <row r="571" spans="1:4" hidden="1" outlineLevel="3" x14ac:dyDescent="0.25">
      <c r="A571" t="s">
        <v>639</v>
      </c>
      <c r="B571" t="s">
        <v>640</v>
      </c>
      <c r="C571" s="30"/>
      <c r="D571" s="11" t="e">
        <f t="shared" si="14"/>
        <v>#DIV/0!</v>
      </c>
    </row>
    <row r="572" spans="1:4" hidden="1" outlineLevel="3" x14ac:dyDescent="0.25">
      <c r="A572" t="s">
        <v>641</v>
      </c>
      <c r="B572" t="s">
        <v>642</v>
      </c>
      <c r="C572" s="30"/>
      <c r="D572" s="11" t="e">
        <f t="shared" si="14"/>
        <v>#DIV/0!</v>
      </c>
    </row>
    <row r="573" spans="1:4" hidden="1" outlineLevel="3" x14ac:dyDescent="0.25">
      <c r="A573" t="s">
        <v>643</v>
      </c>
      <c r="B573" t="s">
        <v>644</v>
      </c>
      <c r="C573" s="30"/>
      <c r="D573" s="11" t="e">
        <f t="shared" si="14"/>
        <v>#DIV/0!</v>
      </c>
    </row>
    <row r="574" spans="1:4" s="34" customFormat="1" outlineLevel="2" collapsed="1" x14ac:dyDescent="0.25">
      <c r="A574" s="29" t="s">
        <v>645</v>
      </c>
      <c r="B574" s="29" t="s">
        <v>214</v>
      </c>
      <c r="C574" s="30"/>
      <c r="D574" s="31" t="e">
        <f t="shared" si="14"/>
        <v>#DIV/0!</v>
      </c>
    </row>
    <row r="575" spans="1:4" s="34" customFormat="1" outlineLevel="2" collapsed="1" x14ac:dyDescent="0.25">
      <c r="A575" s="29" t="s">
        <v>646</v>
      </c>
      <c r="B575" s="29" t="s">
        <v>647</v>
      </c>
      <c r="C575" s="30"/>
      <c r="D575" s="31" t="e">
        <f t="shared" si="14"/>
        <v>#DIV/0!</v>
      </c>
    </row>
    <row r="576" spans="1:4" s="34" customFormat="1" outlineLevel="2" collapsed="1" x14ac:dyDescent="0.25">
      <c r="A576" s="29" t="s">
        <v>648</v>
      </c>
      <c r="B576" s="29" t="s">
        <v>216</v>
      </c>
      <c r="C576" s="30"/>
      <c r="D576" s="31" t="e">
        <f t="shared" si="14"/>
        <v>#DIV/0!</v>
      </c>
    </row>
    <row r="577" spans="1:4" s="34" customFormat="1" outlineLevel="2" x14ac:dyDescent="0.25">
      <c r="A577" s="34" t="s">
        <v>649</v>
      </c>
      <c r="B577" s="34" t="s">
        <v>490</v>
      </c>
      <c r="C577" s="30"/>
      <c r="D577" s="31" t="e">
        <f t="shared" si="14"/>
        <v>#DIV/0!</v>
      </c>
    </row>
    <row r="578" spans="1:4" s="34" customFormat="1" outlineLevel="2" x14ac:dyDescent="0.25">
      <c r="A578" s="34" t="s">
        <v>650</v>
      </c>
      <c r="B578" s="34" t="s">
        <v>651</v>
      </c>
      <c r="C578" s="30"/>
      <c r="D578" s="31" t="e">
        <f t="shared" si="14"/>
        <v>#DIV/0!</v>
      </c>
    </row>
    <row r="579" spans="1:4" hidden="1" outlineLevel="3" x14ac:dyDescent="0.25">
      <c r="A579" t="s">
        <v>652</v>
      </c>
      <c r="B579" t="s">
        <v>653</v>
      </c>
      <c r="C579" s="30"/>
      <c r="D579" s="11" t="e">
        <f t="shared" si="14"/>
        <v>#DIV/0!</v>
      </c>
    </row>
    <row r="580" spans="1:4" hidden="1" outlineLevel="3" x14ac:dyDescent="0.25">
      <c r="A580" t="s">
        <v>654</v>
      </c>
      <c r="B580" t="s">
        <v>651</v>
      </c>
      <c r="C580" s="30"/>
      <c r="D580" s="11" t="e">
        <f t="shared" si="14"/>
        <v>#DIV/0!</v>
      </c>
    </row>
    <row r="581" spans="1:4" hidden="1" outlineLevel="3" x14ac:dyDescent="0.25">
      <c r="A581" t="s">
        <v>655</v>
      </c>
      <c r="B581" t="s">
        <v>656</v>
      </c>
      <c r="C581" s="30"/>
      <c r="D581" s="11" t="e">
        <f t="shared" si="14"/>
        <v>#DIV/0!</v>
      </c>
    </row>
    <row r="582" spans="1:4" s="34" customFormat="1" outlineLevel="2" collapsed="1" x14ac:dyDescent="0.25">
      <c r="A582" s="29" t="s">
        <v>657</v>
      </c>
      <c r="B582" s="29" t="s">
        <v>228</v>
      </c>
      <c r="C582" s="30"/>
      <c r="D582" s="31" t="e">
        <f t="shared" si="14"/>
        <v>#DIV/0!</v>
      </c>
    </row>
    <row r="583" spans="1:4" s="34" customFormat="1" outlineLevel="2" x14ac:dyDescent="0.25">
      <c r="A583" s="34" t="s">
        <v>658</v>
      </c>
      <c r="B583" s="34" t="s">
        <v>659</v>
      </c>
      <c r="C583" s="30"/>
      <c r="D583" s="31" t="e">
        <f t="shared" si="14"/>
        <v>#DIV/0!</v>
      </c>
    </row>
    <row r="584" spans="1:4" hidden="1" outlineLevel="3" x14ac:dyDescent="0.25">
      <c r="A584" t="s">
        <v>660</v>
      </c>
      <c r="B584" t="s">
        <v>135</v>
      </c>
      <c r="C584" s="30"/>
      <c r="D584" s="11" t="e">
        <f t="shared" si="14"/>
        <v>#DIV/0!</v>
      </c>
    </row>
    <row r="585" spans="1:4" hidden="1" outlineLevel="3" x14ac:dyDescent="0.25">
      <c r="A585" t="s">
        <v>661</v>
      </c>
      <c r="B585" t="s">
        <v>656</v>
      </c>
      <c r="C585" s="30"/>
      <c r="D585" s="11" t="e">
        <f t="shared" si="14"/>
        <v>#DIV/0!</v>
      </c>
    </row>
    <row r="586" spans="1:4" hidden="1" outlineLevel="3" x14ac:dyDescent="0.25">
      <c r="A586" t="s">
        <v>662</v>
      </c>
      <c r="B586" t="s">
        <v>651</v>
      </c>
      <c r="C586" s="30"/>
      <c r="D586" s="11" t="e">
        <f t="shared" si="14"/>
        <v>#DIV/0!</v>
      </c>
    </row>
    <row r="587" spans="1:4" s="34" customFormat="1" outlineLevel="2" collapsed="1" x14ac:dyDescent="0.25">
      <c r="A587" s="34" t="s">
        <v>663</v>
      </c>
      <c r="B587" s="34" t="s">
        <v>208</v>
      </c>
      <c r="C587" s="30"/>
      <c r="D587" s="31" t="e">
        <f t="shared" si="14"/>
        <v>#DIV/0!</v>
      </c>
    </row>
    <row r="588" spans="1:4" s="34" customFormat="1" outlineLevel="2" x14ac:dyDescent="0.25">
      <c r="A588" s="34" t="s">
        <v>664</v>
      </c>
      <c r="B588" s="34" t="s">
        <v>665</v>
      </c>
      <c r="C588" s="33"/>
      <c r="D588" s="44" t="e">
        <f>+C588/$C$91</f>
        <v>#DIV/0!</v>
      </c>
    </row>
    <row r="589" spans="1:4" s="34" customFormat="1" outlineLevel="2" x14ac:dyDescent="0.25">
      <c r="A589" s="29" t="s">
        <v>666</v>
      </c>
      <c r="B589" s="29" t="s">
        <v>348</v>
      </c>
      <c r="C589" s="30"/>
      <c r="D589" s="31" t="e">
        <f t="shared" ref="D589" si="15">+C589/$C$91</f>
        <v>#DIV/0!</v>
      </c>
    </row>
    <row r="590" spans="1:4" s="34" customFormat="1" outlineLevel="2" x14ac:dyDescent="0.25">
      <c r="A590" s="34" t="s">
        <v>667</v>
      </c>
      <c r="B590" s="34" t="s">
        <v>135</v>
      </c>
      <c r="C590" s="30"/>
      <c r="D590" s="31" t="e">
        <f t="shared" si="14"/>
        <v>#DIV/0!</v>
      </c>
    </row>
    <row r="591" spans="1:4" s="34" customFormat="1" outlineLevel="2" x14ac:dyDescent="0.25">
      <c r="A591" s="34" t="s">
        <v>668</v>
      </c>
      <c r="B591" s="34" t="s">
        <v>203</v>
      </c>
      <c r="C591" s="30"/>
      <c r="D591" s="31" t="e">
        <f t="shared" si="14"/>
        <v>#DIV/0!</v>
      </c>
    </row>
    <row r="592" spans="1:4" s="34" customFormat="1" outlineLevel="2" x14ac:dyDescent="0.25">
      <c r="A592" s="29" t="s">
        <v>669</v>
      </c>
      <c r="B592" s="29" t="s">
        <v>670</v>
      </c>
      <c r="C592" s="30"/>
      <c r="D592" s="31" t="e">
        <f t="shared" si="14"/>
        <v>#DIV/0!</v>
      </c>
    </row>
    <row r="593" spans="1:4" s="34" customFormat="1" outlineLevel="2" x14ac:dyDescent="0.25">
      <c r="A593" s="34" t="s">
        <v>671</v>
      </c>
      <c r="B593" s="34" t="s">
        <v>672</v>
      </c>
      <c r="C593" s="30"/>
      <c r="D593" s="31" t="e">
        <f t="shared" si="14"/>
        <v>#DIV/0!</v>
      </c>
    </row>
    <row r="594" spans="1:4" s="34" customFormat="1" outlineLevel="2" x14ac:dyDescent="0.25">
      <c r="A594" s="34" t="s">
        <v>673</v>
      </c>
      <c r="B594" s="34" t="s">
        <v>674</v>
      </c>
      <c r="C594" s="30"/>
      <c r="D594" s="31" t="e">
        <f t="shared" si="14"/>
        <v>#DIV/0!</v>
      </c>
    </row>
    <row r="595" spans="1:4" s="34" customFormat="1" outlineLevel="2" x14ac:dyDescent="0.25">
      <c r="A595" s="34" t="s">
        <v>675</v>
      </c>
      <c r="B595" s="34" t="s">
        <v>676</v>
      </c>
      <c r="C595" s="30"/>
      <c r="D595" s="31" t="e">
        <f t="shared" ref="D595:D598" si="16">+C595/$C$91</f>
        <v>#DIV/0!</v>
      </c>
    </row>
    <row r="596" spans="1:4" s="34" customFormat="1" outlineLevel="2" x14ac:dyDescent="0.25">
      <c r="A596" s="34" t="s">
        <v>677</v>
      </c>
      <c r="B596" s="34" t="s">
        <v>240</v>
      </c>
      <c r="C596" s="30"/>
      <c r="D596" s="31" t="e">
        <f t="shared" si="16"/>
        <v>#DIV/0!</v>
      </c>
    </row>
    <row r="597" spans="1:4" s="34" customFormat="1" outlineLevel="2" x14ac:dyDescent="0.25">
      <c r="A597" s="29" t="s">
        <v>678</v>
      </c>
      <c r="B597" s="29" t="s">
        <v>679</v>
      </c>
      <c r="C597" s="30"/>
      <c r="D597" s="31" t="e">
        <f t="shared" si="16"/>
        <v>#DIV/0!</v>
      </c>
    </row>
    <row r="598" spans="1:4" s="34" customFormat="1" outlineLevel="2" x14ac:dyDescent="0.25">
      <c r="A598" s="29" t="s">
        <v>680</v>
      </c>
      <c r="B598" s="37" t="s">
        <v>137</v>
      </c>
      <c r="C598" s="30"/>
      <c r="D598" s="31" t="e">
        <f t="shared" si="16"/>
        <v>#DIV/0!</v>
      </c>
    </row>
    <row r="599" spans="1:4" outlineLevel="2" x14ac:dyDescent="0.25">
      <c r="A599" s="27"/>
      <c r="B599" s="26"/>
      <c r="C599" s="21"/>
    </row>
    <row r="600" spans="1:4" outlineLevel="1" x14ac:dyDescent="0.25">
      <c r="A600" s="9"/>
      <c r="B600" s="42" t="s">
        <v>681</v>
      </c>
      <c r="C600" s="13">
        <f>+C519+C529+C535+C536+C549+C557+C562+C563+C567+C568+C574+C577+C578+C582+C583+C587+C590+C591+C592+C593+C594+C597+C589+C595+C556+C588+C575+C576+C596+C598</f>
        <v>0</v>
      </c>
      <c r="D600" s="11" t="e">
        <f>+C600/$C$91</f>
        <v>#DIV/0!</v>
      </c>
    </row>
    <row r="601" spans="1:4" outlineLevel="1" x14ac:dyDescent="0.25">
      <c r="A601" s="9"/>
      <c r="B601" s="42"/>
      <c r="C601" s="10"/>
    </row>
    <row r="602" spans="1:4" outlineLevel="2" x14ac:dyDescent="0.25">
      <c r="A602" s="9"/>
      <c r="B602" s="43" t="s">
        <v>682</v>
      </c>
      <c r="C602" s="10"/>
    </row>
    <row r="603" spans="1:4" s="34" customFormat="1" outlineLevel="2" x14ac:dyDescent="0.25">
      <c r="A603" s="34" t="s">
        <v>683</v>
      </c>
      <c r="B603" s="34" t="s">
        <v>121</v>
      </c>
      <c r="C603" s="32"/>
      <c r="D603" s="31" t="e">
        <f t="shared" ref="D603:D607" si="17">+C603/$C$91</f>
        <v>#DIV/0!</v>
      </c>
    </row>
    <row r="604" spans="1:4" s="34" customFormat="1" outlineLevel="2" x14ac:dyDescent="0.25">
      <c r="A604" s="29" t="s">
        <v>684</v>
      </c>
      <c r="B604" s="29" t="s">
        <v>484</v>
      </c>
      <c r="C604" s="30"/>
      <c r="D604" s="31" t="e">
        <f t="shared" si="17"/>
        <v>#DIV/0!</v>
      </c>
    </row>
    <row r="605" spans="1:4" hidden="1" outlineLevel="3" x14ac:dyDescent="0.25">
      <c r="A605" t="s">
        <v>685</v>
      </c>
      <c r="B605" t="s">
        <v>486</v>
      </c>
      <c r="C605" s="10"/>
      <c r="D605" s="11" t="e">
        <f t="shared" si="17"/>
        <v>#DIV/0!</v>
      </c>
    </row>
    <row r="606" spans="1:4" s="34" customFormat="1" outlineLevel="2" collapsed="1" x14ac:dyDescent="0.25">
      <c r="A606" s="34" t="s">
        <v>686</v>
      </c>
      <c r="B606" s="34" t="s">
        <v>238</v>
      </c>
      <c r="C606" s="13"/>
      <c r="D606" s="31" t="e">
        <f t="shared" si="17"/>
        <v>#DIV/0!</v>
      </c>
    </row>
    <row r="607" spans="1:4" s="34" customFormat="1" outlineLevel="2" collapsed="1" x14ac:dyDescent="0.25">
      <c r="A607" s="34" t="s">
        <v>687</v>
      </c>
      <c r="B607" s="34" t="s">
        <v>396</v>
      </c>
      <c r="C607" s="13"/>
      <c r="D607" s="31" t="e">
        <f t="shared" si="17"/>
        <v>#DIV/0!</v>
      </c>
    </row>
    <row r="608" spans="1:4" outlineLevel="2" x14ac:dyDescent="0.25">
      <c r="A608" s="27"/>
      <c r="B608" s="26"/>
      <c r="C608" s="21"/>
    </row>
    <row r="609" spans="1:4" outlineLevel="1" x14ac:dyDescent="0.25">
      <c r="A609" s="9"/>
      <c r="B609" s="42" t="s">
        <v>688</v>
      </c>
      <c r="C609" s="13">
        <f>+C603+C604+C606+C607</f>
        <v>0</v>
      </c>
      <c r="D609" s="16" t="e">
        <f>+C609/$C$91</f>
        <v>#DIV/0!</v>
      </c>
    </row>
    <row r="610" spans="1:4" outlineLevel="1" x14ac:dyDescent="0.25">
      <c r="A610" s="9"/>
      <c r="B610" s="42"/>
      <c r="C610" s="10"/>
    </row>
    <row r="611" spans="1:4" x14ac:dyDescent="0.25">
      <c r="A611" s="9"/>
      <c r="B611" s="17" t="s">
        <v>689</v>
      </c>
      <c r="C611" s="18">
        <f>+C609+C600+C516+C478+C432</f>
        <v>0</v>
      </c>
      <c r="D611" s="16" t="e">
        <f>+C611/$C$91</f>
        <v>#DIV/0!</v>
      </c>
    </row>
    <row r="612" spans="1:4" x14ac:dyDescent="0.25">
      <c r="A612" s="9"/>
      <c r="B612" s="42"/>
      <c r="C612" s="10"/>
      <c r="D612" s="45"/>
    </row>
    <row r="613" spans="1:4" s="49" customFormat="1" ht="15.75" x14ac:dyDescent="0.25">
      <c r="A613" s="46"/>
      <c r="B613" s="47" t="s">
        <v>690</v>
      </c>
      <c r="C613" s="48">
        <f>+C388-C611</f>
        <v>0</v>
      </c>
      <c r="D613" s="16" t="e">
        <f>+C613/$C$91</f>
        <v>#DIV/0!</v>
      </c>
    </row>
    <row r="614" spans="1:4" x14ac:dyDescent="0.25">
      <c r="A614" s="9"/>
      <c r="B614" s="50"/>
      <c r="C614" s="10"/>
    </row>
    <row r="615" spans="1:4" outlineLevel="1" x14ac:dyDescent="0.25">
      <c r="A615" s="9"/>
      <c r="B615" s="42" t="s">
        <v>691</v>
      </c>
      <c r="C615" s="10"/>
    </row>
    <row r="616" spans="1:4" s="34" customFormat="1" outlineLevel="1" x14ac:dyDescent="0.25">
      <c r="A616" s="51" t="s">
        <v>692</v>
      </c>
      <c r="B616" s="29" t="s">
        <v>693</v>
      </c>
      <c r="C616" s="13"/>
      <c r="D616" s="31" t="e">
        <f t="shared" ref="D616:D625" si="18">+C616/$C$91</f>
        <v>#DIV/0!</v>
      </c>
    </row>
    <row r="617" spans="1:4" hidden="1" outlineLevel="2" x14ac:dyDescent="0.25">
      <c r="A617" s="52" t="s">
        <v>694</v>
      </c>
      <c r="B617" s="35" t="s">
        <v>695</v>
      </c>
      <c r="C617" s="10"/>
      <c r="D617" s="11" t="e">
        <f t="shared" si="18"/>
        <v>#DIV/0!</v>
      </c>
    </row>
    <row r="618" spans="1:4" hidden="1" outlineLevel="2" x14ac:dyDescent="0.25">
      <c r="A618" s="52" t="s">
        <v>696</v>
      </c>
      <c r="B618" s="35" t="s">
        <v>697</v>
      </c>
      <c r="C618" s="10"/>
      <c r="D618" s="11" t="e">
        <f t="shared" si="18"/>
        <v>#DIV/0!</v>
      </c>
    </row>
    <row r="619" spans="1:4" hidden="1" outlineLevel="2" x14ac:dyDescent="0.25">
      <c r="A619" s="52" t="s">
        <v>698</v>
      </c>
      <c r="B619" s="35" t="s">
        <v>337</v>
      </c>
      <c r="C619" s="10"/>
      <c r="D619" s="11" t="e">
        <f t="shared" si="18"/>
        <v>#DIV/0!</v>
      </c>
    </row>
    <row r="620" spans="1:4" hidden="1" outlineLevel="2" x14ac:dyDescent="0.25">
      <c r="A620" s="52" t="s">
        <v>699</v>
      </c>
      <c r="B620" s="35" t="s">
        <v>622</v>
      </c>
      <c r="C620" s="10"/>
      <c r="D620" s="11" t="e">
        <f t="shared" si="18"/>
        <v>#DIV/0!</v>
      </c>
    </row>
    <row r="621" spans="1:4" hidden="1" outlineLevel="2" x14ac:dyDescent="0.25">
      <c r="A621" s="52" t="s">
        <v>700</v>
      </c>
      <c r="B621" s="35" t="s">
        <v>701</v>
      </c>
      <c r="C621" s="10"/>
      <c r="D621" s="11" t="e">
        <f t="shared" si="18"/>
        <v>#DIV/0!</v>
      </c>
    </row>
    <row r="622" spans="1:4" hidden="1" outlineLevel="2" x14ac:dyDescent="0.25">
      <c r="A622" s="52" t="s">
        <v>702</v>
      </c>
      <c r="B622" s="35" t="s">
        <v>197</v>
      </c>
      <c r="C622" s="10"/>
      <c r="D622" s="11" t="e">
        <f t="shared" si="18"/>
        <v>#DIV/0!</v>
      </c>
    </row>
    <row r="623" spans="1:4" hidden="1" outlineLevel="2" x14ac:dyDescent="0.25">
      <c r="A623" s="52" t="s">
        <v>703</v>
      </c>
      <c r="B623" s="35" t="s">
        <v>704</v>
      </c>
      <c r="C623" s="10"/>
      <c r="D623" s="11" t="e">
        <f t="shared" si="18"/>
        <v>#DIV/0!</v>
      </c>
    </row>
    <row r="624" spans="1:4" s="34" customFormat="1" outlineLevel="1" collapsed="1" x14ac:dyDescent="0.25">
      <c r="A624" s="51" t="s">
        <v>705</v>
      </c>
      <c r="B624" s="29" t="s">
        <v>706</v>
      </c>
      <c r="C624" s="13"/>
      <c r="D624" s="31" t="e">
        <f t="shared" si="18"/>
        <v>#DIV/0!</v>
      </c>
    </row>
    <row r="625" spans="1:4" hidden="1" outlineLevel="3" x14ac:dyDescent="0.25">
      <c r="A625" s="53" t="s">
        <v>707</v>
      </c>
      <c r="B625" t="s">
        <v>708</v>
      </c>
      <c r="C625" s="10">
        <f>((SUMIFS([6]BALANZAS!$J:$J,[6]BALANZAS!$B:$B,$A625,[6]BALANZAS!$A:$A,'RESULTADOS ACUM'!C$4)))/1000</f>
        <v>240.82792999999998</v>
      </c>
      <c r="D625" s="16" t="e">
        <f t="shared" si="18"/>
        <v>#DIV/0!</v>
      </c>
    </row>
    <row r="626" spans="1:4" outlineLevel="1" collapsed="1" x14ac:dyDescent="0.25">
      <c r="A626" s="54"/>
      <c r="B626" s="42"/>
      <c r="C626" s="55"/>
    </row>
    <row r="627" spans="1:4" x14ac:dyDescent="0.25">
      <c r="A627" s="9"/>
      <c r="B627" s="42" t="s">
        <v>709</v>
      </c>
      <c r="C627" s="13">
        <f>+C616+C624</f>
        <v>0</v>
      </c>
      <c r="D627" s="16" t="e">
        <f>+C627/$C$91</f>
        <v>#DIV/0!</v>
      </c>
    </row>
    <row r="628" spans="1:4" x14ac:dyDescent="0.25">
      <c r="A628" s="9"/>
      <c r="B628" s="42"/>
      <c r="C628" s="10"/>
    </row>
    <row r="629" spans="1:4" outlineLevel="1" x14ac:dyDescent="0.25">
      <c r="A629" s="9"/>
      <c r="B629" s="42" t="s">
        <v>710</v>
      </c>
      <c r="C629" s="10"/>
    </row>
    <row r="630" spans="1:4" outlineLevel="1" x14ac:dyDescent="0.25">
      <c r="A630" s="56" t="s">
        <v>711</v>
      </c>
      <c r="B630" s="57" t="s">
        <v>712</v>
      </c>
      <c r="C630" s="10"/>
      <c r="D630" s="11" t="e">
        <f t="shared" ref="D630:D633" si="19">+C630/$C$91</f>
        <v>#DIV/0!</v>
      </c>
    </row>
    <row r="631" spans="1:4" outlineLevel="1" x14ac:dyDescent="0.25">
      <c r="A631" s="25" t="s">
        <v>713</v>
      </c>
      <c r="B631" s="26" t="s">
        <v>714</v>
      </c>
      <c r="C631" s="10"/>
      <c r="D631" s="11" t="e">
        <f>+C631/$C$91</f>
        <v>#DIV/0!</v>
      </c>
    </row>
    <row r="632" spans="1:4" outlineLevel="1" x14ac:dyDescent="0.25">
      <c r="A632" s="56" t="s">
        <v>715</v>
      </c>
      <c r="B632" s="58" t="s">
        <v>716</v>
      </c>
      <c r="C632" s="10"/>
      <c r="D632" s="11" t="e">
        <f t="shared" si="19"/>
        <v>#DIV/0!</v>
      </c>
    </row>
    <row r="633" spans="1:4" outlineLevel="1" x14ac:dyDescent="0.25">
      <c r="A633" s="25" t="s">
        <v>717</v>
      </c>
      <c r="B633" s="26" t="s">
        <v>718</v>
      </c>
      <c r="C633" s="59"/>
      <c r="D633" s="11" t="e">
        <f t="shared" si="19"/>
        <v>#DIV/0!</v>
      </c>
    </row>
    <row r="634" spans="1:4" outlineLevel="1" x14ac:dyDescent="0.25">
      <c r="C634" s="21"/>
    </row>
    <row r="635" spans="1:4" x14ac:dyDescent="0.25">
      <c r="B635" s="42" t="s">
        <v>719</v>
      </c>
      <c r="C635" s="13">
        <f>+C631+C630-C632-C633</f>
        <v>0</v>
      </c>
      <c r="D635" s="16" t="e">
        <f>+C635/$C$91</f>
        <v>#DIV/0!</v>
      </c>
    </row>
    <row r="636" spans="1:4" x14ac:dyDescent="0.25">
      <c r="C636" s="10"/>
    </row>
    <row r="637" spans="1:4" ht="15.75" x14ac:dyDescent="0.25">
      <c r="B637" s="60" t="s">
        <v>720</v>
      </c>
      <c r="C637" s="61">
        <f>+C613-C627+C635</f>
        <v>0</v>
      </c>
      <c r="D637" s="16" t="e">
        <f>+C637/$C$91</f>
        <v>#DIV/0!</v>
      </c>
    </row>
    <row r="638" spans="1:4" s="62" customFormat="1" x14ac:dyDescent="0.25">
      <c r="C638" s="63"/>
    </row>
    <row r="639" spans="1:4" s="62" customFormat="1" x14ac:dyDescent="0.25"/>
    <row r="640" spans="1:4" s="62" customFormat="1" x14ac:dyDescent="0.25">
      <c r="C640" s="65"/>
    </row>
    <row r="641" spans="3:3" x14ac:dyDescent="0.25">
      <c r="C641" s="65"/>
    </row>
    <row r="642" spans="3:3" x14ac:dyDescent="0.25">
      <c r="C642" s="64"/>
    </row>
    <row r="644" spans="3:3" s="62" customFormat="1" x14ac:dyDescent="0.25"/>
    <row r="646" spans="3:3" x14ac:dyDescent="0.25">
      <c r="C646" s="64"/>
    </row>
  </sheetData>
  <protectedRanges>
    <protectedRange password="C196" sqref="A616:A625" name="Rango1_1"/>
    <protectedRange password="C196" sqref="A630:A633" name="Rango1_1_1"/>
    <protectedRange password="C196" sqref="A515 A477 A599 A431" name="Rango1_3_3"/>
    <protectedRange password="C196" sqref="A301 A259 A603:A607 A326 A481:A511 A391:A430 A513:A514 A519:A598 A435:A476" name="Rango1_1_4_2_3"/>
    <protectedRange password="C196" sqref="B92 B616:B633" name="Rango1_5"/>
    <protectedRange password="C196" sqref="B141 B143:B177 B332 B122:B139 B207:B242 B244:B258 B334:B339 B377:B385 B302:B325 B293:B300 B260:B273 B327:B330 B275:B291 B430 B476 B514 B598 B93:B120 B341:B374 B179:B205" name="Rango1_9_2_1_1"/>
    <protectedRange password="C196" sqref="B140 B121" name="Rango1_3_2_1"/>
    <protectedRange password="C196" sqref="B206 B142" name="Rango1_4_2_1"/>
    <protectedRange password="C196" sqref="B331 B243 B333" name="Rango1_6_2_1"/>
    <protectedRange password="C196" sqref="B375 B340" name="Rango1_7_2_2_1"/>
    <protectedRange password="C196" sqref="B88:B91" name="Rango1_4_1"/>
    <protectedRange password="C196" sqref="B601 B610" name="Rango1_6"/>
    <protectedRange password="C196" sqref="B527:B546 B477:B487 B431:B434 B548:B550 B390 B583:B585 B602:B609 B552:B558 B560:B581 B492:B509 B511 B513 B515:B525 B587:B597 B599:B600" name="Rango1_3_3_1"/>
    <protectedRange password="C196" sqref="B259 B419:B421 B301 B391:B417 B435:B462 B519:B546 B548:B550 B583:B585 B603:B607 B326 B552:B581 B481:B509 B511 B423:B429 B513 B587:B597 B464:B475" name="Rango1_9_2_3"/>
    <protectedRange password="C196" sqref="B586 B418 B551 B510 B547 B582 B422 B463" name="Rango1_9_2_1_2"/>
    <protectedRange password="C196" sqref="B612 B614:B615" name="Rango1_7"/>
    <protectedRange password="C196" sqref="A93 A208 A377 A333" name="Rango1_2_1_1"/>
    <protectedRange password="C196" sqref="A207 A332 A385 A120:A139 A242:A258 A334:A337 A209:A240 A378:A383 A302:A325 A260:A273 A327:A330 A275:A300 A94:A118 A339:A374 A141:A205" name="Rango1_1_4_2_1_1"/>
    <protectedRange password="C196" sqref="C4:C5" name="Rango1_2"/>
    <protectedRange password="C196" sqref="D4:D5" name="Rango1_2_1"/>
    <protectedRange password="C196" sqref="B1:D1" name="Rango1"/>
    <protectedRange password="C196" sqref="A274" name="Rango1_1_4_2_1_1_1"/>
    <protectedRange password="C196" sqref="B178" name="Rango1_9_2_1_1_2"/>
    <protectedRange password="C196" sqref="B635" name="Rango1_5_1"/>
    <protectedRange password="C196" sqref="B292" name="Rango1_9_2_1_1_1"/>
    <protectedRange password="C196" sqref="A512" name="Rango1_1_4_2_3_1"/>
    <protectedRange password="C196" sqref="B512" name="Rango1_3_3_1_1"/>
    <protectedRange password="C196" sqref="B512" name="Rango1_9_2_3_1"/>
  </protectedRanges>
  <autoFilter ref="A4:D638" xr:uid="{CF64E248-18D3-4F8C-A54B-018BF5A81EDD}"/>
  <mergeCells count="4">
    <mergeCell ref="C4:C5"/>
    <mergeCell ref="D4:D5"/>
    <mergeCell ref="A4:A5"/>
    <mergeCell ref="B4:B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RESULTADOS ACUM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Campa Soria</dc:creator>
  <cp:lastModifiedBy>Carlos Eduardo Campa Soria</cp:lastModifiedBy>
  <dcterms:created xsi:type="dcterms:W3CDTF">2026-09-23T23:37:45Z</dcterms:created>
  <dcterms:modified xsi:type="dcterms:W3CDTF">2026-09-24T00:13:49Z</dcterms:modified>
</cp:coreProperties>
</file>